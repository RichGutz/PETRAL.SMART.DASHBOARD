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2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3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375146-386F-4199-A274-386D552C3075}" xr6:coauthVersionLast="47" xr6:coauthVersionMax="47" xr10:uidLastSave="{00000000-0000-0000-0000-000000000000}"/>
  <bookViews>
    <workbookView xWindow="-120" yWindow="-120" windowWidth="29040" windowHeight="15720" tabRatio="727" xr2:uid="{8CEF557C-AABD-49F5-B995-A7AA9B638AAC}"/>
  </bookViews>
  <sheets>
    <sheet name="RESUMEN" sheetId="71" r:id="rId1"/>
    <sheet name="ILO-MATARANI" sheetId="58" r:id="rId2"/>
    <sheet name="ILO-SAN JUAN DE MARCONA" sheetId="68" r:id="rId3"/>
    <sheet name="ILO-MEJILLONES" sheetId="69" r:id="rId4"/>
  </sheets>
  <definedNames>
    <definedName name="_xlnm.Print_Area" localSheetId="1">'ILO-MATARANI'!$B$1:$S$63</definedName>
    <definedName name="_xlnm.Print_Area" localSheetId="3">'ILO-MEJILLONES'!$B$1:$S$60</definedName>
    <definedName name="_xlnm.Print_Area" localSheetId="2">'ILO-SAN JUAN DE MARCONA'!$B$1:$S$60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71" l="1"/>
  <c r="F10" i="71"/>
  <c r="F7" i="71"/>
  <c r="E13" i="71"/>
  <c r="E10" i="71"/>
  <c r="E7" i="71"/>
  <c r="D58" i="69" l="1"/>
  <c r="F58" i="69" s="1"/>
  <c r="C58" i="69"/>
  <c r="E58" i="69" s="1"/>
  <c r="G58" i="69" s="1"/>
  <c r="D57" i="69"/>
  <c r="F57" i="69" s="1"/>
  <c r="C57" i="69"/>
  <c r="E57" i="69" s="1"/>
  <c r="G57" i="69" s="1"/>
  <c r="G59" i="69" s="1"/>
  <c r="N17" i="69" s="1"/>
  <c r="D46" i="69"/>
  <c r="N15" i="69" s="1"/>
  <c r="N43" i="69"/>
  <c r="R42" i="69"/>
  <c r="P42" i="69"/>
  <c r="F42" i="69"/>
  <c r="M41" i="69"/>
  <c r="P35" i="69"/>
  <c r="J35" i="69"/>
  <c r="I35" i="69"/>
  <c r="R34" i="69"/>
  <c r="Q34" i="69"/>
  <c r="O34" i="69"/>
  <c r="N34" i="69"/>
  <c r="M34" i="69"/>
  <c r="L34" i="69"/>
  <c r="K34" i="69"/>
  <c r="F34" i="69"/>
  <c r="D34" i="69"/>
  <c r="Q31" i="69"/>
  <c r="R31" i="69" s="1"/>
  <c r="O43" i="69" s="1"/>
  <c r="G31" i="69"/>
  <c r="L31" i="69" s="1"/>
  <c r="R30" i="69"/>
  <c r="P43" i="69" s="1"/>
  <c r="P46" i="69" s="1"/>
  <c r="G30" i="69"/>
  <c r="L30" i="69" s="1"/>
  <c r="L35" i="69" s="1"/>
  <c r="S8" i="69" s="1"/>
  <c r="O29" i="69"/>
  <c r="M29" i="69"/>
  <c r="G22" i="69"/>
  <c r="I22" i="69" s="1"/>
  <c r="G20" i="69"/>
  <c r="I20" i="69" s="1"/>
  <c r="G19" i="69"/>
  <c r="I19" i="69" s="1"/>
  <c r="G18" i="69"/>
  <c r="I18" i="69" s="1"/>
  <c r="G17" i="69"/>
  <c r="I17" i="69" s="1"/>
  <c r="G16" i="69"/>
  <c r="I16" i="69" s="1"/>
  <c r="C14" i="69"/>
  <c r="G15" i="69" s="1"/>
  <c r="I15" i="69" s="1"/>
  <c r="S6" i="69"/>
  <c r="D58" i="68"/>
  <c r="F58" i="68" s="1"/>
  <c r="C58" i="68"/>
  <c r="E58" i="68" s="1"/>
  <c r="G58" i="68" s="1"/>
  <c r="D57" i="68"/>
  <c r="F57" i="68" s="1"/>
  <c r="C57" i="68"/>
  <c r="E57" i="68" s="1"/>
  <c r="D46" i="68"/>
  <c r="N15" i="68" s="1"/>
  <c r="N43" i="68"/>
  <c r="R42" i="68"/>
  <c r="P42" i="68"/>
  <c r="O42" i="68"/>
  <c r="E42" i="68" s="1"/>
  <c r="F42" i="68"/>
  <c r="M41" i="68"/>
  <c r="P35" i="68"/>
  <c r="J35" i="68"/>
  <c r="I35" i="68"/>
  <c r="R34" i="68"/>
  <c r="Q34" i="68"/>
  <c r="O34" i="68"/>
  <c r="N34" i="68"/>
  <c r="M34" i="68"/>
  <c r="L34" i="68"/>
  <c r="K34" i="68"/>
  <c r="F34" i="68"/>
  <c r="D34" i="68"/>
  <c r="Q31" i="68"/>
  <c r="R31" i="68" s="1"/>
  <c r="O43" i="68" s="1"/>
  <c r="O46" i="68" s="1"/>
  <c r="G31" i="68"/>
  <c r="L31" i="68" s="1"/>
  <c r="R30" i="68"/>
  <c r="P43" i="68" s="1"/>
  <c r="G30" i="68"/>
  <c r="K30" i="68" s="1"/>
  <c r="O29" i="68"/>
  <c r="M29" i="68"/>
  <c r="G22" i="68"/>
  <c r="I22" i="68" s="1"/>
  <c r="G20" i="68"/>
  <c r="I20" i="68" s="1"/>
  <c r="G19" i="68"/>
  <c r="I19" i="68" s="1"/>
  <c r="G18" i="68"/>
  <c r="I18" i="68" s="1"/>
  <c r="G17" i="68"/>
  <c r="I17" i="68" s="1"/>
  <c r="G16" i="68"/>
  <c r="I16" i="68" s="1"/>
  <c r="C14" i="68"/>
  <c r="D14" i="68" s="1"/>
  <c r="S6" i="68"/>
  <c r="I23" i="69" l="1"/>
  <c r="N14" i="69" s="1"/>
  <c r="O42" i="69"/>
  <c r="E42" i="69" s="1"/>
  <c r="Q42" i="69" s="1"/>
  <c r="D30" i="69"/>
  <c r="K30" i="69"/>
  <c r="G35" i="69"/>
  <c r="F30" i="69"/>
  <c r="D14" i="69"/>
  <c r="K31" i="69"/>
  <c r="R35" i="69"/>
  <c r="Q15" i="69" s="1"/>
  <c r="G15" i="68"/>
  <c r="I15" i="68" s="1"/>
  <c r="I23" i="68" s="1"/>
  <c r="N14" i="68" s="1"/>
  <c r="P46" i="68"/>
  <c r="D30" i="68"/>
  <c r="F30" i="68" s="1"/>
  <c r="G57" i="68"/>
  <c r="G59" i="68" s="1"/>
  <c r="N17" i="68" s="1"/>
  <c r="Q42" i="68"/>
  <c r="G35" i="68"/>
  <c r="L30" i="68"/>
  <c r="L35" i="68" s="1"/>
  <c r="S8" i="68" s="1"/>
  <c r="K31" i="68"/>
  <c r="R35" i="68"/>
  <c r="Q15" i="68" s="1"/>
  <c r="O46" i="69" l="1"/>
  <c r="S5" i="69"/>
  <c r="N41" i="69"/>
  <c r="K35" i="69"/>
  <c r="S7" i="69" s="1"/>
  <c r="Q16" i="69" s="1"/>
  <c r="M30" i="69"/>
  <c r="M42" i="69"/>
  <c r="M43" i="69"/>
  <c r="M31" i="69"/>
  <c r="N42" i="69"/>
  <c r="L42" i="69" s="1"/>
  <c r="N30" i="69"/>
  <c r="N30" i="68"/>
  <c r="D31" i="68" s="1"/>
  <c r="M43" i="68"/>
  <c r="M31" i="68"/>
  <c r="N42" i="68"/>
  <c r="L42" i="68" s="1"/>
  <c r="M42" i="68"/>
  <c r="M30" i="68"/>
  <c r="S5" i="68"/>
  <c r="K35" i="68"/>
  <c r="S7" i="68" s="1"/>
  <c r="Q16" i="68" s="1"/>
  <c r="N41" i="68"/>
  <c r="M46" i="69" l="1"/>
  <c r="N47" i="69" s="1"/>
  <c r="S42" i="69"/>
  <c r="K42" i="69"/>
  <c r="E43" i="69" s="1"/>
  <c r="D31" i="69"/>
  <c r="O30" i="69"/>
  <c r="R43" i="69"/>
  <c r="F43" i="69"/>
  <c r="L43" i="69" s="1"/>
  <c r="M35" i="69"/>
  <c r="N46" i="69"/>
  <c r="O47" i="69" s="1"/>
  <c r="S41" i="69"/>
  <c r="Q14" i="69"/>
  <c r="O30" i="68"/>
  <c r="R43" i="68"/>
  <c r="F43" i="68"/>
  <c r="L43" i="68" s="1"/>
  <c r="N46" i="68"/>
  <c r="O47" i="68" s="1"/>
  <c r="S41" i="68"/>
  <c r="Q14" i="68"/>
  <c r="N31" i="68"/>
  <c r="O31" i="68" s="1"/>
  <c r="F31" i="68"/>
  <c r="M35" i="68"/>
  <c r="M46" i="68"/>
  <c r="N47" i="68" s="1"/>
  <c r="S42" i="68"/>
  <c r="K42" i="68"/>
  <c r="E43" i="68" s="1"/>
  <c r="N31" i="69" l="1"/>
  <c r="O31" i="69" s="1"/>
  <c r="F31" i="69"/>
  <c r="Q43" i="69"/>
  <c r="S43" i="69" s="1"/>
  <c r="S46" i="69" s="1"/>
  <c r="N16" i="69" s="1"/>
  <c r="N18" i="69" s="1"/>
  <c r="K43" i="69"/>
  <c r="Q43" i="68"/>
  <c r="S43" i="68" s="1"/>
  <c r="S46" i="68" s="1"/>
  <c r="N16" i="68" s="1"/>
  <c r="N18" i="68" s="1"/>
  <c r="K43" i="68"/>
  <c r="Q20" i="69" l="1"/>
  <c r="Q17" i="69"/>
  <c r="Q19" i="69" s="1"/>
  <c r="Q20" i="68"/>
  <c r="Q17" i="68"/>
  <c r="Q19" i="68" s="1"/>
  <c r="G31" i="58" l="1"/>
  <c r="G30" i="58"/>
  <c r="D61" i="58" l="1"/>
  <c r="F61" i="58" s="1"/>
  <c r="C61" i="58"/>
  <c r="E61" i="58" s="1"/>
  <c r="D60" i="58"/>
  <c r="F60" i="58" s="1"/>
  <c r="C60" i="58"/>
  <c r="E60" i="58" s="1"/>
  <c r="D49" i="58"/>
  <c r="N15" i="58" s="1"/>
  <c r="R42" i="58"/>
  <c r="P42" i="58"/>
  <c r="F42" i="58" s="1"/>
  <c r="M41" i="58"/>
  <c r="P35" i="58"/>
  <c r="J35" i="58"/>
  <c r="I35" i="58"/>
  <c r="R34" i="58"/>
  <c r="Q34" i="58"/>
  <c r="O34" i="58"/>
  <c r="N34" i="58"/>
  <c r="M34" i="58"/>
  <c r="L34" i="58"/>
  <c r="K34" i="58"/>
  <c r="F34" i="58"/>
  <c r="D34" i="58"/>
  <c r="Q31" i="58"/>
  <c r="K31" i="58"/>
  <c r="R30" i="58"/>
  <c r="P43" i="58" s="1"/>
  <c r="L30" i="58"/>
  <c r="K30" i="58"/>
  <c r="O29" i="58"/>
  <c r="M29" i="58"/>
  <c r="G22" i="58"/>
  <c r="I22" i="58" s="1"/>
  <c r="G20" i="58"/>
  <c r="I20" i="58" s="1"/>
  <c r="G19" i="58"/>
  <c r="I19" i="58" s="1"/>
  <c r="I18" i="58"/>
  <c r="G18" i="58"/>
  <c r="I17" i="58"/>
  <c r="G17" i="58"/>
  <c r="G16" i="58"/>
  <c r="I16" i="58" s="1"/>
  <c r="C14" i="58"/>
  <c r="G15" i="58" s="1"/>
  <c r="I15" i="58" s="1"/>
  <c r="S6" i="58"/>
  <c r="G60" i="58" l="1"/>
  <c r="I23" i="58"/>
  <c r="N14" i="58" s="1"/>
  <c r="D14" i="58"/>
  <c r="L31" i="58"/>
  <c r="M43" i="58" s="1"/>
  <c r="G61" i="58"/>
  <c r="G62" i="58" s="1"/>
  <c r="N17" i="58" s="1"/>
  <c r="K35" i="58"/>
  <c r="S7" i="58" s="1"/>
  <c r="M30" i="58"/>
  <c r="M42" i="58"/>
  <c r="M31" i="58"/>
  <c r="G35" i="58"/>
  <c r="N41" i="58"/>
  <c r="O42" i="58"/>
  <c r="D30" i="58"/>
  <c r="R31" i="58"/>
  <c r="N42" i="58" l="1"/>
  <c r="L42" i="58" s="1"/>
  <c r="F43" i="58" s="1"/>
  <c r="L35" i="58"/>
  <c r="S8" i="58" s="1"/>
  <c r="Q16" i="58" s="1"/>
  <c r="O43" i="58"/>
  <c r="P49" i="58"/>
  <c r="F30" i="58"/>
  <c r="N30" i="58"/>
  <c r="M49" i="58"/>
  <c r="M35" i="58"/>
  <c r="N43" i="58"/>
  <c r="E42" i="58"/>
  <c r="S41" i="58"/>
  <c r="R35" i="58"/>
  <c r="Q15" i="58" s="1"/>
  <c r="N49" i="58" l="1"/>
  <c r="O50" i="58" s="1"/>
  <c r="R43" i="58"/>
  <c r="S5" i="58"/>
  <c r="Q14" i="58"/>
  <c r="D31" i="58"/>
  <c r="O30" i="58"/>
  <c r="O49" i="58"/>
  <c r="N50" i="58" s="1"/>
  <c r="K42" i="58"/>
  <c r="E43" i="58" s="1"/>
  <c r="Q42" i="58"/>
  <c r="S42" i="58" s="1"/>
  <c r="L43" i="58"/>
  <c r="F31" i="58" l="1"/>
  <c r="N31" i="58"/>
  <c r="Q43" i="58"/>
  <c r="S43" i="58" s="1"/>
  <c r="K43" i="58"/>
  <c r="S49" i="58" l="1"/>
  <c r="N16" i="58" s="1"/>
  <c r="N18" i="58" s="1"/>
  <c r="O31" i="58"/>
  <c r="Q20" i="58" l="1"/>
  <c r="Q17" i="58"/>
  <c r="Q19" i="58" l="1"/>
</calcChain>
</file>

<file path=xl/sharedStrings.xml><?xml version="1.0" encoding="utf-8"?>
<sst xmlns="http://schemas.openxmlformats.org/spreadsheetml/2006/main" count="415" uniqueCount="111">
  <si>
    <t>Voyage Estimation</t>
  </si>
  <si>
    <t>Prepared By</t>
  </si>
  <si>
    <t>Consumption &amp; Duration</t>
  </si>
  <si>
    <t>Vessel Description</t>
  </si>
  <si>
    <t>Daily Rate</t>
  </si>
  <si>
    <t>Total</t>
  </si>
  <si>
    <t>IFO</t>
  </si>
  <si>
    <t>MDO</t>
  </si>
  <si>
    <t>Days</t>
  </si>
  <si>
    <t>Name</t>
  </si>
  <si>
    <t>DWT</t>
  </si>
  <si>
    <t>LOA</t>
  </si>
  <si>
    <t>Sea</t>
  </si>
  <si>
    <t>Voyage</t>
  </si>
  <si>
    <t>CBM</t>
  </si>
  <si>
    <t>Beam</t>
  </si>
  <si>
    <t>Idle</t>
  </si>
  <si>
    <t>Flag</t>
  </si>
  <si>
    <t>Built</t>
  </si>
  <si>
    <t>Draft</t>
  </si>
  <si>
    <t>Load</t>
  </si>
  <si>
    <t>Disch.</t>
  </si>
  <si>
    <t>Voyage Type</t>
  </si>
  <si>
    <t>Clean</t>
  </si>
  <si>
    <t>Heating</t>
  </si>
  <si>
    <t>Income</t>
  </si>
  <si>
    <t>Results</t>
  </si>
  <si>
    <t>Charterer/Cargo</t>
  </si>
  <si>
    <t>Quantity</t>
  </si>
  <si>
    <t>Unit</t>
  </si>
  <si>
    <t>Comm.</t>
  </si>
  <si>
    <t>Net</t>
  </si>
  <si>
    <t>Duration (d)</t>
  </si>
  <si>
    <t>Flat Rate Worldscale (USD/mt)</t>
  </si>
  <si>
    <t>MT</t>
  </si>
  <si>
    <t>Port Costs</t>
  </si>
  <si>
    <t>Sea Days</t>
  </si>
  <si>
    <t>Freight (USD/Unit)</t>
  </si>
  <si>
    <t>Bunker Costs</t>
  </si>
  <si>
    <t>Port/Idle Days</t>
  </si>
  <si>
    <t>Lumpsum (USD)</t>
  </si>
  <si>
    <t>Other Costs</t>
  </si>
  <si>
    <t>TCE (US$/d)</t>
  </si>
  <si>
    <t>Voyage Result (US$)</t>
  </si>
  <si>
    <t>TCE Req. (US$/d)</t>
  </si>
  <si>
    <t>PCM (US$)</t>
  </si>
  <si>
    <t>P/L (US$)</t>
  </si>
  <si>
    <t xml:space="preserve"> </t>
  </si>
  <si>
    <t>Total Freight Income US$</t>
  </si>
  <si>
    <t>Voyage Program</t>
  </si>
  <si>
    <t>Port</t>
  </si>
  <si>
    <t>Arrival</t>
  </si>
  <si>
    <t>Rate</t>
  </si>
  <si>
    <t>Laytime</t>
  </si>
  <si>
    <t>Port Times (hrs.)</t>
  </si>
  <si>
    <t>Departure</t>
  </si>
  <si>
    <t>Weather</t>
  </si>
  <si>
    <t>Day</t>
  </si>
  <si>
    <t>hr</t>
  </si>
  <si>
    <t>(mt / m3)</t>
  </si>
  <si>
    <t>per hr.</t>
  </si>
  <si>
    <t>(hrs)</t>
  </si>
  <si>
    <t>Other</t>
  </si>
  <si>
    <t>Dist.</t>
  </si>
  <si>
    <t>Speed</t>
  </si>
  <si>
    <t>Sailing</t>
  </si>
  <si>
    <t>Factor</t>
  </si>
  <si>
    <t>ILO</t>
  </si>
  <si>
    <t>Port Expenses</t>
  </si>
  <si>
    <t>Bunker Expenses</t>
  </si>
  <si>
    <t>Agency</t>
  </si>
  <si>
    <t>Arrival ROB</t>
  </si>
  <si>
    <t>Purch.Quantity</t>
  </si>
  <si>
    <t>Purch. Price</t>
  </si>
  <si>
    <t>Depart. ROB</t>
  </si>
  <si>
    <t>Port Consumption</t>
  </si>
  <si>
    <t>Sailing Cons.</t>
  </si>
  <si>
    <t>Average Price</t>
  </si>
  <si>
    <t>Bunk.</t>
  </si>
  <si>
    <t xml:space="preserve">Cost </t>
  </si>
  <si>
    <t>Total Agency US$</t>
  </si>
  <si>
    <t>Bunkers US$</t>
  </si>
  <si>
    <t>Total Bunker Cons. (Incl. Cleaning &amp; Heating)</t>
  </si>
  <si>
    <t>Other Expenses</t>
  </si>
  <si>
    <t>XFuel</t>
  </si>
  <si>
    <t>IFO Qty.</t>
  </si>
  <si>
    <t>MDO Qty.</t>
  </si>
  <si>
    <t>IFO $</t>
  </si>
  <si>
    <t>MDO $</t>
  </si>
  <si>
    <t>Additional Expenses US$</t>
  </si>
  <si>
    <t>TABLONES</t>
  </si>
  <si>
    <t>PERUANA</t>
  </si>
  <si>
    <t>Description</t>
  </si>
  <si>
    <t>JN</t>
  </si>
  <si>
    <t>MEJILLONES</t>
  </si>
  <si>
    <t>SPCC ACIDO</t>
  </si>
  <si>
    <t>MATARANI</t>
  </si>
  <si>
    <t>SAN JUAN DE MARCONA</t>
  </si>
  <si>
    <t>LOADING MASTER</t>
  </si>
  <si>
    <t>P/L</t>
  </si>
  <si>
    <t>VOYAGE CALCULATION</t>
  </si>
  <si>
    <t>Flete actual</t>
  </si>
  <si>
    <t>T.C.E</t>
  </si>
  <si>
    <t xml:space="preserve">13,500 TM </t>
  </si>
  <si>
    <t>CABOTAJE - Ilo - San Juan de Marcona</t>
  </si>
  <si>
    <t>Nota:</t>
  </si>
  <si>
    <t>El valor del combustible que se ha considerado es en base al contrato con SPCC (no el precio actual).</t>
  </si>
  <si>
    <t xml:space="preserve">B/T TABLONES - CONTRATO SPCC </t>
  </si>
  <si>
    <t xml:space="preserve">CABOTAJE - Ilo - Matarani </t>
  </si>
  <si>
    <t>EXPORTACIÓN - Ilo - Mejillones</t>
  </si>
  <si>
    <t>COSTOS PORTUARIOS B/T TABLONES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</si>
</sst>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"/>
    <numFmt numFmtId="165" formatCode="[$$-540A]#,##0.00"/>
    <numFmt numFmtId="166" formatCode="ddd/dd/mmm_)h:mm"/>
    <numFmt numFmtId="167" formatCode="0_)"/>
    <numFmt numFmtId="168" formatCode="0.0_)"/>
    <numFmt numFmtId="169" formatCode="ddd\-dd\-mmm_)"/>
    <numFmt numFmtId="170" formatCode="_-* #,##0.0_-;\-* #,##0.0_-;_-* &quot;-&quot;??_-;_-@_-"/>
    <numFmt numFmtId="171" formatCode="_-* #,##0_-;\-* #,##0_-;_-* &quot;-&quot;??_-;_-@_-"/>
    <numFmt numFmtId="172" formatCode="_-* #,##0.00\ _€_-;\-* #,##0.00\ _€_-;_-* &quot;-&quot;??\ _€_-;_-@_-"/>
    <numFmt numFmtId="173" formatCode="[$$-540A]#,##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39"/>
      <name val="Arial"/>
      <family val="2"/>
    </font>
    <font>
      <b/>
      <sz val="12"/>
      <color indexed="3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2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9"/>
      <name val="Arial"/>
      <family val="2"/>
    </font>
    <font>
      <sz val="10"/>
      <color indexed="39"/>
      <name val="Arial"/>
      <family val="2"/>
    </font>
    <font>
      <b/>
      <sz val="10"/>
      <color rgb="FFFF0000"/>
      <name val="Arial"/>
      <family val="2"/>
    </font>
    <font>
      <sz val="10"/>
      <color indexed="9"/>
      <name val="Arial"/>
      <family val="2"/>
    </font>
    <font>
      <sz val="10"/>
      <color rgb="FFFF0000"/>
      <name val="Arial"/>
      <family val="2"/>
    </font>
    <font>
      <sz val="9"/>
      <color indexed="1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Arial"/>
      <family val="2"/>
    </font>
    <font>
      <sz val="10"/>
      <color theme="3" tint="-0.249977111117893"/>
      <name val="Arial"/>
      <family val="2"/>
    </font>
    <font>
      <b/>
      <sz val="10"/>
      <color rgb="FF004D99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319">
    <xf numFmtId="0" fontId="0" fillId="0" borderId="0" xfId="0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3" fontId="4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1" xfId="0" applyFont="1" applyBorder="1" applyAlignment="1">
      <alignment horizontal="centerContinuous"/>
    </xf>
    <xf numFmtId="1" fontId="2" fillId="0" borderId="2" xfId="0" applyNumberFormat="1" applyFont="1" applyBorder="1" applyAlignment="1">
      <alignment horizontal="centerContinuous"/>
    </xf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1" fontId="4" fillId="0" borderId="0" xfId="0" applyNumberFormat="1" applyFont="1"/>
    <xf numFmtId="0" fontId="2" fillId="0" borderId="4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6" xfId="0" applyFont="1" applyBorder="1" applyAlignment="1">
      <alignment horizontal="center"/>
    </xf>
    <xf numFmtId="0" fontId="5" fillId="0" borderId="0" xfId="0" applyFont="1"/>
    <xf numFmtId="0" fontId="13" fillId="0" borderId="7" xfId="0" applyFont="1" applyBorder="1"/>
    <xf numFmtId="2" fontId="13" fillId="0" borderId="9" xfId="0" applyNumberFormat="1" applyFont="1" applyBorder="1"/>
    <xf numFmtId="0" fontId="13" fillId="0" borderId="1" xfId="0" applyFont="1" applyBorder="1"/>
    <xf numFmtId="2" fontId="13" fillId="0" borderId="10" xfId="0" applyNumberFormat="1" applyFont="1" applyBorder="1"/>
    <xf numFmtId="0" fontId="13" fillId="0" borderId="11" xfId="0" applyFont="1" applyBorder="1"/>
    <xf numFmtId="0" fontId="6" fillId="0" borderId="0" xfId="0" applyFont="1"/>
    <xf numFmtId="0" fontId="13" fillId="0" borderId="4" xfId="0" applyFont="1" applyBorder="1"/>
    <xf numFmtId="0" fontId="2" fillId="4" borderId="0" xfId="0" applyFont="1" applyFill="1"/>
    <xf numFmtId="0" fontId="8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3" fontId="2" fillId="4" borderId="0" xfId="0" applyNumberFormat="1" applyFont="1" applyFill="1"/>
    <xf numFmtId="164" fontId="12" fillId="2" borderId="2" xfId="0" applyNumberFormat="1" applyFont="1" applyFill="1" applyBorder="1" applyProtection="1">
      <protection locked="0"/>
    </xf>
    <xf numFmtId="164" fontId="12" fillId="2" borderId="5" xfId="0" applyNumberFormat="1" applyFont="1" applyFill="1" applyBorder="1" applyAlignment="1" applyProtection="1">
      <alignment horizontal="right"/>
      <protection locked="0"/>
    </xf>
    <xf numFmtId="3" fontId="14" fillId="0" borderId="0" xfId="0" applyNumberFormat="1" applyFont="1"/>
    <xf numFmtId="0" fontId="15" fillId="0" borderId="0" xfId="0" applyFont="1"/>
    <xf numFmtId="0" fontId="8" fillId="0" borderId="0" xfId="0" applyFont="1" applyAlignment="1">
      <alignment horizontal="left"/>
    </xf>
    <xf numFmtId="0" fontId="8" fillId="0" borderId="12" xfId="0" applyFont="1" applyBorder="1" applyAlignment="1">
      <alignment horizontal="center"/>
    </xf>
    <xf numFmtId="0" fontId="15" fillId="0" borderId="13" xfId="0" applyFont="1" applyBorder="1"/>
    <xf numFmtId="3" fontId="16" fillId="0" borderId="13" xfId="0" applyNumberFormat="1" applyFont="1" applyBorder="1"/>
    <xf numFmtId="3" fontId="15" fillId="0" borderId="13" xfId="0" applyNumberFormat="1" applyFont="1" applyBorder="1"/>
    <xf numFmtId="0" fontId="16" fillId="0" borderId="13" xfId="0" applyFont="1" applyBorder="1"/>
    <xf numFmtId="0" fontId="2" fillId="0" borderId="14" xfId="0" applyFont="1" applyBorder="1"/>
    <xf numFmtId="0" fontId="14" fillId="0" borderId="0" xfId="0" applyFont="1"/>
    <xf numFmtId="3" fontId="2" fillId="0" borderId="7" xfId="0" applyNumberFormat="1" applyFont="1" applyBorder="1"/>
    <xf numFmtId="3" fontId="2" fillId="0" borderId="9" xfId="0" applyNumberFormat="1" applyFont="1" applyBorder="1" applyAlignment="1">
      <alignment horizontal="center"/>
    </xf>
    <xf numFmtId="0" fontId="2" fillId="0" borderId="0" xfId="0" applyFont="1" applyProtection="1">
      <protection hidden="1"/>
    </xf>
    <xf numFmtId="0" fontId="10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12" fillId="2" borderId="3" xfId="0" applyFont="1" applyFill="1" applyBorder="1" applyAlignment="1" applyProtection="1">
      <alignment horizontal="center"/>
      <protection locked="0"/>
    </xf>
    <xf numFmtId="3" fontId="4" fillId="0" borderId="11" xfId="0" applyNumberFormat="1" applyFont="1" applyBorder="1"/>
    <xf numFmtId="3" fontId="4" fillId="0" borderId="3" xfId="0" applyNumberFormat="1" applyFont="1" applyBorder="1"/>
    <xf numFmtId="3" fontId="2" fillId="0" borderId="16" xfId="0" applyNumberFormat="1" applyFont="1" applyBorder="1" applyAlignment="1">
      <alignment horizontal="center"/>
    </xf>
    <xf numFmtId="2" fontId="18" fillId="2" borderId="16" xfId="0" applyNumberFormat="1" applyFont="1" applyFill="1" applyBorder="1"/>
    <xf numFmtId="3" fontId="4" fillId="0" borderId="10" xfId="0" applyNumberFormat="1" applyFont="1" applyBorder="1"/>
    <xf numFmtId="0" fontId="18" fillId="2" borderId="10" xfId="0" applyFont="1" applyFill="1" applyBorder="1"/>
    <xf numFmtId="0" fontId="18" fillId="2" borderId="11" xfId="0" applyFont="1" applyFill="1" applyBorder="1"/>
    <xf numFmtId="3" fontId="18" fillId="2" borderId="16" xfId="0" applyNumberFormat="1" applyFont="1" applyFill="1" applyBorder="1"/>
    <xf numFmtId="0" fontId="18" fillId="2" borderId="16" xfId="0" applyFont="1" applyFill="1" applyBorder="1" applyAlignment="1">
      <alignment horizontal="center"/>
    </xf>
    <xf numFmtId="10" fontId="18" fillId="2" borderId="16" xfId="0" applyNumberFormat="1" applyFont="1" applyFill="1" applyBorder="1" applyAlignment="1">
      <alignment horizontal="center"/>
    </xf>
    <xf numFmtId="0" fontId="2" fillId="0" borderId="0" xfId="0" applyFont="1" applyProtection="1">
      <protection locked="0" hidden="1"/>
    </xf>
    <xf numFmtId="3" fontId="17" fillId="5" borderId="8" xfId="0" applyNumberFormat="1" applyFont="1" applyFill="1" applyBorder="1" applyAlignment="1">
      <alignment horizontal="center"/>
    </xf>
    <xf numFmtId="0" fontId="2" fillId="0" borderId="7" xfId="0" applyFont="1" applyBorder="1"/>
    <xf numFmtId="0" fontId="2" fillId="0" borderId="15" xfId="0" applyFont="1" applyBorder="1"/>
    <xf numFmtId="3" fontId="2" fillId="0" borderId="0" xfId="0" applyNumberFormat="1" applyFont="1" applyAlignment="1">
      <alignment horizontal="center"/>
    </xf>
    <xf numFmtId="0" fontId="18" fillId="2" borderId="6" xfId="0" applyFont="1" applyFill="1" applyBorder="1"/>
    <xf numFmtId="2" fontId="18" fillId="2" borderId="5" xfId="0" applyNumberFormat="1" applyFont="1" applyFill="1" applyBorder="1"/>
    <xf numFmtId="0" fontId="18" fillId="2" borderId="4" xfId="0" applyFont="1" applyFill="1" applyBorder="1"/>
    <xf numFmtId="3" fontId="18" fillId="2" borderId="5" xfId="0" applyNumberFormat="1" applyFont="1" applyFill="1" applyBorder="1"/>
    <xf numFmtId="0" fontId="18" fillId="2" borderId="5" xfId="0" applyFont="1" applyFill="1" applyBorder="1" applyAlignment="1">
      <alignment horizontal="center"/>
    </xf>
    <xf numFmtId="3" fontId="4" fillId="0" borderId="4" xfId="0" applyNumberFormat="1" applyFont="1" applyBorder="1"/>
    <xf numFmtId="10" fontId="18" fillId="2" borderId="5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2" fillId="0" borderId="7" xfId="0" applyNumberFormat="1" applyFont="1" applyBorder="1" applyAlignment="1">
      <alignment horizontal="left"/>
    </xf>
    <xf numFmtId="0" fontId="15" fillId="0" borderId="15" xfId="0" applyFont="1" applyBorder="1"/>
    <xf numFmtId="0" fontId="0" fillId="0" borderId="15" xfId="0" applyBorder="1"/>
    <xf numFmtId="0" fontId="20" fillId="7" borderId="7" xfId="0" applyFont="1" applyFill="1" applyBorder="1"/>
    <xf numFmtId="0" fontId="20" fillId="7" borderId="15" xfId="0" applyFont="1" applyFill="1" applyBorder="1"/>
    <xf numFmtId="3" fontId="20" fillId="7" borderId="15" xfId="0" applyNumberFormat="1" applyFont="1" applyFill="1" applyBorder="1" applyAlignment="1">
      <alignment horizontal="right"/>
    </xf>
    <xf numFmtId="0" fontId="2" fillId="7" borderId="15" xfId="0" applyFont="1" applyFill="1" applyBorder="1"/>
    <xf numFmtId="3" fontId="20" fillId="7" borderId="8" xfId="0" applyNumberFormat="1" applyFont="1" applyFill="1" applyBorder="1" applyAlignment="1">
      <alignment horizontal="centerContinuous"/>
    </xf>
    <xf numFmtId="0" fontId="20" fillId="0" borderId="0" xfId="0" applyFont="1"/>
    <xf numFmtId="3" fontId="20" fillId="0" borderId="0" xfId="0" applyNumberFormat="1" applyFont="1"/>
    <xf numFmtId="3" fontId="20" fillId="0" borderId="0" xfId="0" applyNumberFormat="1" applyFont="1" applyAlignment="1">
      <alignment horizontal="right"/>
    </xf>
    <xf numFmtId="1" fontId="15" fillId="0" borderId="13" xfId="0" applyNumberFormat="1" applyFont="1" applyBorder="1"/>
    <xf numFmtId="3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17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3" fontId="2" fillId="0" borderId="17" xfId="1" applyNumberFormat="1" applyFont="1" applyFill="1" applyBorder="1" applyAlignment="1" applyProtection="1">
      <alignment horizontal="center"/>
    </xf>
    <xf numFmtId="3" fontId="2" fillId="0" borderId="2" xfId="1" applyNumberFormat="1" applyFont="1" applyFill="1" applyBorder="1" applyAlignment="1" applyProtection="1">
      <alignment horizontal="center"/>
    </xf>
    <xf numFmtId="3" fontId="2" fillId="0" borderId="15" xfId="1" applyNumberFormat="1" applyFont="1" applyFill="1" applyBorder="1" applyAlignment="1" applyProtection="1">
      <alignment horizontal="centerContinuous"/>
    </xf>
    <xf numFmtId="1" fontId="2" fillId="0" borderId="15" xfId="0" applyNumberFormat="1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3" fontId="2" fillId="0" borderId="15" xfId="0" applyNumberFormat="1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5" xfId="0" applyFont="1" applyBorder="1"/>
    <xf numFmtId="0" fontId="2" fillId="0" borderId="4" xfId="0" applyFont="1" applyBorder="1" applyAlignment="1">
      <alignment horizontal="centerContinuous"/>
    </xf>
    <xf numFmtId="0" fontId="2" fillId="0" borderId="14" xfId="0" applyFont="1" applyBorder="1" applyAlignment="1">
      <alignment horizontal="centerContinuous"/>
    </xf>
    <xf numFmtId="0" fontId="2" fillId="0" borderId="5" xfId="0" applyFont="1" applyBorder="1" applyAlignment="1">
      <alignment horizontal="center"/>
    </xf>
    <xf numFmtId="3" fontId="2" fillId="0" borderId="4" xfId="1" applyNumberFormat="1" applyFont="1" applyFill="1" applyBorder="1" applyAlignment="1" applyProtection="1">
      <alignment horizontal="center"/>
    </xf>
    <xf numFmtId="3" fontId="2" fillId="0" borderId="14" xfId="1" applyNumberFormat="1" applyFont="1" applyFill="1" applyBorder="1" applyAlignment="1" applyProtection="1">
      <alignment horizontal="center"/>
    </xf>
    <xf numFmtId="3" fontId="2" fillId="0" borderId="5" xfId="1" applyNumberFormat="1" applyFont="1" applyFill="1" applyBorder="1" applyAlignment="1" applyProtection="1">
      <alignment horizontal="center"/>
    </xf>
    <xf numFmtId="3" fontId="2" fillId="0" borderId="15" xfId="1" applyNumberFormat="1" applyFont="1" applyFill="1" applyBorder="1" applyAlignment="1" applyProtection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166" fontId="1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7" fontId="2" fillId="0" borderId="16" xfId="0" applyNumberFormat="1" applyFont="1" applyBorder="1" applyAlignment="1">
      <alignment horizontal="center"/>
    </xf>
    <xf numFmtId="3" fontId="12" fillId="0" borderId="16" xfId="1" applyNumberFormat="1" applyFont="1" applyFill="1" applyBorder="1" applyAlignment="1" applyProtection="1">
      <alignment horizontal="center"/>
    </xf>
    <xf numFmtId="3" fontId="18" fillId="0" borderId="16" xfId="1" applyNumberFormat="1" applyFont="1" applyFill="1" applyBorder="1" applyAlignment="1" applyProtection="1">
      <alignment horizontal="center"/>
    </xf>
    <xf numFmtId="3" fontId="12" fillId="2" borderId="0" xfId="1" applyNumberFormat="1" applyFont="1" applyFill="1" applyBorder="1" applyAlignment="1" applyProtection="1">
      <alignment horizontal="center"/>
      <protection locked="0"/>
    </xf>
    <xf numFmtId="1" fontId="13" fillId="0" borderId="0" xfId="0" applyNumberFormat="1" applyFont="1" applyAlignment="1">
      <alignment horizontal="center"/>
    </xf>
    <xf numFmtId="167" fontId="13" fillId="0" borderId="2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166" fontId="12" fillId="2" borderId="1" xfId="0" applyNumberFormat="1" applyFont="1" applyFill="1" applyBorder="1" applyAlignment="1" applyProtection="1">
      <alignment horizontal="centerContinuous"/>
      <protection locked="0"/>
    </xf>
    <xf numFmtId="167" fontId="2" fillId="0" borderId="2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168" fontId="12" fillId="0" borderId="16" xfId="0" applyNumberFormat="1" applyFont="1" applyBorder="1" applyAlignment="1">
      <alignment horizontal="center"/>
    </xf>
    <xf numFmtId="168" fontId="2" fillId="0" borderId="16" xfId="0" applyNumberFormat="1" applyFont="1" applyBorder="1" applyAlignment="1">
      <alignment horizontal="center"/>
    </xf>
    <xf numFmtId="9" fontId="12" fillId="0" borderId="3" xfId="0" applyNumberFormat="1" applyFont="1" applyBorder="1" applyAlignment="1">
      <alignment horizontal="center"/>
    </xf>
    <xf numFmtId="169" fontId="13" fillId="0" borderId="0" xfId="0" applyNumberFormat="1" applyFont="1" applyAlignment="1">
      <alignment horizontal="centerContinuous"/>
    </xf>
    <xf numFmtId="3" fontId="12" fillId="2" borderId="16" xfId="1" applyNumberFormat="1" applyFont="1" applyFill="1" applyBorder="1" applyAlignment="1" applyProtection="1">
      <alignment horizontal="center"/>
      <protection locked="0"/>
    </xf>
    <xf numFmtId="3" fontId="12" fillId="2" borderId="10" xfId="0" applyNumberFormat="1" applyFont="1" applyFill="1" applyBorder="1" applyAlignment="1" applyProtection="1">
      <alignment horizontal="center"/>
      <protection locked="0"/>
    </xf>
    <xf numFmtId="167" fontId="13" fillId="0" borderId="16" xfId="0" applyNumberFormat="1" applyFont="1" applyBorder="1" applyAlignment="1">
      <alignment horizontal="center"/>
    </xf>
    <xf numFmtId="169" fontId="2" fillId="0" borderId="11" xfId="0" applyNumberFormat="1" applyFont="1" applyBorder="1" applyAlignment="1">
      <alignment horizontal="centerContinuous"/>
    </xf>
    <xf numFmtId="3" fontId="12" fillId="2" borderId="16" xfId="0" applyNumberFormat="1" applyFont="1" applyFill="1" applyBorder="1" applyAlignment="1" applyProtection="1">
      <alignment horizontal="center"/>
      <protection locked="0"/>
    </xf>
    <xf numFmtId="9" fontId="12" fillId="2" borderId="10" xfId="0" applyNumberFormat="1" applyFont="1" applyFill="1" applyBorder="1" applyAlignment="1" applyProtection="1">
      <alignment horizontal="center"/>
      <protection locked="0"/>
    </xf>
    <xf numFmtId="0" fontId="2" fillId="0" borderId="8" xfId="0" applyFont="1" applyBorder="1"/>
    <xf numFmtId="164" fontId="13" fillId="0" borderId="8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Continuous"/>
    </xf>
    <xf numFmtId="4" fontId="2" fillId="0" borderId="8" xfId="0" applyNumberFormat="1" applyFont="1" applyBorder="1"/>
    <xf numFmtId="4" fontId="2" fillId="0" borderId="15" xfId="0" applyNumberFormat="1" applyFont="1" applyBorder="1"/>
    <xf numFmtId="164" fontId="13" fillId="0" borderId="15" xfId="0" applyNumberFormat="1" applyFont="1" applyBorder="1" applyAlignment="1">
      <alignment horizontal="center"/>
    </xf>
    <xf numFmtId="3" fontId="2" fillId="0" borderId="9" xfId="0" applyNumberFormat="1" applyFont="1" applyBorder="1"/>
    <xf numFmtId="3" fontId="2" fillId="0" borderId="1" xfId="0" applyNumberFormat="1" applyFont="1" applyBorder="1"/>
    <xf numFmtId="0" fontId="2" fillId="0" borderId="1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3" fontId="18" fillId="0" borderId="17" xfId="0" applyNumberFormat="1" applyFont="1" applyBorder="1"/>
    <xf numFmtId="164" fontId="2" fillId="0" borderId="1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164" fontId="18" fillId="0" borderId="2" xfId="0" applyNumberFormat="1" applyFont="1" applyBorder="1" applyAlignment="1">
      <alignment horizontal="center"/>
    </xf>
    <xf numFmtId="2" fontId="18" fillId="0" borderId="1" xfId="0" applyNumberFormat="1" applyFont="1" applyBorder="1"/>
    <xf numFmtId="2" fontId="18" fillId="0" borderId="2" xfId="0" applyNumberFormat="1" applyFont="1" applyBorder="1"/>
    <xf numFmtId="164" fontId="13" fillId="0" borderId="1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12" fillId="2" borderId="17" xfId="0" applyNumberFormat="1" applyFont="1" applyFill="1" applyBorder="1" applyProtection="1">
      <protection locked="0"/>
    </xf>
    <xf numFmtId="3" fontId="2" fillId="0" borderId="10" xfId="0" applyNumberFormat="1" applyFont="1" applyBorder="1"/>
    <xf numFmtId="164" fontId="13" fillId="0" borderId="0" xfId="0" applyNumberFormat="1" applyFont="1" applyAlignment="1">
      <alignment horizontal="center"/>
    </xf>
    <xf numFmtId="164" fontId="18" fillId="2" borderId="11" xfId="0" applyNumberFormat="1" applyFont="1" applyFill="1" applyBorder="1" applyAlignment="1" applyProtection="1">
      <alignment horizontal="center"/>
      <protection locked="0"/>
    </xf>
    <xf numFmtId="164" fontId="18" fillId="2" borderId="16" xfId="0" applyNumberFormat="1" applyFont="1" applyFill="1" applyBorder="1" applyAlignment="1" applyProtection="1">
      <alignment horizontal="center"/>
      <protection locked="0"/>
    </xf>
    <xf numFmtId="2" fontId="18" fillId="2" borderId="11" xfId="0" applyNumberFormat="1" applyFont="1" applyFill="1" applyBorder="1" applyProtection="1">
      <protection locked="0"/>
    </xf>
    <xf numFmtId="2" fontId="18" fillId="2" borderId="16" xfId="0" applyNumberFormat="1" applyFont="1" applyFill="1" applyBorder="1" applyProtection="1">
      <protection locked="0"/>
    </xf>
    <xf numFmtId="164" fontId="13" fillId="0" borderId="16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2" fontId="13" fillId="0" borderId="0" xfId="0" applyNumberFormat="1" applyFont="1"/>
    <xf numFmtId="2" fontId="13" fillId="0" borderId="16" xfId="0" applyNumberFormat="1" applyFont="1" applyBorder="1"/>
    <xf numFmtId="0" fontId="20" fillId="7" borderId="8" xfId="0" applyFont="1" applyFill="1" applyBorder="1"/>
    <xf numFmtId="3" fontId="20" fillId="7" borderId="7" xfId="0" applyNumberFormat="1" applyFont="1" applyFill="1" applyBorder="1"/>
    <xf numFmtId="164" fontId="20" fillId="0" borderId="7" xfId="0" applyNumberFormat="1" applyFont="1" applyBorder="1" applyAlignment="1">
      <alignment horizontal="left"/>
    </xf>
    <xf numFmtId="164" fontId="20" fillId="0" borderId="15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2" fontId="17" fillId="0" borderId="7" xfId="0" applyNumberFormat="1" applyFont="1" applyBorder="1"/>
    <xf numFmtId="2" fontId="20" fillId="0" borderId="8" xfId="0" applyNumberFormat="1" applyFont="1" applyBorder="1"/>
    <xf numFmtId="2" fontId="20" fillId="7" borderId="7" xfId="0" applyNumberFormat="1" applyFont="1" applyFill="1" applyBorder="1"/>
    <xf numFmtId="2" fontId="20" fillId="7" borderId="15" xfId="0" applyNumberFormat="1" applyFont="1" applyFill="1" applyBorder="1" applyAlignment="1">
      <alignment horizontal="right"/>
    </xf>
    <xf numFmtId="3" fontId="20" fillId="7" borderId="8" xfId="0" applyNumberFormat="1" applyFont="1" applyFill="1" applyBorder="1"/>
    <xf numFmtId="2" fontId="2" fillId="0" borderId="15" xfId="0" applyNumberFormat="1" applyFont="1" applyBorder="1"/>
    <xf numFmtId="0" fontId="20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right"/>
    </xf>
    <xf numFmtId="0" fontId="20" fillId="0" borderId="0" xfId="0" applyFont="1" applyAlignment="1">
      <alignment horizontal="right"/>
    </xf>
    <xf numFmtId="164" fontId="2" fillId="0" borderId="0" xfId="0" applyNumberFormat="1" applyFont="1"/>
    <xf numFmtId="0" fontId="13" fillId="0" borderId="0" xfId="0" applyFont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3" fontId="22" fillId="0" borderId="0" xfId="0" applyNumberFormat="1" applyFont="1"/>
    <xf numFmtId="0" fontId="2" fillId="0" borderId="11" xfId="0" applyFont="1" applyBorder="1"/>
    <xf numFmtId="0" fontId="13" fillId="0" borderId="15" xfId="0" applyFont="1" applyBorder="1"/>
    <xf numFmtId="0" fontId="20" fillId="7" borderId="15" xfId="0" applyFont="1" applyFill="1" applyBorder="1" applyAlignment="1">
      <alignment horizontal="right"/>
    </xf>
    <xf numFmtId="1" fontId="2" fillId="0" borderId="0" xfId="0" applyNumberFormat="1" applyFont="1"/>
    <xf numFmtId="0" fontId="5" fillId="3" borderId="0" xfId="0" applyFont="1" applyFill="1"/>
    <xf numFmtId="0" fontId="23" fillId="3" borderId="0" xfId="0" applyFont="1" applyFill="1" applyAlignment="1">
      <alignment horizontal="right"/>
    </xf>
    <xf numFmtId="164" fontId="19" fillId="6" borderId="7" xfId="0" applyNumberFormat="1" applyFont="1" applyFill="1" applyBorder="1" applyProtection="1">
      <protection locked="0"/>
    </xf>
    <xf numFmtId="164" fontId="21" fillId="2" borderId="8" xfId="0" applyNumberFormat="1" applyFont="1" applyFill="1" applyBorder="1" applyProtection="1">
      <protection locked="0"/>
    </xf>
    <xf numFmtId="164" fontId="21" fillId="2" borderId="7" xfId="0" applyNumberFormat="1" applyFont="1" applyFill="1" applyBorder="1" applyProtection="1">
      <protection locked="0"/>
    </xf>
    <xf numFmtId="164" fontId="21" fillId="2" borderId="11" xfId="0" applyNumberFormat="1" applyFont="1" applyFill="1" applyBorder="1" applyProtection="1">
      <protection locked="0"/>
    </xf>
    <xf numFmtId="164" fontId="12" fillId="2" borderId="1" xfId="0" applyNumberFormat="1" applyFont="1" applyFill="1" applyBorder="1" applyProtection="1">
      <protection locked="0"/>
    </xf>
    <xf numFmtId="2" fontId="12" fillId="2" borderId="3" xfId="0" applyNumberFormat="1" applyFont="1" applyFill="1" applyBorder="1" applyProtection="1">
      <protection locked="0"/>
    </xf>
    <xf numFmtId="164" fontId="12" fillId="2" borderId="4" xfId="0" applyNumberFormat="1" applyFont="1" applyFill="1" applyBorder="1" applyProtection="1">
      <protection locked="0"/>
    </xf>
    <xf numFmtId="2" fontId="12" fillId="2" borderId="6" xfId="0" applyNumberFormat="1" applyFont="1" applyFill="1" applyBorder="1" applyProtection="1">
      <protection locked="0"/>
    </xf>
    <xf numFmtId="2" fontId="19" fillId="6" borderId="3" xfId="0" applyNumberFormat="1" applyFont="1" applyFill="1" applyBorder="1" applyProtection="1">
      <protection locked="0"/>
    </xf>
    <xf numFmtId="10" fontId="12" fillId="2" borderId="2" xfId="0" applyNumberFormat="1" applyFont="1" applyFill="1" applyBorder="1" applyAlignment="1" applyProtection="1">
      <alignment horizontal="center"/>
      <protection locked="0"/>
    </xf>
    <xf numFmtId="3" fontId="8" fillId="0" borderId="5" xfId="0" applyNumberFormat="1" applyFont="1" applyBorder="1" applyAlignment="1">
      <alignment horizontal="center"/>
    </xf>
    <xf numFmtId="0" fontId="8" fillId="3" borderId="0" xfId="0" applyFont="1" applyFill="1"/>
    <xf numFmtId="165" fontId="8" fillId="0" borderId="0" xfId="0" applyNumberFormat="1" applyFont="1" applyAlignment="1">
      <alignment horizontal="center"/>
    </xf>
    <xf numFmtId="3" fontId="10" fillId="2" borderId="10" xfId="0" applyNumberFormat="1" applyFont="1" applyFill="1" applyBorder="1" applyAlignment="1" applyProtection="1">
      <alignment horizontal="center"/>
      <protection locked="0"/>
    </xf>
    <xf numFmtId="168" fontId="26" fillId="2" borderId="16" xfId="0" applyNumberFormat="1" applyFont="1" applyFill="1" applyBorder="1" applyAlignment="1" applyProtection="1">
      <alignment horizontal="center"/>
      <protection locked="0"/>
    </xf>
    <xf numFmtId="3" fontId="18" fillId="2" borderId="10" xfId="0" applyNumberFormat="1" applyFont="1" applyFill="1" applyBorder="1" applyProtection="1">
      <protection locked="0"/>
    </xf>
    <xf numFmtId="171" fontId="27" fillId="2" borderId="0" xfId="1" applyNumberFormat="1" applyFont="1" applyFill="1" applyAlignment="1" applyProtection="1">
      <alignment horizontal="right"/>
      <protection locked="0"/>
    </xf>
    <xf numFmtId="170" fontId="10" fillId="2" borderId="17" xfId="1" applyNumberFormat="1" applyFont="1" applyFill="1" applyBorder="1" applyAlignment="1" applyProtection="1">
      <alignment horizontal="center"/>
      <protection locked="0"/>
    </xf>
    <xf numFmtId="170" fontId="10" fillId="2" borderId="3" xfId="1" applyNumberFormat="1" applyFont="1" applyFill="1" applyBorder="1" applyAlignment="1" applyProtection="1">
      <alignment horizontal="center"/>
      <protection locked="0"/>
    </xf>
    <xf numFmtId="3" fontId="18" fillId="2" borderId="6" xfId="0" applyNumberFormat="1" applyFont="1" applyFill="1" applyBorder="1" applyProtection="1">
      <protection locked="0"/>
    </xf>
    <xf numFmtId="0" fontId="2" fillId="0" borderId="8" xfId="0" applyFont="1" applyBorder="1" applyAlignment="1">
      <alignment horizontal="center"/>
    </xf>
    <xf numFmtId="170" fontId="10" fillId="2" borderId="2" xfId="1" applyNumberFormat="1" applyFont="1" applyFill="1" applyBorder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43" fontId="12" fillId="2" borderId="17" xfId="1" applyFont="1" applyFill="1" applyBorder="1" applyAlignment="1" applyProtection="1">
      <alignment horizontal="center"/>
      <protection locked="0"/>
    </xf>
    <xf numFmtId="43" fontId="13" fillId="0" borderId="0" xfId="1" applyFont="1" applyAlignment="1">
      <alignment horizontal="center"/>
    </xf>
    <xf numFmtId="2" fontId="2" fillId="0" borderId="0" xfId="0" applyNumberFormat="1" applyFont="1"/>
    <xf numFmtId="170" fontId="10" fillId="2" borderId="1" xfId="1" applyNumberFormat="1" applyFont="1" applyFill="1" applyBorder="1" applyAlignment="1" applyProtection="1">
      <alignment horizontal="left"/>
      <protection locked="0"/>
    </xf>
    <xf numFmtId="3" fontId="10" fillId="2" borderId="2" xfId="0" applyNumberFormat="1" applyFont="1" applyFill="1" applyBorder="1" applyProtection="1">
      <protection locked="0"/>
    </xf>
    <xf numFmtId="3" fontId="4" fillId="0" borderId="1" xfId="0" applyNumberFormat="1" applyFont="1" applyBorder="1"/>
    <xf numFmtId="0" fontId="12" fillId="2" borderId="2" xfId="0" applyFont="1" applyFill="1" applyBorder="1" applyProtection="1">
      <protection locked="0"/>
    </xf>
    <xf numFmtId="0" fontId="11" fillId="2" borderId="0" xfId="0" applyFont="1" applyFill="1" applyAlignment="1" applyProtection="1">
      <alignment horizontal="left"/>
      <protection locked="0"/>
    </xf>
    <xf numFmtId="0" fontId="2" fillId="0" borderId="0" xfId="0" applyFont="1" applyAlignment="1">
      <alignment horizontal="center"/>
    </xf>
    <xf numFmtId="0" fontId="7" fillId="0" borderId="0" xfId="0" applyFont="1"/>
    <xf numFmtId="0" fontId="2" fillId="0" borderId="15" xfId="0" applyFont="1" applyBorder="1" applyAlignment="1">
      <alignment horizontal="center"/>
    </xf>
    <xf numFmtId="0" fontId="12" fillId="2" borderId="11" xfId="0" applyFont="1" applyFill="1" applyBorder="1" applyAlignment="1" applyProtection="1">
      <alignment horizontal="left"/>
      <protection locked="0"/>
    </xf>
    <xf numFmtId="0" fontId="12" fillId="2" borderId="16" xfId="0" applyFont="1" applyFill="1" applyBorder="1" applyAlignment="1" applyProtection="1">
      <alignment horizontal="left"/>
      <protection locked="0"/>
    </xf>
    <xf numFmtId="2" fontId="2" fillId="0" borderId="14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3" fontId="2" fillId="0" borderId="15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1" fontId="19" fillId="2" borderId="0" xfId="1" applyNumberFormat="1" applyFont="1" applyFill="1" applyAlignment="1" applyProtection="1">
      <alignment horizontal="right"/>
      <protection locked="0"/>
    </xf>
    <xf numFmtId="0" fontId="11" fillId="2" borderId="0" xfId="0" applyFont="1" applyFill="1" applyAlignment="1" applyProtection="1">
      <alignment horizontal="left"/>
      <protection locked="0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19" fillId="2" borderId="0" xfId="0" applyNumberFormat="1" applyFont="1" applyFill="1" applyAlignment="1" applyProtection="1">
      <alignment horizontal="left"/>
      <protection locked="0"/>
    </xf>
    <xf numFmtId="0" fontId="19" fillId="2" borderId="0" xfId="0" applyFont="1" applyFill="1" applyAlignment="1" applyProtection="1">
      <alignment horizontal="left"/>
      <protection locked="0"/>
    </xf>
    <xf numFmtId="3" fontId="11" fillId="2" borderId="0" xfId="0" applyNumberFormat="1" applyFont="1" applyFill="1" applyAlignment="1" applyProtection="1">
      <alignment horizontal="left"/>
      <protection locked="0"/>
    </xf>
    <xf numFmtId="0" fontId="4" fillId="0" borderId="0" xfId="0" applyFont="1" applyAlignment="1">
      <alignment horizontal="center" vertical="top" wrapText="1"/>
    </xf>
    <xf numFmtId="3" fontId="9" fillId="0" borderId="0" xfId="0" applyNumberFormat="1" applyFont="1" applyAlignment="1">
      <alignment horizontal="left" vertical="center"/>
    </xf>
    <xf numFmtId="0" fontId="7" fillId="0" borderId="0" xfId="0" applyFont="1"/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7" fillId="5" borderId="7" xfId="0" applyFont="1" applyFill="1" applyBorder="1" applyAlignment="1">
      <alignment horizontal="left"/>
    </xf>
    <xf numFmtId="0" fontId="17" fillId="5" borderId="15" xfId="0" applyFont="1" applyFill="1" applyBorder="1" applyAlignment="1">
      <alignment horizontal="left"/>
    </xf>
    <xf numFmtId="2" fontId="17" fillId="5" borderId="15" xfId="0" applyNumberFormat="1" applyFont="1" applyFill="1" applyBorder="1" applyAlignment="1">
      <alignment horizontal="center"/>
    </xf>
    <xf numFmtId="2" fontId="17" fillId="5" borderId="8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2" fontId="2" fillId="0" borderId="17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3" fontId="24" fillId="5" borderId="15" xfId="0" applyNumberFormat="1" applyFont="1" applyFill="1" applyBorder="1" applyAlignment="1">
      <alignment horizontal="center"/>
    </xf>
    <xf numFmtId="3" fontId="24" fillId="5" borderId="8" xfId="0" applyNumberFormat="1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14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3" fontId="25" fillId="2" borderId="15" xfId="0" applyNumberFormat="1" applyFont="1" applyFill="1" applyBorder="1" applyAlignment="1" applyProtection="1">
      <alignment horizontal="center"/>
      <protection locked="0"/>
    </xf>
    <xf numFmtId="3" fontId="25" fillId="2" borderId="8" xfId="0" applyNumberFormat="1" applyFont="1" applyFill="1" applyBorder="1" applyAlignment="1" applyProtection="1">
      <alignment horizontal="center"/>
      <protection locked="0"/>
    </xf>
    <xf numFmtId="3" fontId="2" fillId="0" borderId="15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8" fillId="6" borderId="15" xfId="0" applyNumberFormat="1" applyFont="1" applyFill="1" applyBorder="1" applyAlignment="1">
      <alignment horizontal="center"/>
    </xf>
    <xf numFmtId="3" fontId="8" fillId="6" borderId="8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8" fillId="2" borderId="11" xfId="0" applyFont="1" applyFill="1" applyBorder="1" applyAlignment="1" applyProtection="1">
      <alignment horizontal="left"/>
      <protection locked="0"/>
    </xf>
    <xf numFmtId="0" fontId="18" fillId="2" borderId="0" xfId="0" applyFont="1" applyFill="1" applyAlignment="1" applyProtection="1">
      <alignment horizontal="left"/>
      <protection locked="0"/>
    </xf>
    <xf numFmtId="0" fontId="18" fillId="2" borderId="16" xfId="0" applyFont="1" applyFill="1" applyBorder="1" applyAlignment="1" applyProtection="1">
      <alignment horizontal="left"/>
      <protection locked="0"/>
    </xf>
    <xf numFmtId="0" fontId="18" fillId="2" borderId="4" xfId="0" applyFont="1" applyFill="1" applyBorder="1" applyAlignment="1" applyProtection="1">
      <alignment horizontal="left"/>
      <protection locked="0"/>
    </xf>
    <xf numFmtId="0" fontId="18" fillId="2" borderId="14" xfId="0" applyFont="1" applyFill="1" applyBorder="1" applyAlignment="1" applyProtection="1">
      <alignment horizontal="left"/>
      <protection locked="0"/>
    </xf>
    <xf numFmtId="0" fontId="18" fillId="2" borderId="5" xfId="0" applyFont="1" applyFill="1" applyBorder="1" applyAlignment="1" applyProtection="1">
      <alignment horizontal="left"/>
      <protection locked="0"/>
    </xf>
    <xf numFmtId="2" fontId="21" fillId="2" borderId="17" xfId="0" applyNumberFormat="1" applyFont="1" applyFill="1" applyBorder="1" applyProtection="1">
      <protection locked="0"/>
    </xf>
    <xf numFmtId="0" fontId="12" fillId="8" borderId="1" xfId="0" applyFont="1" applyFill="1" applyBorder="1" applyProtection="1">
      <protection locked="0"/>
    </xf>
    <xf numFmtId="0" fontId="2" fillId="8" borderId="2" xfId="0" applyFont="1" applyFill="1" applyBorder="1"/>
    <xf numFmtId="0" fontId="12" fillId="8" borderId="11" xfId="0" applyFont="1" applyFill="1" applyBorder="1" applyAlignment="1" applyProtection="1">
      <alignment horizontal="left"/>
      <protection locked="0"/>
    </xf>
    <xf numFmtId="0" fontId="2" fillId="8" borderId="16" xfId="0" applyFont="1" applyFill="1" applyBorder="1"/>
    <xf numFmtId="0" fontId="8" fillId="8" borderId="16" xfId="0" applyFont="1" applyFill="1" applyBorder="1"/>
    <xf numFmtId="3" fontId="2" fillId="8" borderId="11" xfId="0" applyNumberFormat="1" applyFont="1" applyFill="1" applyBorder="1"/>
    <xf numFmtId="0" fontId="12" fillId="9" borderId="11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28" fillId="10" borderId="27" xfId="0" applyFont="1" applyFill="1" applyBorder="1" applyAlignment="1">
      <alignment horizontal="center" wrapText="1"/>
    </xf>
    <xf numFmtId="0" fontId="28" fillId="10" borderId="13" xfId="0" applyFont="1" applyFill="1" applyBorder="1" applyAlignment="1">
      <alignment horizontal="center" wrapText="1"/>
    </xf>
    <xf numFmtId="0" fontId="28" fillId="10" borderId="28" xfId="0" applyFont="1" applyFill="1" applyBorder="1" applyAlignment="1">
      <alignment horizontal="center" wrapText="1"/>
    </xf>
    <xf numFmtId="0" fontId="28" fillId="10" borderId="29" xfId="0" applyFont="1" applyFill="1" applyBorder="1" applyAlignment="1">
      <alignment horizontal="center" wrapText="1"/>
    </xf>
    <xf numFmtId="0" fontId="28" fillId="10" borderId="24" xfId="0" applyFont="1" applyFill="1" applyBorder="1" applyAlignment="1">
      <alignment horizontal="center" wrapText="1"/>
    </xf>
    <xf numFmtId="0" fontId="28" fillId="10" borderId="30" xfId="0" applyFont="1" applyFill="1" applyBorder="1" applyAlignment="1">
      <alignment horizontal="center" wrapText="1"/>
    </xf>
    <xf numFmtId="0" fontId="30" fillId="11" borderId="26" xfId="0" applyFont="1" applyFill="1" applyBorder="1" applyAlignment="1">
      <alignment horizontal="left" vertical="center" wrapText="1"/>
    </xf>
    <xf numFmtId="0" fontId="30" fillId="11" borderId="31" xfId="0" applyFont="1" applyFill="1" applyBorder="1" applyAlignment="1">
      <alignment horizontal="center" vertical="center" wrapText="1"/>
    </xf>
    <xf numFmtId="0" fontId="30" fillId="12" borderId="26" xfId="0" applyFont="1" applyFill="1" applyBorder="1" applyAlignment="1">
      <alignment horizontal="center" vertical="center" wrapText="1"/>
    </xf>
    <xf numFmtId="0" fontId="30" fillId="12" borderId="31" xfId="0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left"/>
    </xf>
    <xf numFmtId="165" fontId="2" fillId="3" borderId="21" xfId="0" applyNumberFormat="1" applyFont="1" applyFill="1" applyBorder="1" applyAlignment="1">
      <alignment horizontal="center"/>
    </xf>
    <xf numFmtId="0" fontId="31" fillId="3" borderId="0" xfId="0" applyFont="1" applyFill="1"/>
    <xf numFmtId="173" fontId="31" fillId="3" borderId="20" xfId="0" applyNumberFormat="1" applyFont="1" applyFill="1" applyBorder="1" applyAlignment="1">
      <alignment horizontal="center"/>
    </xf>
    <xf numFmtId="173" fontId="31" fillId="3" borderId="21" xfId="0" applyNumberFormat="1" applyFont="1" applyFill="1" applyBorder="1" applyAlignment="1">
      <alignment horizontal="center"/>
    </xf>
    <xf numFmtId="0" fontId="30" fillId="13" borderId="26" xfId="0" applyFont="1" applyFill="1" applyBorder="1" applyAlignment="1">
      <alignment horizontal="left" vertical="center" wrapText="1"/>
    </xf>
    <xf numFmtId="0" fontId="30" fillId="13" borderId="31" xfId="0" applyFont="1" applyFill="1" applyBorder="1" applyAlignment="1">
      <alignment horizontal="center" vertical="center" wrapText="1"/>
    </xf>
    <xf numFmtId="0" fontId="31" fillId="0" borderId="0" xfId="0" applyFont="1"/>
    <xf numFmtId="165" fontId="2" fillId="0" borderId="21" xfId="0" applyNumberFormat="1" applyFont="1" applyBorder="1" applyAlignment="1">
      <alignment horizontal="center"/>
    </xf>
    <xf numFmtId="0" fontId="30" fillId="14" borderId="26" xfId="0" applyFont="1" applyFill="1" applyBorder="1" applyAlignment="1">
      <alignment horizontal="left" vertical="center" wrapText="1"/>
    </xf>
    <xf numFmtId="0" fontId="30" fillId="14" borderId="31" xfId="0" applyFont="1" applyFill="1" applyBorder="1" applyAlignment="1">
      <alignment horizontal="center" vertical="center" wrapText="1"/>
    </xf>
    <xf numFmtId="0" fontId="30" fillId="3" borderId="0" xfId="0" applyFont="1" applyFill="1"/>
    <xf numFmtId="173" fontId="31" fillId="3" borderId="23" xfId="0" applyNumberFormat="1" applyFont="1" applyFill="1" applyBorder="1" applyAlignment="1">
      <alignment horizontal="center"/>
    </xf>
    <xf numFmtId="173" fontId="31" fillId="3" borderId="32" xfId="0" applyNumberFormat="1" applyFont="1" applyFill="1" applyBorder="1" applyAlignment="1">
      <alignment horizontal="center"/>
    </xf>
    <xf numFmtId="0" fontId="28" fillId="15" borderId="33" xfId="0" applyFont="1" applyFill="1" applyBorder="1" applyAlignment="1">
      <alignment horizontal="center" vertical="center"/>
    </xf>
    <xf numFmtId="0" fontId="28" fillId="15" borderId="31" xfId="0" applyFont="1" applyFill="1" applyBorder="1" applyAlignment="1">
      <alignment horizontal="center" vertical="center"/>
    </xf>
    <xf numFmtId="0" fontId="31" fillId="0" borderId="25" xfId="0" applyFont="1" applyBorder="1"/>
    <xf numFmtId="173" fontId="31" fillId="0" borderId="22" xfId="0" applyNumberFormat="1" applyFont="1" applyBorder="1" applyAlignment="1">
      <alignment horizontal="center"/>
    </xf>
    <xf numFmtId="0" fontId="31" fillId="0" borderId="18" xfId="0" applyFont="1" applyBorder="1"/>
    <xf numFmtId="173" fontId="31" fillId="0" borderId="19" xfId="0" applyNumberFormat="1" applyFont="1" applyBorder="1" applyAlignment="1">
      <alignment horizontal="center"/>
    </xf>
    <xf numFmtId="0" fontId="31" fillId="0" borderId="20" xfId="0" applyFont="1" applyBorder="1"/>
    <xf numFmtId="173" fontId="31" fillId="0" borderId="21" xfId="0" applyNumberFormat="1" applyFont="1" applyBorder="1" applyAlignment="1">
      <alignment horizontal="center"/>
    </xf>
    <xf numFmtId="0" fontId="32" fillId="0" borderId="0" xfId="0" applyFont="1"/>
    <xf numFmtId="0" fontId="29" fillId="0" borderId="0" xfId="0" applyFont="1"/>
  </cellXfs>
  <cellStyles count="4">
    <cellStyle name="Millares" xfId="1" builtinId="3"/>
    <cellStyle name="Millares 2" xfId="2" xr:uid="{25FB0C1B-87E7-46FB-8FB3-4D806A7D958C}"/>
    <cellStyle name="Millares 3" xfId="3" xr:uid="{D4F9AB1B-2137-4D9D-9566-40572677B73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3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4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5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6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7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8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9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0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1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2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3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4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5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6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7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8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9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0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1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2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3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4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5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6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7.xml><?xml version="1.0" encoding="utf-8"?>
<formControlPr xmlns="http://schemas.microsoft.com/office/spreadsheetml/2009/9/main" objectType="Drop" dropLines="3" dropStyle="combo" dx="16" fmlaLink="$V$17" fmlaRange="$V$14:$V$16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10</xdr:row>
          <xdr:rowOff>0</xdr:rowOff>
        </xdr:to>
        <xdr:sp macro="" textlink="">
          <xdr:nvSpPr>
            <xdr:cNvPr id="80897" name="Drop Down 1" hidden="1">
              <a:extLst>
                <a:ext uri="{63B3BB69-23CF-44E3-9099-C40C66FF867C}">
                  <a14:compatExt spid="_x0000_s80897"/>
                </a:ext>
                <a:ext uri="{FF2B5EF4-FFF2-40B4-BE49-F238E27FC236}">
                  <a16:creationId xmlns:a16="http://schemas.microsoft.com/office/drawing/2014/main" id="{00000000-0008-0000-0000-000001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898" name="Drop Down 2" hidden="1">
              <a:extLst>
                <a:ext uri="{63B3BB69-23CF-44E3-9099-C40C66FF867C}">
                  <a14:compatExt spid="_x0000_s80898"/>
                </a:ext>
                <a:ext uri="{FF2B5EF4-FFF2-40B4-BE49-F238E27FC236}">
                  <a16:creationId xmlns:a16="http://schemas.microsoft.com/office/drawing/2014/main" id="{00000000-0008-0000-0000-000002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899" name="Drop Down 3" hidden="1">
              <a:extLst>
                <a:ext uri="{63B3BB69-23CF-44E3-9099-C40C66FF867C}">
                  <a14:compatExt spid="_x0000_s80899"/>
                </a:ext>
                <a:ext uri="{FF2B5EF4-FFF2-40B4-BE49-F238E27FC236}">
                  <a16:creationId xmlns:a16="http://schemas.microsoft.com/office/drawing/2014/main" id="{00000000-0008-0000-0000-000003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0" name="Drop Down 4" hidden="1">
              <a:extLst>
                <a:ext uri="{63B3BB69-23CF-44E3-9099-C40C66FF867C}">
                  <a14:compatExt spid="_x0000_s80900"/>
                </a:ext>
                <a:ext uri="{FF2B5EF4-FFF2-40B4-BE49-F238E27FC236}">
                  <a16:creationId xmlns:a16="http://schemas.microsoft.com/office/drawing/2014/main" id="{00000000-0008-0000-0000-000004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1" name="Drop Down 5" hidden="1">
              <a:extLst>
                <a:ext uri="{63B3BB69-23CF-44E3-9099-C40C66FF867C}">
                  <a14:compatExt spid="_x0000_s80901"/>
                </a:ext>
                <a:ext uri="{FF2B5EF4-FFF2-40B4-BE49-F238E27FC236}">
                  <a16:creationId xmlns:a16="http://schemas.microsoft.com/office/drawing/2014/main" id="{00000000-0008-0000-0000-000005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2" name="Drop Down 6" hidden="1">
              <a:extLst>
                <a:ext uri="{63B3BB69-23CF-44E3-9099-C40C66FF867C}">
                  <a14:compatExt spid="_x0000_s80902"/>
                </a:ext>
                <a:ext uri="{FF2B5EF4-FFF2-40B4-BE49-F238E27FC236}">
                  <a16:creationId xmlns:a16="http://schemas.microsoft.com/office/drawing/2014/main" id="{00000000-0008-0000-0000-000006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3" name="Drop Down 7" hidden="1">
              <a:extLst>
                <a:ext uri="{63B3BB69-23CF-44E3-9099-C40C66FF867C}">
                  <a14:compatExt spid="_x0000_s80903"/>
                </a:ext>
                <a:ext uri="{FF2B5EF4-FFF2-40B4-BE49-F238E27FC236}">
                  <a16:creationId xmlns:a16="http://schemas.microsoft.com/office/drawing/2014/main" id="{00000000-0008-0000-0000-000007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4" name="Drop Down 8" hidden="1">
              <a:extLst>
                <a:ext uri="{63B3BB69-23CF-44E3-9099-C40C66FF867C}">
                  <a14:compatExt spid="_x0000_s80904"/>
                </a:ext>
                <a:ext uri="{FF2B5EF4-FFF2-40B4-BE49-F238E27FC236}">
                  <a16:creationId xmlns:a16="http://schemas.microsoft.com/office/drawing/2014/main" id="{00000000-0008-0000-0000-000008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5" name="Drop Down 9" hidden="1">
              <a:extLst>
                <a:ext uri="{63B3BB69-23CF-44E3-9099-C40C66FF867C}">
                  <a14:compatExt spid="_x0000_s80905"/>
                </a:ext>
                <a:ext uri="{FF2B5EF4-FFF2-40B4-BE49-F238E27FC236}">
                  <a16:creationId xmlns:a16="http://schemas.microsoft.com/office/drawing/2014/main" id="{00000000-0008-0000-0000-000009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10</xdr:row>
          <xdr:rowOff>0</xdr:rowOff>
        </xdr:to>
        <xdr:sp macro="" textlink="">
          <xdr:nvSpPr>
            <xdr:cNvPr id="95233" name="Drop Down 1" hidden="1">
              <a:extLst>
                <a:ext uri="{63B3BB69-23CF-44E3-9099-C40C66FF867C}">
                  <a14:compatExt spid="_x0000_s95233"/>
                </a:ext>
                <a:ext uri="{FF2B5EF4-FFF2-40B4-BE49-F238E27FC236}">
                  <a16:creationId xmlns:a16="http://schemas.microsoft.com/office/drawing/2014/main" id="{9465C334-6198-4B2C-9BE2-428485981F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4" name="Drop Down 2" hidden="1">
              <a:extLst>
                <a:ext uri="{63B3BB69-23CF-44E3-9099-C40C66FF867C}">
                  <a14:compatExt spid="_x0000_s95234"/>
                </a:ext>
                <a:ext uri="{FF2B5EF4-FFF2-40B4-BE49-F238E27FC236}">
                  <a16:creationId xmlns:a16="http://schemas.microsoft.com/office/drawing/2014/main" id="{7686256F-56AD-4794-911D-8297B07F31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5" name="Drop Down 3" hidden="1">
              <a:extLst>
                <a:ext uri="{63B3BB69-23CF-44E3-9099-C40C66FF867C}">
                  <a14:compatExt spid="_x0000_s95235"/>
                </a:ext>
                <a:ext uri="{FF2B5EF4-FFF2-40B4-BE49-F238E27FC236}">
                  <a16:creationId xmlns:a16="http://schemas.microsoft.com/office/drawing/2014/main" id="{272DDCC3-F140-41E7-A3ED-8414F93F5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6" name="Drop Down 4" hidden="1">
              <a:extLst>
                <a:ext uri="{63B3BB69-23CF-44E3-9099-C40C66FF867C}">
                  <a14:compatExt spid="_x0000_s95236"/>
                </a:ext>
                <a:ext uri="{FF2B5EF4-FFF2-40B4-BE49-F238E27FC236}">
                  <a16:creationId xmlns:a16="http://schemas.microsoft.com/office/drawing/2014/main" id="{1D64A802-6610-4D91-BE98-DC79CFFF4C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7" name="Drop Down 5" hidden="1">
              <a:extLst>
                <a:ext uri="{63B3BB69-23CF-44E3-9099-C40C66FF867C}">
                  <a14:compatExt spid="_x0000_s95237"/>
                </a:ext>
                <a:ext uri="{FF2B5EF4-FFF2-40B4-BE49-F238E27FC236}">
                  <a16:creationId xmlns:a16="http://schemas.microsoft.com/office/drawing/2014/main" id="{46E7F0EC-315F-4708-8ED0-6D44B214B8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8" name="Drop Down 6" hidden="1">
              <a:extLst>
                <a:ext uri="{63B3BB69-23CF-44E3-9099-C40C66FF867C}">
                  <a14:compatExt spid="_x0000_s95238"/>
                </a:ext>
                <a:ext uri="{FF2B5EF4-FFF2-40B4-BE49-F238E27FC236}">
                  <a16:creationId xmlns:a16="http://schemas.microsoft.com/office/drawing/2014/main" id="{1EB38233-7ED3-4B96-B9A9-F0949B529A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9" name="Drop Down 7" hidden="1">
              <a:extLst>
                <a:ext uri="{63B3BB69-23CF-44E3-9099-C40C66FF867C}">
                  <a14:compatExt spid="_x0000_s95239"/>
                </a:ext>
                <a:ext uri="{FF2B5EF4-FFF2-40B4-BE49-F238E27FC236}">
                  <a16:creationId xmlns:a16="http://schemas.microsoft.com/office/drawing/2014/main" id="{EE6C4EB1-2B2D-45BC-A999-A27F38E46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40" name="Drop Down 8" hidden="1">
              <a:extLst>
                <a:ext uri="{63B3BB69-23CF-44E3-9099-C40C66FF867C}">
                  <a14:compatExt spid="_x0000_s95240"/>
                </a:ext>
                <a:ext uri="{FF2B5EF4-FFF2-40B4-BE49-F238E27FC236}">
                  <a16:creationId xmlns:a16="http://schemas.microsoft.com/office/drawing/2014/main" id="{B5B36690-D40C-4C37-94FC-8DF650328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41" name="Drop Down 9" hidden="1">
              <a:extLst>
                <a:ext uri="{63B3BB69-23CF-44E3-9099-C40C66FF867C}">
                  <a14:compatExt spid="_x0000_s95241"/>
                </a:ext>
                <a:ext uri="{FF2B5EF4-FFF2-40B4-BE49-F238E27FC236}">
                  <a16:creationId xmlns:a16="http://schemas.microsoft.com/office/drawing/2014/main" id="{9AF14A2E-4C57-4E29-A9B8-C429C6BB5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10</xdr:row>
          <xdr:rowOff>0</xdr:rowOff>
        </xdr:to>
        <xdr:sp macro="" textlink="">
          <xdr:nvSpPr>
            <xdr:cNvPr id="96257" name="Drop Down 1" hidden="1">
              <a:extLst>
                <a:ext uri="{63B3BB69-23CF-44E3-9099-C40C66FF867C}">
                  <a14:compatExt spid="_x0000_s96257"/>
                </a:ext>
                <a:ext uri="{FF2B5EF4-FFF2-40B4-BE49-F238E27FC236}">
                  <a16:creationId xmlns:a16="http://schemas.microsoft.com/office/drawing/2014/main" id="{B3D9F394-BD78-4474-BEC5-036DFBD063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58" name="Drop Down 2" hidden="1">
              <a:extLst>
                <a:ext uri="{63B3BB69-23CF-44E3-9099-C40C66FF867C}">
                  <a14:compatExt spid="_x0000_s96258"/>
                </a:ext>
                <a:ext uri="{FF2B5EF4-FFF2-40B4-BE49-F238E27FC236}">
                  <a16:creationId xmlns:a16="http://schemas.microsoft.com/office/drawing/2014/main" id="{9C229DF3-6805-4142-B2AE-E028B0124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59" name="Drop Down 3" hidden="1">
              <a:extLst>
                <a:ext uri="{63B3BB69-23CF-44E3-9099-C40C66FF867C}">
                  <a14:compatExt spid="_x0000_s96259"/>
                </a:ext>
                <a:ext uri="{FF2B5EF4-FFF2-40B4-BE49-F238E27FC236}">
                  <a16:creationId xmlns:a16="http://schemas.microsoft.com/office/drawing/2014/main" id="{C68688E7-3195-4DD2-BFB0-522DDF0124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0" name="Drop Down 4" hidden="1">
              <a:extLst>
                <a:ext uri="{63B3BB69-23CF-44E3-9099-C40C66FF867C}">
                  <a14:compatExt spid="_x0000_s96260"/>
                </a:ext>
                <a:ext uri="{FF2B5EF4-FFF2-40B4-BE49-F238E27FC236}">
                  <a16:creationId xmlns:a16="http://schemas.microsoft.com/office/drawing/2014/main" id="{782DA43D-FBAC-4FF0-ACA5-11F16D572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1" name="Drop Down 5" hidden="1">
              <a:extLst>
                <a:ext uri="{63B3BB69-23CF-44E3-9099-C40C66FF867C}">
                  <a14:compatExt spid="_x0000_s96261"/>
                </a:ext>
                <a:ext uri="{FF2B5EF4-FFF2-40B4-BE49-F238E27FC236}">
                  <a16:creationId xmlns:a16="http://schemas.microsoft.com/office/drawing/2014/main" id="{BF86E786-B3EA-4E48-B6D1-6A02E7C66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2" name="Drop Down 6" hidden="1">
              <a:extLst>
                <a:ext uri="{63B3BB69-23CF-44E3-9099-C40C66FF867C}">
                  <a14:compatExt spid="_x0000_s96262"/>
                </a:ext>
                <a:ext uri="{FF2B5EF4-FFF2-40B4-BE49-F238E27FC236}">
                  <a16:creationId xmlns:a16="http://schemas.microsoft.com/office/drawing/2014/main" id="{25BD199B-0795-4CA2-9111-BA87C82C61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3" name="Drop Down 7" hidden="1">
              <a:extLst>
                <a:ext uri="{63B3BB69-23CF-44E3-9099-C40C66FF867C}">
                  <a14:compatExt spid="_x0000_s96263"/>
                </a:ext>
                <a:ext uri="{FF2B5EF4-FFF2-40B4-BE49-F238E27FC236}">
                  <a16:creationId xmlns:a16="http://schemas.microsoft.com/office/drawing/2014/main" id="{E0A1F6C8-D75A-480F-9E9E-0B3D1EC1E9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4" name="Drop Down 8" hidden="1">
              <a:extLst>
                <a:ext uri="{63B3BB69-23CF-44E3-9099-C40C66FF867C}">
                  <a14:compatExt spid="_x0000_s96264"/>
                </a:ext>
                <a:ext uri="{FF2B5EF4-FFF2-40B4-BE49-F238E27FC236}">
                  <a16:creationId xmlns:a16="http://schemas.microsoft.com/office/drawing/2014/main" id="{3FC0DA3D-9BEC-49B5-BC5C-E205298B8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5" name="Drop Down 9" hidden="1">
              <a:extLst>
                <a:ext uri="{63B3BB69-23CF-44E3-9099-C40C66FF867C}">
                  <a14:compatExt spid="_x0000_s96265"/>
                </a:ext>
                <a:ext uri="{FF2B5EF4-FFF2-40B4-BE49-F238E27FC236}">
                  <a16:creationId xmlns:a16="http://schemas.microsoft.com/office/drawing/2014/main" id="{401254A2-25CE-4DE6-B63E-468F51FEA7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5" Type="http://schemas.openxmlformats.org/officeDocument/2006/relationships/ctrlProp" Target="../ctrlProps/ctrlProp11.xml"/><Relationship Id="rId10" Type="http://schemas.openxmlformats.org/officeDocument/2006/relationships/ctrlProp" Target="../ctrlProps/ctrlProp16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1F84-779B-49B7-95A1-789EABE64441}">
  <dimension ref="B2:F23"/>
  <sheetViews>
    <sheetView tabSelected="1" workbookViewId="0">
      <selection activeCell="C21" sqref="C21"/>
    </sheetView>
  </sheetViews>
  <sheetFormatPr baseColWidth="10" defaultRowHeight="15" x14ac:dyDescent="0.25"/>
  <cols>
    <col min="2" max="2" width="25" customWidth="1"/>
    <col min="3" max="3" width="26.85546875" bestFit="1" customWidth="1"/>
    <col min="4" max="4" width="11.42578125" style="284"/>
  </cols>
  <sheetData>
    <row r="2" spans="2:6" ht="15.75" thickBot="1" x14ac:dyDescent="0.3"/>
    <row r="3" spans="2:6" x14ac:dyDescent="0.25">
      <c r="B3" s="285" t="s">
        <v>107</v>
      </c>
      <c r="C3" s="286"/>
      <c r="D3" s="286"/>
      <c r="E3" s="286"/>
      <c r="F3" s="287"/>
    </row>
    <row r="4" spans="2:6" ht="15.75" thickBot="1" x14ac:dyDescent="0.3">
      <c r="B4" s="288" t="s">
        <v>100</v>
      </c>
      <c r="C4" s="289"/>
      <c r="D4" s="289"/>
      <c r="E4" s="289"/>
      <c r="F4" s="290"/>
    </row>
    <row r="5" spans="2:6" ht="15.75" thickBot="1" x14ac:dyDescent="0.3">
      <c r="D5"/>
    </row>
    <row r="6" spans="2:6" ht="15.75" thickBot="1" x14ac:dyDescent="0.3">
      <c r="B6" s="291" t="s">
        <v>108</v>
      </c>
      <c r="C6" s="292" t="s">
        <v>101</v>
      </c>
      <c r="D6"/>
      <c r="E6" s="293" t="s">
        <v>102</v>
      </c>
      <c r="F6" s="294" t="s">
        <v>99</v>
      </c>
    </row>
    <row r="7" spans="2:6" ht="15.75" thickBot="1" x14ac:dyDescent="0.3">
      <c r="B7" s="295" t="s">
        <v>103</v>
      </c>
      <c r="C7" s="296">
        <v>19.010000000000002</v>
      </c>
      <c r="D7" s="297"/>
      <c r="E7" s="298">
        <f>+'ILO-MATARANI'!Q17</f>
        <v>47801.346626993713</v>
      </c>
      <c r="F7" s="299">
        <f>+'ILO-MATARANI'!Q20</f>
        <v>133831.97918863641</v>
      </c>
    </row>
    <row r="8" spans="2:6" ht="15.75" thickBot="1" x14ac:dyDescent="0.3">
      <c r="D8"/>
    </row>
    <row r="9" spans="2:6" ht="26.25" thickBot="1" x14ac:dyDescent="0.3">
      <c r="B9" s="300" t="s">
        <v>104</v>
      </c>
      <c r="C9" s="301" t="s">
        <v>101</v>
      </c>
      <c r="D9" s="302"/>
      <c r="E9" s="293" t="s">
        <v>102</v>
      </c>
      <c r="F9" s="294" t="s">
        <v>99</v>
      </c>
    </row>
    <row r="10" spans="2:6" ht="15.75" thickBot="1" x14ac:dyDescent="0.3">
      <c r="B10" s="295" t="s">
        <v>103</v>
      </c>
      <c r="C10" s="303">
        <v>22.82</v>
      </c>
      <c r="D10" s="297"/>
      <c r="E10" s="298">
        <f>+'ILO-SAN JUAN DE MARCONA'!Q17</f>
        <v>34573.371520441637</v>
      </c>
      <c r="F10" s="299">
        <f>+'ILO-SAN JUAN DE MARCONA'!Q20</f>
        <v>112545.40341136364</v>
      </c>
    </row>
    <row r="11" spans="2:6" ht="15.75" thickBot="1" x14ac:dyDescent="0.3">
      <c r="D11"/>
    </row>
    <row r="12" spans="2:6" ht="26.25" thickBot="1" x14ac:dyDescent="0.3">
      <c r="B12" s="304" t="s">
        <v>109</v>
      </c>
      <c r="C12" s="305" t="s">
        <v>101</v>
      </c>
      <c r="D12" s="302"/>
      <c r="E12" s="293" t="s">
        <v>102</v>
      </c>
      <c r="F12" s="294" t="s">
        <v>99</v>
      </c>
    </row>
    <row r="13" spans="2:6" ht="15.75" thickBot="1" x14ac:dyDescent="0.3">
      <c r="B13" s="295" t="s">
        <v>103</v>
      </c>
      <c r="C13" s="296">
        <v>20.87</v>
      </c>
      <c r="D13" s="306"/>
      <c r="E13" s="307">
        <f>+'ILO-MEJILLONES'!Q17</f>
        <v>28705.629959387108</v>
      </c>
      <c r="F13" s="308">
        <f>+'ILO-MEJILLONES'!Q20</f>
        <v>84367.497147727248</v>
      </c>
    </row>
    <row r="14" spans="2:6" x14ac:dyDescent="0.25">
      <c r="D14"/>
    </row>
    <row r="15" spans="2:6" ht="15.75" thickBot="1" x14ac:dyDescent="0.3">
      <c r="D15"/>
    </row>
    <row r="16" spans="2:6" ht="15.75" thickBot="1" x14ac:dyDescent="0.3">
      <c r="B16" s="309" t="s">
        <v>110</v>
      </c>
      <c r="C16" s="310"/>
      <c r="D16"/>
    </row>
    <row r="17" spans="2:4" x14ac:dyDescent="0.25">
      <c r="B17" s="311" t="s">
        <v>67</v>
      </c>
      <c r="C17" s="312">
        <v>23000</v>
      </c>
      <c r="D17"/>
    </row>
    <row r="18" spans="2:4" x14ac:dyDescent="0.25">
      <c r="B18" s="313" t="s">
        <v>96</v>
      </c>
      <c r="C18" s="314">
        <v>18000</v>
      </c>
      <c r="D18"/>
    </row>
    <row r="19" spans="2:4" x14ac:dyDescent="0.25">
      <c r="B19" s="313" t="s">
        <v>97</v>
      </c>
      <c r="C19" s="314">
        <v>44000</v>
      </c>
      <c r="D19"/>
    </row>
    <row r="20" spans="2:4" ht="15.75" thickBot="1" x14ac:dyDescent="0.3">
      <c r="B20" s="315" t="s">
        <v>94</v>
      </c>
      <c r="C20" s="316">
        <v>32000</v>
      </c>
      <c r="D20"/>
    </row>
    <row r="21" spans="2:4" x14ac:dyDescent="0.25">
      <c r="D21"/>
    </row>
    <row r="22" spans="2:4" x14ac:dyDescent="0.25">
      <c r="B22" s="317" t="s">
        <v>105</v>
      </c>
      <c r="D22"/>
    </row>
    <row r="23" spans="2:4" x14ac:dyDescent="0.25">
      <c r="B23" s="318" t="s">
        <v>106</v>
      </c>
      <c r="D23"/>
    </row>
  </sheetData>
  <mergeCells count="3">
    <mergeCell ref="B16:C16"/>
    <mergeCell ref="B3:F3"/>
    <mergeCell ref="B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6F25-7981-4C96-8398-E865EBB06A42}">
  <sheetPr>
    <pageSetUpPr fitToPage="1"/>
  </sheetPr>
  <dimension ref="A1:X63"/>
  <sheetViews>
    <sheetView topLeftCell="A10" workbookViewId="0">
      <selection activeCell="D43" sqref="D43"/>
    </sheetView>
  </sheetViews>
  <sheetFormatPr baseColWidth="10" defaultColWidth="7.28515625" defaultRowHeight="12.75" x14ac:dyDescent="0.2"/>
  <cols>
    <col min="1" max="1" width="1.5703125" style="1" customWidth="1"/>
    <col min="2" max="2" width="19.140625" style="1" customWidth="1"/>
    <col min="3" max="3" width="14.85546875" style="1" customWidth="1"/>
    <col min="4" max="4" width="12.42578125" style="1" customWidth="1"/>
    <col min="5" max="5" width="7.5703125" style="3" customWidth="1"/>
    <col min="6" max="6" width="6.5703125" style="1" customWidth="1"/>
    <col min="7" max="7" width="21.140625" style="1" customWidth="1"/>
    <col min="8" max="8" width="7.85546875" style="184" customWidth="1"/>
    <col min="9" max="9" width="13.28515625" style="1" customWidth="1"/>
    <col min="10" max="10" width="7.42578125" style="1" customWidth="1"/>
    <col min="11" max="11" width="9.28515625" style="1" bestFit="1" customWidth="1"/>
    <col min="12" max="12" width="9.7109375" style="1" customWidth="1"/>
    <col min="13" max="13" width="9.42578125" style="1" customWidth="1"/>
    <col min="14" max="14" width="18.5703125" style="1" customWidth="1"/>
    <col min="15" max="15" width="10" style="1" customWidth="1"/>
    <col min="16" max="16" width="7.42578125" style="1" customWidth="1"/>
    <col min="17" max="17" width="8.7109375" style="1" customWidth="1"/>
    <col min="18" max="18" width="8.85546875" style="1" customWidth="1"/>
    <col min="19" max="19" width="10.7109375" style="1" customWidth="1"/>
    <col min="20" max="20" width="4.85546875" style="1" customWidth="1"/>
    <col min="21" max="21" width="7.5703125" style="1" customWidth="1"/>
    <col min="22" max="22" width="27.140625" style="1" hidden="1" customWidth="1"/>
    <col min="23" max="24" width="7.5703125" style="1" customWidth="1"/>
    <col min="25" max="256" width="7.28515625" style="1"/>
    <col min="257" max="257" width="1.5703125" style="1" customWidth="1"/>
    <col min="258" max="258" width="16.7109375" style="1" customWidth="1"/>
    <col min="259" max="259" width="11.5703125" style="1" customWidth="1"/>
    <col min="260" max="260" width="9.140625" style="1" customWidth="1"/>
    <col min="261" max="261" width="8.140625" style="1" customWidth="1"/>
    <col min="262" max="262" width="6.5703125" style="1" customWidth="1"/>
    <col min="263" max="263" width="24.140625" style="1" customWidth="1"/>
    <col min="264" max="264" width="7.85546875" style="1" customWidth="1"/>
    <col min="265" max="265" width="13.28515625" style="1" customWidth="1"/>
    <col min="266" max="269" width="7.42578125" style="1" customWidth="1"/>
    <col min="270" max="270" width="18.5703125" style="1" customWidth="1"/>
    <col min="271" max="271" width="10" style="1" customWidth="1"/>
    <col min="272" max="274" width="7.42578125" style="1" customWidth="1"/>
    <col min="275" max="275" width="9.140625" style="1" bestFit="1" customWidth="1"/>
    <col min="276" max="276" width="4.85546875" style="1" customWidth="1"/>
    <col min="277" max="277" width="7.28515625" style="1"/>
    <col min="278" max="278" width="0" style="1" hidden="1" customWidth="1"/>
    <col min="279" max="512" width="7.28515625" style="1"/>
    <col min="513" max="513" width="1.5703125" style="1" customWidth="1"/>
    <col min="514" max="514" width="16.7109375" style="1" customWidth="1"/>
    <col min="515" max="515" width="11.5703125" style="1" customWidth="1"/>
    <col min="516" max="516" width="9.140625" style="1" customWidth="1"/>
    <col min="517" max="517" width="8.140625" style="1" customWidth="1"/>
    <col min="518" max="518" width="6.5703125" style="1" customWidth="1"/>
    <col min="519" max="519" width="24.140625" style="1" customWidth="1"/>
    <col min="520" max="520" width="7.85546875" style="1" customWidth="1"/>
    <col min="521" max="521" width="13.28515625" style="1" customWidth="1"/>
    <col min="522" max="525" width="7.42578125" style="1" customWidth="1"/>
    <col min="526" max="526" width="18.5703125" style="1" customWidth="1"/>
    <col min="527" max="527" width="10" style="1" customWidth="1"/>
    <col min="528" max="530" width="7.42578125" style="1" customWidth="1"/>
    <col min="531" max="531" width="9.140625" style="1" bestFit="1" customWidth="1"/>
    <col min="532" max="532" width="4.85546875" style="1" customWidth="1"/>
    <col min="533" max="533" width="7.28515625" style="1"/>
    <col min="534" max="534" width="0" style="1" hidden="1" customWidth="1"/>
    <col min="535" max="768" width="7.28515625" style="1"/>
    <col min="769" max="769" width="1.5703125" style="1" customWidth="1"/>
    <col min="770" max="770" width="16.7109375" style="1" customWidth="1"/>
    <col min="771" max="771" width="11.5703125" style="1" customWidth="1"/>
    <col min="772" max="772" width="9.140625" style="1" customWidth="1"/>
    <col min="773" max="773" width="8.140625" style="1" customWidth="1"/>
    <col min="774" max="774" width="6.5703125" style="1" customWidth="1"/>
    <col min="775" max="775" width="24.140625" style="1" customWidth="1"/>
    <col min="776" max="776" width="7.85546875" style="1" customWidth="1"/>
    <col min="777" max="777" width="13.28515625" style="1" customWidth="1"/>
    <col min="778" max="781" width="7.42578125" style="1" customWidth="1"/>
    <col min="782" max="782" width="18.5703125" style="1" customWidth="1"/>
    <col min="783" max="783" width="10" style="1" customWidth="1"/>
    <col min="784" max="786" width="7.42578125" style="1" customWidth="1"/>
    <col min="787" max="787" width="9.140625" style="1" bestFit="1" customWidth="1"/>
    <col min="788" max="788" width="4.85546875" style="1" customWidth="1"/>
    <col min="789" max="789" width="7.28515625" style="1"/>
    <col min="790" max="790" width="0" style="1" hidden="1" customWidth="1"/>
    <col min="791" max="1024" width="7.28515625" style="1"/>
    <col min="1025" max="1025" width="1.5703125" style="1" customWidth="1"/>
    <col min="1026" max="1026" width="16.7109375" style="1" customWidth="1"/>
    <col min="1027" max="1027" width="11.5703125" style="1" customWidth="1"/>
    <col min="1028" max="1028" width="9.140625" style="1" customWidth="1"/>
    <col min="1029" max="1029" width="8.140625" style="1" customWidth="1"/>
    <col min="1030" max="1030" width="6.5703125" style="1" customWidth="1"/>
    <col min="1031" max="1031" width="24.140625" style="1" customWidth="1"/>
    <col min="1032" max="1032" width="7.85546875" style="1" customWidth="1"/>
    <col min="1033" max="1033" width="13.28515625" style="1" customWidth="1"/>
    <col min="1034" max="1037" width="7.42578125" style="1" customWidth="1"/>
    <col min="1038" max="1038" width="18.5703125" style="1" customWidth="1"/>
    <col min="1039" max="1039" width="10" style="1" customWidth="1"/>
    <col min="1040" max="1042" width="7.42578125" style="1" customWidth="1"/>
    <col min="1043" max="1043" width="9.140625" style="1" bestFit="1" customWidth="1"/>
    <col min="1044" max="1044" width="4.85546875" style="1" customWidth="1"/>
    <col min="1045" max="1045" width="7.28515625" style="1"/>
    <col min="1046" max="1046" width="0" style="1" hidden="1" customWidth="1"/>
    <col min="1047" max="1280" width="7.28515625" style="1"/>
    <col min="1281" max="1281" width="1.5703125" style="1" customWidth="1"/>
    <col min="1282" max="1282" width="16.7109375" style="1" customWidth="1"/>
    <col min="1283" max="1283" width="11.5703125" style="1" customWidth="1"/>
    <col min="1284" max="1284" width="9.140625" style="1" customWidth="1"/>
    <col min="1285" max="1285" width="8.140625" style="1" customWidth="1"/>
    <col min="1286" max="1286" width="6.5703125" style="1" customWidth="1"/>
    <col min="1287" max="1287" width="24.140625" style="1" customWidth="1"/>
    <col min="1288" max="1288" width="7.85546875" style="1" customWidth="1"/>
    <col min="1289" max="1289" width="13.28515625" style="1" customWidth="1"/>
    <col min="1290" max="1293" width="7.42578125" style="1" customWidth="1"/>
    <col min="1294" max="1294" width="18.5703125" style="1" customWidth="1"/>
    <col min="1295" max="1295" width="10" style="1" customWidth="1"/>
    <col min="1296" max="1298" width="7.42578125" style="1" customWidth="1"/>
    <col min="1299" max="1299" width="9.140625" style="1" bestFit="1" customWidth="1"/>
    <col min="1300" max="1300" width="4.85546875" style="1" customWidth="1"/>
    <col min="1301" max="1301" width="7.28515625" style="1"/>
    <col min="1302" max="1302" width="0" style="1" hidden="1" customWidth="1"/>
    <col min="1303" max="1536" width="7.28515625" style="1"/>
    <col min="1537" max="1537" width="1.5703125" style="1" customWidth="1"/>
    <col min="1538" max="1538" width="16.7109375" style="1" customWidth="1"/>
    <col min="1539" max="1539" width="11.5703125" style="1" customWidth="1"/>
    <col min="1540" max="1540" width="9.140625" style="1" customWidth="1"/>
    <col min="1541" max="1541" width="8.140625" style="1" customWidth="1"/>
    <col min="1542" max="1542" width="6.5703125" style="1" customWidth="1"/>
    <col min="1543" max="1543" width="24.140625" style="1" customWidth="1"/>
    <col min="1544" max="1544" width="7.85546875" style="1" customWidth="1"/>
    <col min="1545" max="1545" width="13.28515625" style="1" customWidth="1"/>
    <col min="1546" max="1549" width="7.42578125" style="1" customWidth="1"/>
    <col min="1550" max="1550" width="18.5703125" style="1" customWidth="1"/>
    <col min="1551" max="1551" width="10" style="1" customWidth="1"/>
    <col min="1552" max="1554" width="7.42578125" style="1" customWidth="1"/>
    <col min="1555" max="1555" width="9.140625" style="1" bestFit="1" customWidth="1"/>
    <col min="1556" max="1556" width="4.85546875" style="1" customWidth="1"/>
    <col min="1557" max="1557" width="7.28515625" style="1"/>
    <col min="1558" max="1558" width="0" style="1" hidden="1" customWidth="1"/>
    <col min="1559" max="1792" width="7.28515625" style="1"/>
    <col min="1793" max="1793" width="1.5703125" style="1" customWidth="1"/>
    <col min="1794" max="1794" width="16.7109375" style="1" customWidth="1"/>
    <col min="1795" max="1795" width="11.5703125" style="1" customWidth="1"/>
    <col min="1796" max="1796" width="9.140625" style="1" customWidth="1"/>
    <col min="1797" max="1797" width="8.140625" style="1" customWidth="1"/>
    <col min="1798" max="1798" width="6.5703125" style="1" customWidth="1"/>
    <col min="1799" max="1799" width="24.140625" style="1" customWidth="1"/>
    <col min="1800" max="1800" width="7.85546875" style="1" customWidth="1"/>
    <col min="1801" max="1801" width="13.28515625" style="1" customWidth="1"/>
    <col min="1802" max="1805" width="7.42578125" style="1" customWidth="1"/>
    <col min="1806" max="1806" width="18.5703125" style="1" customWidth="1"/>
    <col min="1807" max="1807" width="10" style="1" customWidth="1"/>
    <col min="1808" max="1810" width="7.42578125" style="1" customWidth="1"/>
    <col min="1811" max="1811" width="9.140625" style="1" bestFit="1" customWidth="1"/>
    <col min="1812" max="1812" width="4.85546875" style="1" customWidth="1"/>
    <col min="1813" max="1813" width="7.28515625" style="1"/>
    <col min="1814" max="1814" width="0" style="1" hidden="1" customWidth="1"/>
    <col min="1815" max="2048" width="7.28515625" style="1"/>
    <col min="2049" max="2049" width="1.5703125" style="1" customWidth="1"/>
    <col min="2050" max="2050" width="16.7109375" style="1" customWidth="1"/>
    <col min="2051" max="2051" width="11.5703125" style="1" customWidth="1"/>
    <col min="2052" max="2052" width="9.140625" style="1" customWidth="1"/>
    <col min="2053" max="2053" width="8.140625" style="1" customWidth="1"/>
    <col min="2054" max="2054" width="6.5703125" style="1" customWidth="1"/>
    <col min="2055" max="2055" width="24.140625" style="1" customWidth="1"/>
    <col min="2056" max="2056" width="7.85546875" style="1" customWidth="1"/>
    <col min="2057" max="2057" width="13.28515625" style="1" customWidth="1"/>
    <col min="2058" max="2061" width="7.42578125" style="1" customWidth="1"/>
    <col min="2062" max="2062" width="18.5703125" style="1" customWidth="1"/>
    <col min="2063" max="2063" width="10" style="1" customWidth="1"/>
    <col min="2064" max="2066" width="7.42578125" style="1" customWidth="1"/>
    <col min="2067" max="2067" width="9.140625" style="1" bestFit="1" customWidth="1"/>
    <col min="2068" max="2068" width="4.85546875" style="1" customWidth="1"/>
    <col min="2069" max="2069" width="7.28515625" style="1"/>
    <col min="2070" max="2070" width="0" style="1" hidden="1" customWidth="1"/>
    <col min="2071" max="2304" width="7.28515625" style="1"/>
    <col min="2305" max="2305" width="1.5703125" style="1" customWidth="1"/>
    <col min="2306" max="2306" width="16.7109375" style="1" customWidth="1"/>
    <col min="2307" max="2307" width="11.5703125" style="1" customWidth="1"/>
    <col min="2308" max="2308" width="9.140625" style="1" customWidth="1"/>
    <col min="2309" max="2309" width="8.140625" style="1" customWidth="1"/>
    <col min="2310" max="2310" width="6.5703125" style="1" customWidth="1"/>
    <col min="2311" max="2311" width="24.140625" style="1" customWidth="1"/>
    <col min="2312" max="2312" width="7.85546875" style="1" customWidth="1"/>
    <col min="2313" max="2313" width="13.28515625" style="1" customWidth="1"/>
    <col min="2314" max="2317" width="7.42578125" style="1" customWidth="1"/>
    <col min="2318" max="2318" width="18.5703125" style="1" customWidth="1"/>
    <col min="2319" max="2319" width="10" style="1" customWidth="1"/>
    <col min="2320" max="2322" width="7.42578125" style="1" customWidth="1"/>
    <col min="2323" max="2323" width="9.140625" style="1" bestFit="1" customWidth="1"/>
    <col min="2324" max="2324" width="4.85546875" style="1" customWidth="1"/>
    <col min="2325" max="2325" width="7.28515625" style="1"/>
    <col min="2326" max="2326" width="0" style="1" hidden="1" customWidth="1"/>
    <col min="2327" max="2560" width="7.28515625" style="1"/>
    <col min="2561" max="2561" width="1.5703125" style="1" customWidth="1"/>
    <col min="2562" max="2562" width="16.7109375" style="1" customWidth="1"/>
    <col min="2563" max="2563" width="11.5703125" style="1" customWidth="1"/>
    <col min="2564" max="2564" width="9.140625" style="1" customWidth="1"/>
    <col min="2565" max="2565" width="8.140625" style="1" customWidth="1"/>
    <col min="2566" max="2566" width="6.5703125" style="1" customWidth="1"/>
    <col min="2567" max="2567" width="24.140625" style="1" customWidth="1"/>
    <col min="2568" max="2568" width="7.85546875" style="1" customWidth="1"/>
    <col min="2569" max="2569" width="13.28515625" style="1" customWidth="1"/>
    <col min="2570" max="2573" width="7.42578125" style="1" customWidth="1"/>
    <col min="2574" max="2574" width="18.5703125" style="1" customWidth="1"/>
    <col min="2575" max="2575" width="10" style="1" customWidth="1"/>
    <col min="2576" max="2578" width="7.42578125" style="1" customWidth="1"/>
    <col min="2579" max="2579" width="9.140625" style="1" bestFit="1" customWidth="1"/>
    <col min="2580" max="2580" width="4.85546875" style="1" customWidth="1"/>
    <col min="2581" max="2581" width="7.28515625" style="1"/>
    <col min="2582" max="2582" width="0" style="1" hidden="1" customWidth="1"/>
    <col min="2583" max="2816" width="7.28515625" style="1"/>
    <col min="2817" max="2817" width="1.5703125" style="1" customWidth="1"/>
    <col min="2818" max="2818" width="16.7109375" style="1" customWidth="1"/>
    <col min="2819" max="2819" width="11.5703125" style="1" customWidth="1"/>
    <col min="2820" max="2820" width="9.140625" style="1" customWidth="1"/>
    <col min="2821" max="2821" width="8.140625" style="1" customWidth="1"/>
    <col min="2822" max="2822" width="6.5703125" style="1" customWidth="1"/>
    <col min="2823" max="2823" width="24.140625" style="1" customWidth="1"/>
    <col min="2824" max="2824" width="7.85546875" style="1" customWidth="1"/>
    <col min="2825" max="2825" width="13.28515625" style="1" customWidth="1"/>
    <col min="2826" max="2829" width="7.42578125" style="1" customWidth="1"/>
    <col min="2830" max="2830" width="18.5703125" style="1" customWidth="1"/>
    <col min="2831" max="2831" width="10" style="1" customWidth="1"/>
    <col min="2832" max="2834" width="7.42578125" style="1" customWidth="1"/>
    <col min="2835" max="2835" width="9.140625" style="1" bestFit="1" customWidth="1"/>
    <col min="2836" max="2836" width="4.85546875" style="1" customWidth="1"/>
    <col min="2837" max="2837" width="7.28515625" style="1"/>
    <col min="2838" max="2838" width="0" style="1" hidden="1" customWidth="1"/>
    <col min="2839" max="3072" width="7.28515625" style="1"/>
    <col min="3073" max="3073" width="1.5703125" style="1" customWidth="1"/>
    <col min="3074" max="3074" width="16.7109375" style="1" customWidth="1"/>
    <col min="3075" max="3075" width="11.5703125" style="1" customWidth="1"/>
    <col min="3076" max="3076" width="9.140625" style="1" customWidth="1"/>
    <col min="3077" max="3077" width="8.140625" style="1" customWidth="1"/>
    <col min="3078" max="3078" width="6.5703125" style="1" customWidth="1"/>
    <col min="3079" max="3079" width="24.140625" style="1" customWidth="1"/>
    <col min="3080" max="3080" width="7.85546875" style="1" customWidth="1"/>
    <col min="3081" max="3081" width="13.28515625" style="1" customWidth="1"/>
    <col min="3082" max="3085" width="7.42578125" style="1" customWidth="1"/>
    <col min="3086" max="3086" width="18.5703125" style="1" customWidth="1"/>
    <col min="3087" max="3087" width="10" style="1" customWidth="1"/>
    <col min="3088" max="3090" width="7.42578125" style="1" customWidth="1"/>
    <col min="3091" max="3091" width="9.140625" style="1" bestFit="1" customWidth="1"/>
    <col min="3092" max="3092" width="4.85546875" style="1" customWidth="1"/>
    <col min="3093" max="3093" width="7.28515625" style="1"/>
    <col min="3094" max="3094" width="0" style="1" hidden="1" customWidth="1"/>
    <col min="3095" max="3328" width="7.28515625" style="1"/>
    <col min="3329" max="3329" width="1.5703125" style="1" customWidth="1"/>
    <col min="3330" max="3330" width="16.7109375" style="1" customWidth="1"/>
    <col min="3331" max="3331" width="11.5703125" style="1" customWidth="1"/>
    <col min="3332" max="3332" width="9.140625" style="1" customWidth="1"/>
    <col min="3333" max="3333" width="8.140625" style="1" customWidth="1"/>
    <col min="3334" max="3334" width="6.5703125" style="1" customWidth="1"/>
    <col min="3335" max="3335" width="24.140625" style="1" customWidth="1"/>
    <col min="3336" max="3336" width="7.85546875" style="1" customWidth="1"/>
    <col min="3337" max="3337" width="13.28515625" style="1" customWidth="1"/>
    <col min="3338" max="3341" width="7.42578125" style="1" customWidth="1"/>
    <col min="3342" max="3342" width="18.5703125" style="1" customWidth="1"/>
    <col min="3343" max="3343" width="10" style="1" customWidth="1"/>
    <col min="3344" max="3346" width="7.42578125" style="1" customWidth="1"/>
    <col min="3347" max="3347" width="9.140625" style="1" bestFit="1" customWidth="1"/>
    <col min="3348" max="3348" width="4.85546875" style="1" customWidth="1"/>
    <col min="3349" max="3349" width="7.28515625" style="1"/>
    <col min="3350" max="3350" width="0" style="1" hidden="1" customWidth="1"/>
    <col min="3351" max="3584" width="7.28515625" style="1"/>
    <col min="3585" max="3585" width="1.5703125" style="1" customWidth="1"/>
    <col min="3586" max="3586" width="16.7109375" style="1" customWidth="1"/>
    <col min="3587" max="3587" width="11.5703125" style="1" customWidth="1"/>
    <col min="3588" max="3588" width="9.140625" style="1" customWidth="1"/>
    <col min="3589" max="3589" width="8.140625" style="1" customWidth="1"/>
    <col min="3590" max="3590" width="6.5703125" style="1" customWidth="1"/>
    <col min="3591" max="3591" width="24.140625" style="1" customWidth="1"/>
    <col min="3592" max="3592" width="7.85546875" style="1" customWidth="1"/>
    <col min="3593" max="3593" width="13.28515625" style="1" customWidth="1"/>
    <col min="3594" max="3597" width="7.42578125" style="1" customWidth="1"/>
    <col min="3598" max="3598" width="18.5703125" style="1" customWidth="1"/>
    <col min="3599" max="3599" width="10" style="1" customWidth="1"/>
    <col min="3600" max="3602" width="7.42578125" style="1" customWidth="1"/>
    <col min="3603" max="3603" width="9.140625" style="1" bestFit="1" customWidth="1"/>
    <col min="3604" max="3604" width="4.85546875" style="1" customWidth="1"/>
    <col min="3605" max="3605" width="7.28515625" style="1"/>
    <col min="3606" max="3606" width="0" style="1" hidden="1" customWidth="1"/>
    <col min="3607" max="3840" width="7.28515625" style="1"/>
    <col min="3841" max="3841" width="1.5703125" style="1" customWidth="1"/>
    <col min="3842" max="3842" width="16.7109375" style="1" customWidth="1"/>
    <col min="3843" max="3843" width="11.5703125" style="1" customWidth="1"/>
    <col min="3844" max="3844" width="9.140625" style="1" customWidth="1"/>
    <col min="3845" max="3845" width="8.140625" style="1" customWidth="1"/>
    <col min="3846" max="3846" width="6.5703125" style="1" customWidth="1"/>
    <col min="3847" max="3847" width="24.140625" style="1" customWidth="1"/>
    <col min="3848" max="3848" width="7.85546875" style="1" customWidth="1"/>
    <col min="3849" max="3849" width="13.28515625" style="1" customWidth="1"/>
    <col min="3850" max="3853" width="7.42578125" style="1" customWidth="1"/>
    <col min="3854" max="3854" width="18.5703125" style="1" customWidth="1"/>
    <col min="3855" max="3855" width="10" style="1" customWidth="1"/>
    <col min="3856" max="3858" width="7.42578125" style="1" customWidth="1"/>
    <col min="3859" max="3859" width="9.140625" style="1" bestFit="1" customWidth="1"/>
    <col min="3860" max="3860" width="4.85546875" style="1" customWidth="1"/>
    <col min="3861" max="3861" width="7.28515625" style="1"/>
    <col min="3862" max="3862" width="0" style="1" hidden="1" customWidth="1"/>
    <col min="3863" max="4096" width="7.28515625" style="1"/>
    <col min="4097" max="4097" width="1.5703125" style="1" customWidth="1"/>
    <col min="4098" max="4098" width="16.7109375" style="1" customWidth="1"/>
    <col min="4099" max="4099" width="11.5703125" style="1" customWidth="1"/>
    <col min="4100" max="4100" width="9.140625" style="1" customWidth="1"/>
    <col min="4101" max="4101" width="8.140625" style="1" customWidth="1"/>
    <col min="4102" max="4102" width="6.5703125" style="1" customWidth="1"/>
    <col min="4103" max="4103" width="24.140625" style="1" customWidth="1"/>
    <col min="4104" max="4104" width="7.85546875" style="1" customWidth="1"/>
    <col min="4105" max="4105" width="13.28515625" style="1" customWidth="1"/>
    <col min="4106" max="4109" width="7.42578125" style="1" customWidth="1"/>
    <col min="4110" max="4110" width="18.5703125" style="1" customWidth="1"/>
    <col min="4111" max="4111" width="10" style="1" customWidth="1"/>
    <col min="4112" max="4114" width="7.42578125" style="1" customWidth="1"/>
    <col min="4115" max="4115" width="9.140625" style="1" bestFit="1" customWidth="1"/>
    <col min="4116" max="4116" width="4.85546875" style="1" customWidth="1"/>
    <col min="4117" max="4117" width="7.28515625" style="1"/>
    <col min="4118" max="4118" width="0" style="1" hidden="1" customWidth="1"/>
    <col min="4119" max="4352" width="7.28515625" style="1"/>
    <col min="4353" max="4353" width="1.5703125" style="1" customWidth="1"/>
    <col min="4354" max="4354" width="16.7109375" style="1" customWidth="1"/>
    <col min="4355" max="4355" width="11.5703125" style="1" customWidth="1"/>
    <col min="4356" max="4356" width="9.140625" style="1" customWidth="1"/>
    <col min="4357" max="4357" width="8.140625" style="1" customWidth="1"/>
    <col min="4358" max="4358" width="6.5703125" style="1" customWidth="1"/>
    <col min="4359" max="4359" width="24.140625" style="1" customWidth="1"/>
    <col min="4360" max="4360" width="7.85546875" style="1" customWidth="1"/>
    <col min="4361" max="4361" width="13.28515625" style="1" customWidth="1"/>
    <col min="4362" max="4365" width="7.42578125" style="1" customWidth="1"/>
    <col min="4366" max="4366" width="18.5703125" style="1" customWidth="1"/>
    <col min="4367" max="4367" width="10" style="1" customWidth="1"/>
    <col min="4368" max="4370" width="7.42578125" style="1" customWidth="1"/>
    <col min="4371" max="4371" width="9.140625" style="1" bestFit="1" customWidth="1"/>
    <col min="4372" max="4372" width="4.85546875" style="1" customWidth="1"/>
    <col min="4373" max="4373" width="7.28515625" style="1"/>
    <col min="4374" max="4374" width="0" style="1" hidden="1" customWidth="1"/>
    <col min="4375" max="4608" width="7.28515625" style="1"/>
    <col min="4609" max="4609" width="1.5703125" style="1" customWidth="1"/>
    <col min="4610" max="4610" width="16.7109375" style="1" customWidth="1"/>
    <col min="4611" max="4611" width="11.5703125" style="1" customWidth="1"/>
    <col min="4612" max="4612" width="9.140625" style="1" customWidth="1"/>
    <col min="4613" max="4613" width="8.140625" style="1" customWidth="1"/>
    <col min="4614" max="4614" width="6.5703125" style="1" customWidth="1"/>
    <col min="4615" max="4615" width="24.140625" style="1" customWidth="1"/>
    <col min="4616" max="4616" width="7.85546875" style="1" customWidth="1"/>
    <col min="4617" max="4617" width="13.28515625" style="1" customWidth="1"/>
    <col min="4618" max="4621" width="7.42578125" style="1" customWidth="1"/>
    <col min="4622" max="4622" width="18.5703125" style="1" customWidth="1"/>
    <col min="4623" max="4623" width="10" style="1" customWidth="1"/>
    <col min="4624" max="4626" width="7.42578125" style="1" customWidth="1"/>
    <col min="4627" max="4627" width="9.140625" style="1" bestFit="1" customWidth="1"/>
    <col min="4628" max="4628" width="4.85546875" style="1" customWidth="1"/>
    <col min="4629" max="4629" width="7.28515625" style="1"/>
    <col min="4630" max="4630" width="0" style="1" hidden="1" customWidth="1"/>
    <col min="4631" max="4864" width="7.28515625" style="1"/>
    <col min="4865" max="4865" width="1.5703125" style="1" customWidth="1"/>
    <col min="4866" max="4866" width="16.7109375" style="1" customWidth="1"/>
    <col min="4867" max="4867" width="11.5703125" style="1" customWidth="1"/>
    <col min="4868" max="4868" width="9.140625" style="1" customWidth="1"/>
    <col min="4869" max="4869" width="8.140625" style="1" customWidth="1"/>
    <col min="4870" max="4870" width="6.5703125" style="1" customWidth="1"/>
    <col min="4871" max="4871" width="24.140625" style="1" customWidth="1"/>
    <col min="4872" max="4872" width="7.85546875" style="1" customWidth="1"/>
    <col min="4873" max="4873" width="13.28515625" style="1" customWidth="1"/>
    <col min="4874" max="4877" width="7.42578125" style="1" customWidth="1"/>
    <col min="4878" max="4878" width="18.5703125" style="1" customWidth="1"/>
    <col min="4879" max="4879" width="10" style="1" customWidth="1"/>
    <col min="4880" max="4882" width="7.42578125" style="1" customWidth="1"/>
    <col min="4883" max="4883" width="9.140625" style="1" bestFit="1" customWidth="1"/>
    <col min="4884" max="4884" width="4.85546875" style="1" customWidth="1"/>
    <col min="4885" max="4885" width="7.28515625" style="1"/>
    <col min="4886" max="4886" width="0" style="1" hidden="1" customWidth="1"/>
    <col min="4887" max="5120" width="7.28515625" style="1"/>
    <col min="5121" max="5121" width="1.5703125" style="1" customWidth="1"/>
    <col min="5122" max="5122" width="16.7109375" style="1" customWidth="1"/>
    <col min="5123" max="5123" width="11.5703125" style="1" customWidth="1"/>
    <col min="5124" max="5124" width="9.140625" style="1" customWidth="1"/>
    <col min="5125" max="5125" width="8.140625" style="1" customWidth="1"/>
    <col min="5126" max="5126" width="6.5703125" style="1" customWidth="1"/>
    <col min="5127" max="5127" width="24.140625" style="1" customWidth="1"/>
    <col min="5128" max="5128" width="7.85546875" style="1" customWidth="1"/>
    <col min="5129" max="5129" width="13.28515625" style="1" customWidth="1"/>
    <col min="5130" max="5133" width="7.42578125" style="1" customWidth="1"/>
    <col min="5134" max="5134" width="18.5703125" style="1" customWidth="1"/>
    <col min="5135" max="5135" width="10" style="1" customWidth="1"/>
    <col min="5136" max="5138" width="7.42578125" style="1" customWidth="1"/>
    <col min="5139" max="5139" width="9.140625" style="1" bestFit="1" customWidth="1"/>
    <col min="5140" max="5140" width="4.85546875" style="1" customWidth="1"/>
    <col min="5141" max="5141" width="7.28515625" style="1"/>
    <col min="5142" max="5142" width="0" style="1" hidden="1" customWidth="1"/>
    <col min="5143" max="5376" width="7.28515625" style="1"/>
    <col min="5377" max="5377" width="1.5703125" style="1" customWidth="1"/>
    <col min="5378" max="5378" width="16.7109375" style="1" customWidth="1"/>
    <col min="5379" max="5379" width="11.5703125" style="1" customWidth="1"/>
    <col min="5380" max="5380" width="9.140625" style="1" customWidth="1"/>
    <col min="5381" max="5381" width="8.140625" style="1" customWidth="1"/>
    <col min="5382" max="5382" width="6.5703125" style="1" customWidth="1"/>
    <col min="5383" max="5383" width="24.140625" style="1" customWidth="1"/>
    <col min="5384" max="5384" width="7.85546875" style="1" customWidth="1"/>
    <col min="5385" max="5385" width="13.28515625" style="1" customWidth="1"/>
    <col min="5386" max="5389" width="7.42578125" style="1" customWidth="1"/>
    <col min="5390" max="5390" width="18.5703125" style="1" customWidth="1"/>
    <col min="5391" max="5391" width="10" style="1" customWidth="1"/>
    <col min="5392" max="5394" width="7.42578125" style="1" customWidth="1"/>
    <col min="5395" max="5395" width="9.140625" style="1" bestFit="1" customWidth="1"/>
    <col min="5396" max="5396" width="4.85546875" style="1" customWidth="1"/>
    <col min="5397" max="5397" width="7.28515625" style="1"/>
    <col min="5398" max="5398" width="0" style="1" hidden="1" customWidth="1"/>
    <col min="5399" max="5632" width="7.28515625" style="1"/>
    <col min="5633" max="5633" width="1.5703125" style="1" customWidth="1"/>
    <col min="5634" max="5634" width="16.7109375" style="1" customWidth="1"/>
    <col min="5635" max="5635" width="11.5703125" style="1" customWidth="1"/>
    <col min="5636" max="5636" width="9.140625" style="1" customWidth="1"/>
    <col min="5637" max="5637" width="8.140625" style="1" customWidth="1"/>
    <col min="5638" max="5638" width="6.5703125" style="1" customWidth="1"/>
    <col min="5639" max="5639" width="24.140625" style="1" customWidth="1"/>
    <col min="5640" max="5640" width="7.85546875" style="1" customWidth="1"/>
    <col min="5641" max="5641" width="13.28515625" style="1" customWidth="1"/>
    <col min="5642" max="5645" width="7.42578125" style="1" customWidth="1"/>
    <col min="5646" max="5646" width="18.5703125" style="1" customWidth="1"/>
    <col min="5647" max="5647" width="10" style="1" customWidth="1"/>
    <col min="5648" max="5650" width="7.42578125" style="1" customWidth="1"/>
    <col min="5651" max="5651" width="9.140625" style="1" bestFit="1" customWidth="1"/>
    <col min="5652" max="5652" width="4.85546875" style="1" customWidth="1"/>
    <col min="5653" max="5653" width="7.28515625" style="1"/>
    <col min="5654" max="5654" width="0" style="1" hidden="1" customWidth="1"/>
    <col min="5655" max="5888" width="7.28515625" style="1"/>
    <col min="5889" max="5889" width="1.5703125" style="1" customWidth="1"/>
    <col min="5890" max="5890" width="16.7109375" style="1" customWidth="1"/>
    <col min="5891" max="5891" width="11.5703125" style="1" customWidth="1"/>
    <col min="5892" max="5892" width="9.140625" style="1" customWidth="1"/>
    <col min="5893" max="5893" width="8.140625" style="1" customWidth="1"/>
    <col min="5894" max="5894" width="6.5703125" style="1" customWidth="1"/>
    <col min="5895" max="5895" width="24.140625" style="1" customWidth="1"/>
    <col min="5896" max="5896" width="7.85546875" style="1" customWidth="1"/>
    <col min="5897" max="5897" width="13.28515625" style="1" customWidth="1"/>
    <col min="5898" max="5901" width="7.42578125" style="1" customWidth="1"/>
    <col min="5902" max="5902" width="18.5703125" style="1" customWidth="1"/>
    <col min="5903" max="5903" width="10" style="1" customWidth="1"/>
    <col min="5904" max="5906" width="7.42578125" style="1" customWidth="1"/>
    <col min="5907" max="5907" width="9.140625" style="1" bestFit="1" customWidth="1"/>
    <col min="5908" max="5908" width="4.85546875" style="1" customWidth="1"/>
    <col min="5909" max="5909" width="7.28515625" style="1"/>
    <col min="5910" max="5910" width="0" style="1" hidden="1" customWidth="1"/>
    <col min="5911" max="6144" width="7.28515625" style="1"/>
    <col min="6145" max="6145" width="1.5703125" style="1" customWidth="1"/>
    <col min="6146" max="6146" width="16.7109375" style="1" customWidth="1"/>
    <col min="6147" max="6147" width="11.5703125" style="1" customWidth="1"/>
    <col min="6148" max="6148" width="9.140625" style="1" customWidth="1"/>
    <col min="6149" max="6149" width="8.140625" style="1" customWidth="1"/>
    <col min="6150" max="6150" width="6.5703125" style="1" customWidth="1"/>
    <col min="6151" max="6151" width="24.140625" style="1" customWidth="1"/>
    <col min="6152" max="6152" width="7.85546875" style="1" customWidth="1"/>
    <col min="6153" max="6153" width="13.28515625" style="1" customWidth="1"/>
    <col min="6154" max="6157" width="7.42578125" style="1" customWidth="1"/>
    <col min="6158" max="6158" width="18.5703125" style="1" customWidth="1"/>
    <col min="6159" max="6159" width="10" style="1" customWidth="1"/>
    <col min="6160" max="6162" width="7.42578125" style="1" customWidth="1"/>
    <col min="6163" max="6163" width="9.140625" style="1" bestFit="1" customWidth="1"/>
    <col min="6164" max="6164" width="4.85546875" style="1" customWidth="1"/>
    <col min="6165" max="6165" width="7.28515625" style="1"/>
    <col min="6166" max="6166" width="0" style="1" hidden="1" customWidth="1"/>
    <col min="6167" max="6400" width="7.28515625" style="1"/>
    <col min="6401" max="6401" width="1.5703125" style="1" customWidth="1"/>
    <col min="6402" max="6402" width="16.7109375" style="1" customWidth="1"/>
    <col min="6403" max="6403" width="11.5703125" style="1" customWidth="1"/>
    <col min="6404" max="6404" width="9.140625" style="1" customWidth="1"/>
    <col min="6405" max="6405" width="8.140625" style="1" customWidth="1"/>
    <col min="6406" max="6406" width="6.5703125" style="1" customWidth="1"/>
    <col min="6407" max="6407" width="24.140625" style="1" customWidth="1"/>
    <col min="6408" max="6408" width="7.85546875" style="1" customWidth="1"/>
    <col min="6409" max="6409" width="13.28515625" style="1" customWidth="1"/>
    <col min="6410" max="6413" width="7.42578125" style="1" customWidth="1"/>
    <col min="6414" max="6414" width="18.5703125" style="1" customWidth="1"/>
    <col min="6415" max="6415" width="10" style="1" customWidth="1"/>
    <col min="6416" max="6418" width="7.42578125" style="1" customWidth="1"/>
    <col min="6419" max="6419" width="9.140625" style="1" bestFit="1" customWidth="1"/>
    <col min="6420" max="6420" width="4.85546875" style="1" customWidth="1"/>
    <col min="6421" max="6421" width="7.28515625" style="1"/>
    <col min="6422" max="6422" width="0" style="1" hidden="1" customWidth="1"/>
    <col min="6423" max="6656" width="7.28515625" style="1"/>
    <col min="6657" max="6657" width="1.5703125" style="1" customWidth="1"/>
    <col min="6658" max="6658" width="16.7109375" style="1" customWidth="1"/>
    <col min="6659" max="6659" width="11.5703125" style="1" customWidth="1"/>
    <col min="6660" max="6660" width="9.140625" style="1" customWidth="1"/>
    <col min="6661" max="6661" width="8.140625" style="1" customWidth="1"/>
    <col min="6662" max="6662" width="6.5703125" style="1" customWidth="1"/>
    <col min="6663" max="6663" width="24.140625" style="1" customWidth="1"/>
    <col min="6664" max="6664" width="7.85546875" style="1" customWidth="1"/>
    <col min="6665" max="6665" width="13.28515625" style="1" customWidth="1"/>
    <col min="6666" max="6669" width="7.42578125" style="1" customWidth="1"/>
    <col min="6670" max="6670" width="18.5703125" style="1" customWidth="1"/>
    <col min="6671" max="6671" width="10" style="1" customWidth="1"/>
    <col min="6672" max="6674" width="7.42578125" style="1" customWidth="1"/>
    <col min="6675" max="6675" width="9.140625" style="1" bestFit="1" customWidth="1"/>
    <col min="6676" max="6676" width="4.85546875" style="1" customWidth="1"/>
    <col min="6677" max="6677" width="7.28515625" style="1"/>
    <col min="6678" max="6678" width="0" style="1" hidden="1" customWidth="1"/>
    <col min="6679" max="6912" width="7.28515625" style="1"/>
    <col min="6913" max="6913" width="1.5703125" style="1" customWidth="1"/>
    <col min="6914" max="6914" width="16.7109375" style="1" customWidth="1"/>
    <col min="6915" max="6915" width="11.5703125" style="1" customWidth="1"/>
    <col min="6916" max="6916" width="9.140625" style="1" customWidth="1"/>
    <col min="6917" max="6917" width="8.140625" style="1" customWidth="1"/>
    <col min="6918" max="6918" width="6.5703125" style="1" customWidth="1"/>
    <col min="6919" max="6919" width="24.140625" style="1" customWidth="1"/>
    <col min="6920" max="6920" width="7.85546875" style="1" customWidth="1"/>
    <col min="6921" max="6921" width="13.28515625" style="1" customWidth="1"/>
    <col min="6922" max="6925" width="7.42578125" style="1" customWidth="1"/>
    <col min="6926" max="6926" width="18.5703125" style="1" customWidth="1"/>
    <col min="6927" max="6927" width="10" style="1" customWidth="1"/>
    <col min="6928" max="6930" width="7.42578125" style="1" customWidth="1"/>
    <col min="6931" max="6931" width="9.140625" style="1" bestFit="1" customWidth="1"/>
    <col min="6932" max="6932" width="4.85546875" style="1" customWidth="1"/>
    <col min="6933" max="6933" width="7.28515625" style="1"/>
    <col min="6934" max="6934" width="0" style="1" hidden="1" customWidth="1"/>
    <col min="6935" max="7168" width="7.28515625" style="1"/>
    <col min="7169" max="7169" width="1.5703125" style="1" customWidth="1"/>
    <col min="7170" max="7170" width="16.7109375" style="1" customWidth="1"/>
    <col min="7171" max="7171" width="11.5703125" style="1" customWidth="1"/>
    <col min="7172" max="7172" width="9.140625" style="1" customWidth="1"/>
    <col min="7173" max="7173" width="8.140625" style="1" customWidth="1"/>
    <col min="7174" max="7174" width="6.5703125" style="1" customWidth="1"/>
    <col min="7175" max="7175" width="24.140625" style="1" customWidth="1"/>
    <col min="7176" max="7176" width="7.85546875" style="1" customWidth="1"/>
    <col min="7177" max="7177" width="13.28515625" style="1" customWidth="1"/>
    <col min="7178" max="7181" width="7.42578125" style="1" customWidth="1"/>
    <col min="7182" max="7182" width="18.5703125" style="1" customWidth="1"/>
    <col min="7183" max="7183" width="10" style="1" customWidth="1"/>
    <col min="7184" max="7186" width="7.42578125" style="1" customWidth="1"/>
    <col min="7187" max="7187" width="9.140625" style="1" bestFit="1" customWidth="1"/>
    <col min="7188" max="7188" width="4.85546875" style="1" customWidth="1"/>
    <col min="7189" max="7189" width="7.28515625" style="1"/>
    <col min="7190" max="7190" width="0" style="1" hidden="1" customWidth="1"/>
    <col min="7191" max="7424" width="7.28515625" style="1"/>
    <col min="7425" max="7425" width="1.5703125" style="1" customWidth="1"/>
    <col min="7426" max="7426" width="16.7109375" style="1" customWidth="1"/>
    <col min="7427" max="7427" width="11.5703125" style="1" customWidth="1"/>
    <col min="7428" max="7428" width="9.140625" style="1" customWidth="1"/>
    <col min="7429" max="7429" width="8.140625" style="1" customWidth="1"/>
    <col min="7430" max="7430" width="6.5703125" style="1" customWidth="1"/>
    <col min="7431" max="7431" width="24.140625" style="1" customWidth="1"/>
    <col min="7432" max="7432" width="7.85546875" style="1" customWidth="1"/>
    <col min="7433" max="7433" width="13.28515625" style="1" customWidth="1"/>
    <col min="7434" max="7437" width="7.42578125" style="1" customWidth="1"/>
    <col min="7438" max="7438" width="18.5703125" style="1" customWidth="1"/>
    <col min="7439" max="7439" width="10" style="1" customWidth="1"/>
    <col min="7440" max="7442" width="7.42578125" style="1" customWidth="1"/>
    <col min="7443" max="7443" width="9.140625" style="1" bestFit="1" customWidth="1"/>
    <col min="7444" max="7444" width="4.85546875" style="1" customWidth="1"/>
    <col min="7445" max="7445" width="7.28515625" style="1"/>
    <col min="7446" max="7446" width="0" style="1" hidden="1" customWidth="1"/>
    <col min="7447" max="7680" width="7.28515625" style="1"/>
    <col min="7681" max="7681" width="1.5703125" style="1" customWidth="1"/>
    <col min="7682" max="7682" width="16.7109375" style="1" customWidth="1"/>
    <col min="7683" max="7683" width="11.5703125" style="1" customWidth="1"/>
    <col min="7684" max="7684" width="9.140625" style="1" customWidth="1"/>
    <col min="7685" max="7685" width="8.140625" style="1" customWidth="1"/>
    <col min="7686" max="7686" width="6.5703125" style="1" customWidth="1"/>
    <col min="7687" max="7687" width="24.140625" style="1" customWidth="1"/>
    <col min="7688" max="7688" width="7.85546875" style="1" customWidth="1"/>
    <col min="7689" max="7689" width="13.28515625" style="1" customWidth="1"/>
    <col min="7690" max="7693" width="7.42578125" style="1" customWidth="1"/>
    <col min="7694" max="7694" width="18.5703125" style="1" customWidth="1"/>
    <col min="7695" max="7695" width="10" style="1" customWidth="1"/>
    <col min="7696" max="7698" width="7.42578125" style="1" customWidth="1"/>
    <col min="7699" max="7699" width="9.140625" style="1" bestFit="1" customWidth="1"/>
    <col min="7700" max="7700" width="4.85546875" style="1" customWidth="1"/>
    <col min="7701" max="7701" width="7.28515625" style="1"/>
    <col min="7702" max="7702" width="0" style="1" hidden="1" customWidth="1"/>
    <col min="7703" max="7936" width="7.28515625" style="1"/>
    <col min="7937" max="7937" width="1.5703125" style="1" customWidth="1"/>
    <col min="7938" max="7938" width="16.7109375" style="1" customWidth="1"/>
    <col min="7939" max="7939" width="11.5703125" style="1" customWidth="1"/>
    <col min="7940" max="7940" width="9.140625" style="1" customWidth="1"/>
    <col min="7941" max="7941" width="8.140625" style="1" customWidth="1"/>
    <col min="7942" max="7942" width="6.5703125" style="1" customWidth="1"/>
    <col min="7943" max="7943" width="24.140625" style="1" customWidth="1"/>
    <col min="7944" max="7944" width="7.85546875" style="1" customWidth="1"/>
    <col min="7945" max="7945" width="13.28515625" style="1" customWidth="1"/>
    <col min="7946" max="7949" width="7.42578125" style="1" customWidth="1"/>
    <col min="7950" max="7950" width="18.5703125" style="1" customWidth="1"/>
    <col min="7951" max="7951" width="10" style="1" customWidth="1"/>
    <col min="7952" max="7954" width="7.42578125" style="1" customWidth="1"/>
    <col min="7955" max="7955" width="9.140625" style="1" bestFit="1" customWidth="1"/>
    <col min="7956" max="7956" width="4.85546875" style="1" customWidth="1"/>
    <col min="7957" max="7957" width="7.28515625" style="1"/>
    <col min="7958" max="7958" width="0" style="1" hidden="1" customWidth="1"/>
    <col min="7959" max="8192" width="7.28515625" style="1"/>
    <col min="8193" max="8193" width="1.5703125" style="1" customWidth="1"/>
    <col min="8194" max="8194" width="16.7109375" style="1" customWidth="1"/>
    <col min="8195" max="8195" width="11.5703125" style="1" customWidth="1"/>
    <col min="8196" max="8196" width="9.140625" style="1" customWidth="1"/>
    <col min="8197" max="8197" width="8.140625" style="1" customWidth="1"/>
    <col min="8198" max="8198" width="6.5703125" style="1" customWidth="1"/>
    <col min="8199" max="8199" width="24.140625" style="1" customWidth="1"/>
    <col min="8200" max="8200" width="7.85546875" style="1" customWidth="1"/>
    <col min="8201" max="8201" width="13.28515625" style="1" customWidth="1"/>
    <col min="8202" max="8205" width="7.42578125" style="1" customWidth="1"/>
    <col min="8206" max="8206" width="18.5703125" style="1" customWidth="1"/>
    <col min="8207" max="8207" width="10" style="1" customWidth="1"/>
    <col min="8208" max="8210" width="7.42578125" style="1" customWidth="1"/>
    <col min="8211" max="8211" width="9.140625" style="1" bestFit="1" customWidth="1"/>
    <col min="8212" max="8212" width="4.85546875" style="1" customWidth="1"/>
    <col min="8213" max="8213" width="7.28515625" style="1"/>
    <col min="8214" max="8214" width="0" style="1" hidden="1" customWidth="1"/>
    <col min="8215" max="8448" width="7.28515625" style="1"/>
    <col min="8449" max="8449" width="1.5703125" style="1" customWidth="1"/>
    <col min="8450" max="8450" width="16.7109375" style="1" customWidth="1"/>
    <col min="8451" max="8451" width="11.5703125" style="1" customWidth="1"/>
    <col min="8452" max="8452" width="9.140625" style="1" customWidth="1"/>
    <col min="8453" max="8453" width="8.140625" style="1" customWidth="1"/>
    <col min="8454" max="8454" width="6.5703125" style="1" customWidth="1"/>
    <col min="8455" max="8455" width="24.140625" style="1" customWidth="1"/>
    <col min="8456" max="8456" width="7.85546875" style="1" customWidth="1"/>
    <col min="8457" max="8457" width="13.28515625" style="1" customWidth="1"/>
    <col min="8458" max="8461" width="7.42578125" style="1" customWidth="1"/>
    <col min="8462" max="8462" width="18.5703125" style="1" customWidth="1"/>
    <col min="8463" max="8463" width="10" style="1" customWidth="1"/>
    <col min="8464" max="8466" width="7.42578125" style="1" customWidth="1"/>
    <col min="8467" max="8467" width="9.140625" style="1" bestFit="1" customWidth="1"/>
    <col min="8468" max="8468" width="4.85546875" style="1" customWidth="1"/>
    <col min="8469" max="8469" width="7.28515625" style="1"/>
    <col min="8470" max="8470" width="0" style="1" hidden="1" customWidth="1"/>
    <col min="8471" max="8704" width="7.28515625" style="1"/>
    <col min="8705" max="8705" width="1.5703125" style="1" customWidth="1"/>
    <col min="8706" max="8706" width="16.7109375" style="1" customWidth="1"/>
    <col min="8707" max="8707" width="11.5703125" style="1" customWidth="1"/>
    <col min="8708" max="8708" width="9.140625" style="1" customWidth="1"/>
    <col min="8709" max="8709" width="8.140625" style="1" customWidth="1"/>
    <col min="8710" max="8710" width="6.5703125" style="1" customWidth="1"/>
    <col min="8711" max="8711" width="24.140625" style="1" customWidth="1"/>
    <col min="8712" max="8712" width="7.85546875" style="1" customWidth="1"/>
    <col min="8713" max="8713" width="13.28515625" style="1" customWidth="1"/>
    <col min="8714" max="8717" width="7.42578125" style="1" customWidth="1"/>
    <col min="8718" max="8718" width="18.5703125" style="1" customWidth="1"/>
    <col min="8719" max="8719" width="10" style="1" customWidth="1"/>
    <col min="8720" max="8722" width="7.42578125" style="1" customWidth="1"/>
    <col min="8723" max="8723" width="9.140625" style="1" bestFit="1" customWidth="1"/>
    <col min="8724" max="8724" width="4.85546875" style="1" customWidth="1"/>
    <col min="8725" max="8725" width="7.28515625" style="1"/>
    <col min="8726" max="8726" width="0" style="1" hidden="1" customWidth="1"/>
    <col min="8727" max="8960" width="7.28515625" style="1"/>
    <col min="8961" max="8961" width="1.5703125" style="1" customWidth="1"/>
    <col min="8962" max="8962" width="16.7109375" style="1" customWidth="1"/>
    <col min="8963" max="8963" width="11.5703125" style="1" customWidth="1"/>
    <col min="8964" max="8964" width="9.140625" style="1" customWidth="1"/>
    <col min="8965" max="8965" width="8.140625" style="1" customWidth="1"/>
    <col min="8966" max="8966" width="6.5703125" style="1" customWidth="1"/>
    <col min="8967" max="8967" width="24.140625" style="1" customWidth="1"/>
    <col min="8968" max="8968" width="7.85546875" style="1" customWidth="1"/>
    <col min="8969" max="8969" width="13.28515625" style="1" customWidth="1"/>
    <col min="8970" max="8973" width="7.42578125" style="1" customWidth="1"/>
    <col min="8974" max="8974" width="18.5703125" style="1" customWidth="1"/>
    <col min="8975" max="8975" width="10" style="1" customWidth="1"/>
    <col min="8976" max="8978" width="7.42578125" style="1" customWidth="1"/>
    <col min="8979" max="8979" width="9.140625" style="1" bestFit="1" customWidth="1"/>
    <col min="8980" max="8980" width="4.85546875" style="1" customWidth="1"/>
    <col min="8981" max="8981" width="7.28515625" style="1"/>
    <col min="8982" max="8982" width="0" style="1" hidden="1" customWidth="1"/>
    <col min="8983" max="9216" width="7.28515625" style="1"/>
    <col min="9217" max="9217" width="1.5703125" style="1" customWidth="1"/>
    <col min="9218" max="9218" width="16.7109375" style="1" customWidth="1"/>
    <col min="9219" max="9219" width="11.5703125" style="1" customWidth="1"/>
    <col min="9220" max="9220" width="9.140625" style="1" customWidth="1"/>
    <col min="9221" max="9221" width="8.140625" style="1" customWidth="1"/>
    <col min="9222" max="9222" width="6.5703125" style="1" customWidth="1"/>
    <col min="9223" max="9223" width="24.140625" style="1" customWidth="1"/>
    <col min="9224" max="9224" width="7.85546875" style="1" customWidth="1"/>
    <col min="9225" max="9225" width="13.28515625" style="1" customWidth="1"/>
    <col min="9226" max="9229" width="7.42578125" style="1" customWidth="1"/>
    <col min="9230" max="9230" width="18.5703125" style="1" customWidth="1"/>
    <col min="9231" max="9231" width="10" style="1" customWidth="1"/>
    <col min="9232" max="9234" width="7.42578125" style="1" customWidth="1"/>
    <col min="9235" max="9235" width="9.140625" style="1" bestFit="1" customWidth="1"/>
    <col min="9236" max="9236" width="4.85546875" style="1" customWidth="1"/>
    <col min="9237" max="9237" width="7.28515625" style="1"/>
    <col min="9238" max="9238" width="0" style="1" hidden="1" customWidth="1"/>
    <col min="9239" max="9472" width="7.28515625" style="1"/>
    <col min="9473" max="9473" width="1.5703125" style="1" customWidth="1"/>
    <col min="9474" max="9474" width="16.7109375" style="1" customWidth="1"/>
    <col min="9475" max="9475" width="11.5703125" style="1" customWidth="1"/>
    <col min="9476" max="9476" width="9.140625" style="1" customWidth="1"/>
    <col min="9477" max="9477" width="8.140625" style="1" customWidth="1"/>
    <col min="9478" max="9478" width="6.5703125" style="1" customWidth="1"/>
    <col min="9479" max="9479" width="24.140625" style="1" customWidth="1"/>
    <col min="9480" max="9480" width="7.85546875" style="1" customWidth="1"/>
    <col min="9481" max="9481" width="13.28515625" style="1" customWidth="1"/>
    <col min="9482" max="9485" width="7.42578125" style="1" customWidth="1"/>
    <col min="9486" max="9486" width="18.5703125" style="1" customWidth="1"/>
    <col min="9487" max="9487" width="10" style="1" customWidth="1"/>
    <col min="9488" max="9490" width="7.42578125" style="1" customWidth="1"/>
    <col min="9491" max="9491" width="9.140625" style="1" bestFit="1" customWidth="1"/>
    <col min="9492" max="9492" width="4.85546875" style="1" customWidth="1"/>
    <col min="9493" max="9493" width="7.28515625" style="1"/>
    <col min="9494" max="9494" width="0" style="1" hidden="1" customWidth="1"/>
    <col min="9495" max="9728" width="7.28515625" style="1"/>
    <col min="9729" max="9729" width="1.5703125" style="1" customWidth="1"/>
    <col min="9730" max="9730" width="16.7109375" style="1" customWidth="1"/>
    <col min="9731" max="9731" width="11.5703125" style="1" customWidth="1"/>
    <col min="9732" max="9732" width="9.140625" style="1" customWidth="1"/>
    <col min="9733" max="9733" width="8.140625" style="1" customWidth="1"/>
    <col min="9734" max="9734" width="6.5703125" style="1" customWidth="1"/>
    <col min="9735" max="9735" width="24.140625" style="1" customWidth="1"/>
    <col min="9736" max="9736" width="7.85546875" style="1" customWidth="1"/>
    <col min="9737" max="9737" width="13.28515625" style="1" customWidth="1"/>
    <col min="9738" max="9741" width="7.42578125" style="1" customWidth="1"/>
    <col min="9742" max="9742" width="18.5703125" style="1" customWidth="1"/>
    <col min="9743" max="9743" width="10" style="1" customWidth="1"/>
    <col min="9744" max="9746" width="7.42578125" style="1" customWidth="1"/>
    <col min="9747" max="9747" width="9.140625" style="1" bestFit="1" customWidth="1"/>
    <col min="9748" max="9748" width="4.85546875" style="1" customWidth="1"/>
    <col min="9749" max="9749" width="7.28515625" style="1"/>
    <col min="9750" max="9750" width="0" style="1" hidden="1" customWidth="1"/>
    <col min="9751" max="9984" width="7.28515625" style="1"/>
    <col min="9985" max="9985" width="1.5703125" style="1" customWidth="1"/>
    <col min="9986" max="9986" width="16.7109375" style="1" customWidth="1"/>
    <col min="9987" max="9987" width="11.5703125" style="1" customWidth="1"/>
    <col min="9988" max="9988" width="9.140625" style="1" customWidth="1"/>
    <col min="9989" max="9989" width="8.140625" style="1" customWidth="1"/>
    <col min="9990" max="9990" width="6.5703125" style="1" customWidth="1"/>
    <col min="9991" max="9991" width="24.140625" style="1" customWidth="1"/>
    <col min="9992" max="9992" width="7.85546875" style="1" customWidth="1"/>
    <col min="9993" max="9993" width="13.28515625" style="1" customWidth="1"/>
    <col min="9994" max="9997" width="7.42578125" style="1" customWidth="1"/>
    <col min="9998" max="9998" width="18.5703125" style="1" customWidth="1"/>
    <col min="9999" max="9999" width="10" style="1" customWidth="1"/>
    <col min="10000" max="10002" width="7.42578125" style="1" customWidth="1"/>
    <col min="10003" max="10003" width="9.140625" style="1" bestFit="1" customWidth="1"/>
    <col min="10004" max="10004" width="4.85546875" style="1" customWidth="1"/>
    <col min="10005" max="10005" width="7.28515625" style="1"/>
    <col min="10006" max="10006" width="0" style="1" hidden="1" customWidth="1"/>
    <col min="10007" max="10240" width="7.28515625" style="1"/>
    <col min="10241" max="10241" width="1.5703125" style="1" customWidth="1"/>
    <col min="10242" max="10242" width="16.7109375" style="1" customWidth="1"/>
    <col min="10243" max="10243" width="11.5703125" style="1" customWidth="1"/>
    <col min="10244" max="10244" width="9.140625" style="1" customWidth="1"/>
    <col min="10245" max="10245" width="8.140625" style="1" customWidth="1"/>
    <col min="10246" max="10246" width="6.5703125" style="1" customWidth="1"/>
    <col min="10247" max="10247" width="24.140625" style="1" customWidth="1"/>
    <col min="10248" max="10248" width="7.85546875" style="1" customWidth="1"/>
    <col min="10249" max="10249" width="13.28515625" style="1" customWidth="1"/>
    <col min="10250" max="10253" width="7.42578125" style="1" customWidth="1"/>
    <col min="10254" max="10254" width="18.5703125" style="1" customWidth="1"/>
    <col min="10255" max="10255" width="10" style="1" customWidth="1"/>
    <col min="10256" max="10258" width="7.42578125" style="1" customWidth="1"/>
    <col min="10259" max="10259" width="9.140625" style="1" bestFit="1" customWidth="1"/>
    <col min="10260" max="10260" width="4.85546875" style="1" customWidth="1"/>
    <col min="10261" max="10261" width="7.28515625" style="1"/>
    <col min="10262" max="10262" width="0" style="1" hidden="1" customWidth="1"/>
    <col min="10263" max="10496" width="7.28515625" style="1"/>
    <col min="10497" max="10497" width="1.5703125" style="1" customWidth="1"/>
    <col min="10498" max="10498" width="16.7109375" style="1" customWidth="1"/>
    <col min="10499" max="10499" width="11.5703125" style="1" customWidth="1"/>
    <col min="10500" max="10500" width="9.140625" style="1" customWidth="1"/>
    <col min="10501" max="10501" width="8.140625" style="1" customWidth="1"/>
    <col min="10502" max="10502" width="6.5703125" style="1" customWidth="1"/>
    <col min="10503" max="10503" width="24.140625" style="1" customWidth="1"/>
    <col min="10504" max="10504" width="7.85546875" style="1" customWidth="1"/>
    <col min="10505" max="10505" width="13.28515625" style="1" customWidth="1"/>
    <col min="10506" max="10509" width="7.42578125" style="1" customWidth="1"/>
    <col min="10510" max="10510" width="18.5703125" style="1" customWidth="1"/>
    <col min="10511" max="10511" width="10" style="1" customWidth="1"/>
    <col min="10512" max="10514" width="7.42578125" style="1" customWidth="1"/>
    <col min="10515" max="10515" width="9.140625" style="1" bestFit="1" customWidth="1"/>
    <col min="10516" max="10516" width="4.85546875" style="1" customWidth="1"/>
    <col min="10517" max="10517" width="7.28515625" style="1"/>
    <col min="10518" max="10518" width="0" style="1" hidden="1" customWidth="1"/>
    <col min="10519" max="10752" width="7.28515625" style="1"/>
    <col min="10753" max="10753" width="1.5703125" style="1" customWidth="1"/>
    <col min="10754" max="10754" width="16.7109375" style="1" customWidth="1"/>
    <col min="10755" max="10755" width="11.5703125" style="1" customWidth="1"/>
    <col min="10756" max="10756" width="9.140625" style="1" customWidth="1"/>
    <col min="10757" max="10757" width="8.140625" style="1" customWidth="1"/>
    <col min="10758" max="10758" width="6.5703125" style="1" customWidth="1"/>
    <col min="10759" max="10759" width="24.140625" style="1" customWidth="1"/>
    <col min="10760" max="10760" width="7.85546875" style="1" customWidth="1"/>
    <col min="10761" max="10761" width="13.28515625" style="1" customWidth="1"/>
    <col min="10762" max="10765" width="7.42578125" style="1" customWidth="1"/>
    <col min="10766" max="10766" width="18.5703125" style="1" customWidth="1"/>
    <col min="10767" max="10767" width="10" style="1" customWidth="1"/>
    <col min="10768" max="10770" width="7.42578125" style="1" customWidth="1"/>
    <col min="10771" max="10771" width="9.140625" style="1" bestFit="1" customWidth="1"/>
    <col min="10772" max="10772" width="4.85546875" style="1" customWidth="1"/>
    <col min="10773" max="10773" width="7.28515625" style="1"/>
    <col min="10774" max="10774" width="0" style="1" hidden="1" customWidth="1"/>
    <col min="10775" max="11008" width="7.28515625" style="1"/>
    <col min="11009" max="11009" width="1.5703125" style="1" customWidth="1"/>
    <col min="11010" max="11010" width="16.7109375" style="1" customWidth="1"/>
    <col min="11011" max="11011" width="11.5703125" style="1" customWidth="1"/>
    <col min="11012" max="11012" width="9.140625" style="1" customWidth="1"/>
    <col min="11013" max="11013" width="8.140625" style="1" customWidth="1"/>
    <col min="11014" max="11014" width="6.5703125" style="1" customWidth="1"/>
    <col min="11015" max="11015" width="24.140625" style="1" customWidth="1"/>
    <col min="11016" max="11016" width="7.85546875" style="1" customWidth="1"/>
    <col min="11017" max="11017" width="13.28515625" style="1" customWidth="1"/>
    <col min="11018" max="11021" width="7.42578125" style="1" customWidth="1"/>
    <col min="11022" max="11022" width="18.5703125" style="1" customWidth="1"/>
    <col min="11023" max="11023" width="10" style="1" customWidth="1"/>
    <col min="11024" max="11026" width="7.42578125" style="1" customWidth="1"/>
    <col min="11027" max="11027" width="9.140625" style="1" bestFit="1" customWidth="1"/>
    <col min="11028" max="11028" width="4.85546875" style="1" customWidth="1"/>
    <col min="11029" max="11029" width="7.28515625" style="1"/>
    <col min="11030" max="11030" width="0" style="1" hidden="1" customWidth="1"/>
    <col min="11031" max="11264" width="7.28515625" style="1"/>
    <col min="11265" max="11265" width="1.5703125" style="1" customWidth="1"/>
    <col min="11266" max="11266" width="16.7109375" style="1" customWidth="1"/>
    <col min="11267" max="11267" width="11.5703125" style="1" customWidth="1"/>
    <col min="11268" max="11268" width="9.140625" style="1" customWidth="1"/>
    <col min="11269" max="11269" width="8.140625" style="1" customWidth="1"/>
    <col min="11270" max="11270" width="6.5703125" style="1" customWidth="1"/>
    <col min="11271" max="11271" width="24.140625" style="1" customWidth="1"/>
    <col min="11272" max="11272" width="7.85546875" style="1" customWidth="1"/>
    <col min="11273" max="11273" width="13.28515625" style="1" customWidth="1"/>
    <col min="11274" max="11277" width="7.42578125" style="1" customWidth="1"/>
    <col min="11278" max="11278" width="18.5703125" style="1" customWidth="1"/>
    <col min="11279" max="11279" width="10" style="1" customWidth="1"/>
    <col min="11280" max="11282" width="7.42578125" style="1" customWidth="1"/>
    <col min="11283" max="11283" width="9.140625" style="1" bestFit="1" customWidth="1"/>
    <col min="11284" max="11284" width="4.85546875" style="1" customWidth="1"/>
    <col min="11285" max="11285" width="7.28515625" style="1"/>
    <col min="11286" max="11286" width="0" style="1" hidden="1" customWidth="1"/>
    <col min="11287" max="11520" width="7.28515625" style="1"/>
    <col min="11521" max="11521" width="1.5703125" style="1" customWidth="1"/>
    <col min="11522" max="11522" width="16.7109375" style="1" customWidth="1"/>
    <col min="11523" max="11523" width="11.5703125" style="1" customWidth="1"/>
    <col min="11524" max="11524" width="9.140625" style="1" customWidth="1"/>
    <col min="11525" max="11525" width="8.140625" style="1" customWidth="1"/>
    <col min="11526" max="11526" width="6.5703125" style="1" customWidth="1"/>
    <col min="11527" max="11527" width="24.140625" style="1" customWidth="1"/>
    <col min="11528" max="11528" width="7.85546875" style="1" customWidth="1"/>
    <col min="11529" max="11529" width="13.28515625" style="1" customWidth="1"/>
    <col min="11530" max="11533" width="7.42578125" style="1" customWidth="1"/>
    <col min="11534" max="11534" width="18.5703125" style="1" customWidth="1"/>
    <col min="11535" max="11535" width="10" style="1" customWidth="1"/>
    <col min="11536" max="11538" width="7.42578125" style="1" customWidth="1"/>
    <col min="11539" max="11539" width="9.140625" style="1" bestFit="1" customWidth="1"/>
    <col min="11540" max="11540" width="4.85546875" style="1" customWidth="1"/>
    <col min="11541" max="11541" width="7.28515625" style="1"/>
    <col min="11542" max="11542" width="0" style="1" hidden="1" customWidth="1"/>
    <col min="11543" max="11776" width="7.28515625" style="1"/>
    <col min="11777" max="11777" width="1.5703125" style="1" customWidth="1"/>
    <col min="11778" max="11778" width="16.7109375" style="1" customWidth="1"/>
    <col min="11779" max="11779" width="11.5703125" style="1" customWidth="1"/>
    <col min="11780" max="11780" width="9.140625" style="1" customWidth="1"/>
    <col min="11781" max="11781" width="8.140625" style="1" customWidth="1"/>
    <col min="11782" max="11782" width="6.5703125" style="1" customWidth="1"/>
    <col min="11783" max="11783" width="24.140625" style="1" customWidth="1"/>
    <col min="11784" max="11784" width="7.85546875" style="1" customWidth="1"/>
    <col min="11785" max="11785" width="13.28515625" style="1" customWidth="1"/>
    <col min="11786" max="11789" width="7.42578125" style="1" customWidth="1"/>
    <col min="11790" max="11790" width="18.5703125" style="1" customWidth="1"/>
    <col min="11791" max="11791" width="10" style="1" customWidth="1"/>
    <col min="11792" max="11794" width="7.42578125" style="1" customWidth="1"/>
    <col min="11795" max="11795" width="9.140625" style="1" bestFit="1" customWidth="1"/>
    <col min="11796" max="11796" width="4.85546875" style="1" customWidth="1"/>
    <col min="11797" max="11797" width="7.28515625" style="1"/>
    <col min="11798" max="11798" width="0" style="1" hidden="1" customWidth="1"/>
    <col min="11799" max="12032" width="7.28515625" style="1"/>
    <col min="12033" max="12033" width="1.5703125" style="1" customWidth="1"/>
    <col min="12034" max="12034" width="16.7109375" style="1" customWidth="1"/>
    <col min="12035" max="12035" width="11.5703125" style="1" customWidth="1"/>
    <col min="12036" max="12036" width="9.140625" style="1" customWidth="1"/>
    <col min="12037" max="12037" width="8.140625" style="1" customWidth="1"/>
    <col min="12038" max="12038" width="6.5703125" style="1" customWidth="1"/>
    <col min="12039" max="12039" width="24.140625" style="1" customWidth="1"/>
    <col min="12040" max="12040" width="7.85546875" style="1" customWidth="1"/>
    <col min="12041" max="12041" width="13.28515625" style="1" customWidth="1"/>
    <col min="12042" max="12045" width="7.42578125" style="1" customWidth="1"/>
    <col min="12046" max="12046" width="18.5703125" style="1" customWidth="1"/>
    <col min="12047" max="12047" width="10" style="1" customWidth="1"/>
    <col min="12048" max="12050" width="7.42578125" style="1" customWidth="1"/>
    <col min="12051" max="12051" width="9.140625" style="1" bestFit="1" customWidth="1"/>
    <col min="12052" max="12052" width="4.85546875" style="1" customWidth="1"/>
    <col min="12053" max="12053" width="7.28515625" style="1"/>
    <col min="12054" max="12054" width="0" style="1" hidden="1" customWidth="1"/>
    <col min="12055" max="12288" width="7.28515625" style="1"/>
    <col min="12289" max="12289" width="1.5703125" style="1" customWidth="1"/>
    <col min="12290" max="12290" width="16.7109375" style="1" customWidth="1"/>
    <col min="12291" max="12291" width="11.5703125" style="1" customWidth="1"/>
    <col min="12292" max="12292" width="9.140625" style="1" customWidth="1"/>
    <col min="12293" max="12293" width="8.140625" style="1" customWidth="1"/>
    <col min="12294" max="12294" width="6.5703125" style="1" customWidth="1"/>
    <col min="12295" max="12295" width="24.140625" style="1" customWidth="1"/>
    <col min="12296" max="12296" width="7.85546875" style="1" customWidth="1"/>
    <col min="12297" max="12297" width="13.28515625" style="1" customWidth="1"/>
    <col min="12298" max="12301" width="7.42578125" style="1" customWidth="1"/>
    <col min="12302" max="12302" width="18.5703125" style="1" customWidth="1"/>
    <col min="12303" max="12303" width="10" style="1" customWidth="1"/>
    <col min="12304" max="12306" width="7.42578125" style="1" customWidth="1"/>
    <col min="12307" max="12307" width="9.140625" style="1" bestFit="1" customWidth="1"/>
    <col min="12308" max="12308" width="4.85546875" style="1" customWidth="1"/>
    <col min="12309" max="12309" width="7.28515625" style="1"/>
    <col min="12310" max="12310" width="0" style="1" hidden="1" customWidth="1"/>
    <col min="12311" max="12544" width="7.28515625" style="1"/>
    <col min="12545" max="12545" width="1.5703125" style="1" customWidth="1"/>
    <col min="12546" max="12546" width="16.7109375" style="1" customWidth="1"/>
    <col min="12547" max="12547" width="11.5703125" style="1" customWidth="1"/>
    <col min="12548" max="12548" width="9.140625" style="1" customWidth="1"/>
    <col min="12549" max="12549" width="8.140625" style="1" customWidth="1"/>
    <col min="12550" max="12550" width="6.5703125" style="1" customWidth="1"/>
    <col min="12551" max="12551" width="24.140625" style="1" customWidth="1"/>
    <col min="12552" max="12552" width="7.85546875" style="1" customWidth="1"/>
    <col min="12553" max="12553" width="13.28515625" style="1" customWidth="1"/>
    <col min="12554" max="12557" width="7.42578125" style="1" customWidth="1"/>
    <col min="12558" max="12558" width="18.5703125" style="1" customWidth="1"/>
    <col min="12559" max="12559" width="10" style="1" customWidth="1"/>
    <col min="12560" max="12562" width="7.42578125" style="1" customWidth="1"/>
    <col min="12563" max="12563" width="9.140625" style="1" bestFit="1" customWidth="1"/>
    <col min="12564" max="12564" width="4.85546875" style="1" customWidth="1"/>
    <col min="12565" max="12565" width="7.28515625" style="1"/>
    <col min="12566" max="12566" width="0" style="1" hidden="1" customWidth="1"/>
    <col min="12567" max="12800" width="7.28515625" style="1"/>
    <col min="12801" max="12801" width="1.5703125" style="1" customWidth="1"/>
    <col min="12802" max="12802" width="16.7109375" style="1" customWidth="1"/>
    <col min="12803" max="12803" width="11.5703125" style="1" customWidth="1"/>
    <col min="12804" max="12804" width="9.140625" style="1" customWidth="1"/>
    <col min="12805" max="12805" width="8.140625" style="1" customWidth="1"/>
    <col min="12806" max="12806" width="6.5703125" style="1" customWidth="1"/>
    <col min="12807" max="12807" width="24.140625" style="1" customWidth="1"/>
    <col min="12808" max="12808" width="7.85546875" style="1" customWidth="1"/>
    <col min="12809" max="12809" width="13.28515625" style="1" customWidth="1"/>
    <col min="12810" max="12813" width="7.42578125" style="1" customWidth="1"/>
    <col min="12814" max="12814" width="18.5703125" style="1" customWidth="1"/>
    <col min="12815" max="12815" width="10" style="1" customWidth="1"/>
    <col min="12816" max="12818" width="7.42578125" style="1" customWidth="1"/>
    <col min="12819" max="12819" width="9.140625" style="1" bestFit="1" customWidth="1"/>
    <col min="12820" max="12820" width="4.85546875" style="1" customWidth="1"/>
    <col min="12821" max="12821" width="7.28515625" style="1"/>
    <col min="12822" max="12822" width="0" style="1" hidden="1" customWidth="1"/>
    <col min="12823" max="13056" width="7.28515625" style="1"/>
    <col min="13057" max="13057" width="1.5703125" style="1" customWidth="1"/>
    <col min="13058" max="13058" width="16.7109375" style="1" customWidth="1"/>
    <col min="13059" max="13059" width="11.5703125" style="1" customWidth="1"/>
    <col min="13060" max="13060" width="9.140625" style="1" customWidth="1"/>
    <col min="13061" max="13061" width="8.140625" style="1" customWidth="1"/>
    <col min="13062" max="13062" width="6.5703125" style="1" customWidth="1"/>
    <col min="13063" max="13063" width="24.140625" style="1" customWidth="1"/>
    <col min="13064" max="13064" width="7.85546875" style="1" customWidth="1"/>
    <col min="13065" max="13065" width="13.28515625" style="1" customWidth="1"/>
    <col min="13066" max="13069" width="7.42578125" style="1" customWidth="1"/>
    <col min="13070" max="13070" width="18.5703125" style="1" customWidth="1"/>
    <col min="13071" max="13071" width="10" style="1" customWidth="1"/>
    <col min="13072" max="13074" width="7.42578125" style="1" customWidth="1"/>
    <col min="13075" max="13075" width="9.140625" style="1" bestFit="1" customWidth="1"/>
    <col min="13076" max="13076" width="4.85546875" style="1" customWidth="1"/>
    <col min="13077" max="13077" width="7.28515625" style="1"/>
    <col min="13078" max="13078" width="0" style="1" hidden="1" customWidth="1"/>
    <col min="13079" max="13312" width="7.28515625" style="1"/>
    <col min="13313" max="13313" width="1.5703125" style="1" customWidth="1"/>
    <col min="13314" max="13314" width="16.7109375" style="1" customWidth="1"/>
    <col min="13315" max="13315" width="11.5703125" style="1" customWidth="1"/>
    <col min="13316" max="13316" width="9.140625" style="1" customWidth="1"/>
    <col min="13317" max="13317" width="8.140625" style="1" customWidth="1"/>
    <col min="13318" max="13318" width="6.5703125" style="1" customWidth="1"/>
    <col min="13319" max="13319" width="24.140625" style="1" customWidth="1"/>
    <col min="13320" max="13320" width="7.85546875" style="1" customWidth="1"/>
    <col min="13321" max="13321" width="13.28515625" style="1" customWidth="1"/>
    <col min="13322" max="13325" width="7.42578125" style="1" customWidth="1"/>
    <col min="13326" max="13326" width="18.5703125" style="1" customWidth="1"/>
    <col min="13327" max="13327" width="10" style="1" customWidth="1"/>
    <col min="13328" max="13330" width="7.42578125" style="1" customWidth="1"/>
    <col min="13331" max="13331" width="9.140625" style="1" bestFit="1" customWidth="1"/>
    <col min="13332" max="13332" width="4.85546875" style="1" customWidth="1"/>
    <col min="13333" max="13333" width="7.28515625" style="1"/>
    <col min="13334" max="13334" width="0" style="1" hidden="1" customWidth="1"/>
    <col min="13335" max="13568" width="7.28515625" style="1"/>
    <col min="13569" max="13569" width="1.5703125" style="1" customWidth="1"/>
    <col min="13570" max="13570" width="16.7109375" style="1" customWidth="1"/>
    <col min="13571" max="13571" width="11.5703125" style="1" customWidth="1"/>
    <col min="13572" max="13572" width="9.140625" style="1" customWidth="1"/>
    <col min="13573" max="13573" width="8.140625" style="1" customWidth="1"/>
    <col min="13574" max="13574" width="6.5703125" style="1" customWidth="1"/>
    <col min="13575" max="13575" width="24.140625" style="1" customWidth="1"/>
    <col min="13576" max="13576" width="7.85546875" style="1" customWidth="1"/>
    <col min="13577" max="13577" width="13.28515625" style="1" customWidth="1"/>
    <col min="13578" max="13581" width="7.42578125" style="1" customWidth="1"/>
    <col min="13582" max="13582" width="18.5703125" style="1" customWidth="1"/>
    <col min="13583" max="13583" width="10" style="1" customWidth="1"/>
    <col min="13584" max="13586" width="7.42578125" style="1" customWidth="1"/>
    <col min="13587" max="13587" width="9.140625" style="1" bestFit="1" customWidth="1"/>
    <col min="13588" max="13588" width="4.85546875" style="1" customWidth="1"/>
    <col min="13589" max="13589" width="7.28515625" style="1"/>
    <col min="13590" max="13590" width="0" style="1" hidden="1" customWidth="1"/>
    <col min="13591" max="13824" width="7.28515625" style="1"/>
    <col min="13825" max="13825" width="1.5703125" style="1" customWidth="1"/>
    <col min="13826" max="13826" width="16.7109375" style="1" customWidth="1"/>
    <col min="13827" max="13827" width="11.5703125" style="1" customWidth="1"/>
    <col min="13828" max="13828" width="9.140625" style="1" customWidth="1"/>
    <col min="13829" max="13829" width="8.140625" style="1" customWidth="1"/>
    <col min="13830" max="13830" width="6.5703125" style="1" customWidth="1"/>
    <col min="13831" max="13831" width="24.140625" style="1" customWidth="1"/>
    <col min="13832" max="13832" width="7.85546875" style="1" customWidth="1"/>
    <col min="13833" max="13833" width="13.28515625" style="1" customWidth="1"/>
    <col min="13834" max="13837" width="7.42578125" style="1" customWidth="1"/>
    <col min="13838" max="13838" width="18.5703125" style="1" customWidth="1"/>
    <col min="13839" max="13839" width="10" style="1" customWidth="1"/>
    <col min="13840" max="13842" width="7.42578125" style="1" customWidth="1"/>
    <col min="13843" max="13843" width="9.140625" style="1" bestFit="1" customWidth="1"/>
    <col min="13844" max="13844" width="4.85546875" style="1" customWidth="1"/>
    <col min="13845" max="13845" width="7.28515625" style="1"/>
    <col min="13846" max="13846" width="0" style="1" hidden="1" customWidth="1"/>
    <col min="13847" max="14080" width="7.28515625" style="1"/>
    <col min="14081" max="14081" width="1.5703125" style="1" customWidth="1"/>
    <col min="14082" max="14082" width="16.7109375" style="1" customWidth="1"/>
    <col min="14083" max="14083" width="11.5703125" style="1" customWidth="1"/>
    <col min="14084" max="14084" width="9.140625" style="1" customWidth="1"/>
    <col min="14085" max="14085" width="8.140625" style="1" customWidth="1"/>
    <col min="14086" max="14086" width="6.5703125" style="1" customWidth="1"/>
    <col min="14087" max="14087" width="24.140625" style="1" customWidth="1"/>
    <col min="14088" max="14088" width="7.85546875" style="1" customWidth="1"/>
    <col min="14089" max="14089" width="13.28515625" style="1" customWidth="1"/>
    <col min="14090" max="14093" width="7.42578125" style="1" customWidth="1"/>
    <col min="14094" max="14094" width="18.5703125" style="1" customWidth="1"/>
    <col min="14095" max="14095" width="10" style="1" customWidth="1"/>
    <col min="14096" max="14098" width="7.42578125" style="1" customWidth="1"/>
    <col min="14099" max="14099" width="9.140625" style="1" bestFit="1" customWidth="1"/>
    <col min="14100" max="14100" width="4.85546875" style="1" customWidth="1"/>
    <col min="14101" max="14101" width="7.28515625" style="1"/>
    <col min="14102" max="14102" width="0" style="1" hidden="1" customWidth="1"/>
    <col min="14103" max="14336" width="7.28515625" style="1"/>
    <col min="14337" max="14337" width="1.5703125" style="1" customWidth="1"/>
    <col min="14338" max="14338" width="16.7109375" style="1" customWidth="1"/>
    <col min="14339" max="14339" width="11.5703125" style="1" customWidth="1"/>
    <col min="14340" max="14340" width="9.140625" style="1" customWidth="1"/>
    <col min="14341" max="14341" width="8.140625" style="1" customWidth="1"/>
    <col min="14342" max="14342" width="6.5703125" style="1" customWidth="1"/>
    <col min="14343" max="14343" width="24.140625" style="1" customWidth="1"/>
    <col min="14344" max="14344" width="7.85546875" style="1" customWidth="1"/>
    <col min="14345" max="14345" width="13.28515625" style="1" customWidth="1"/>
    <col min="14346" max="14349" width="7.42578125" style="1" customWidth="1"/>
    <col min="14350" max="14350" width="18.5703125" style="1" customWidth="1"/>
    <col min="14351" max="14351" width="10" style="1" customWidth="1"/>
    <col min="14352" max="14354" width="7.42578125" style="1" customWidth="1"/>
    <col min="14355" max="14355" width="9.140625" style="1" bestFit="1" customWidth="1"/>
    <col min="14356" max="14356" width="4.85546875" style="1" customWidth="1"/>
    <col min="14357" max="14357" width="7.28515625" style="1"/>
    <col min="14358" max="14358" width="0" style="1" hidden="1" customWidth="1"/>
    <col min="14359" max="14592" width="7.28515625" style="1"/>
    <col min="14593" max="14593" width="1.5703125" style="1" customWidth="1"/>
    <col min="14594" max="14594" width="16.7109375" style="1" customWidth="1"/>
    <col min="14595" max="14595" width="11.5703125" style="1" customWidth="1"/>
    <col min="14596" max="14596" width="9.140625" style="1" customWidth="1"/>
    <col min="14597" max="14597" width="8.140625" style="1" customWidth="1"/>
    <col min="14598" max="14598" width="6.5703125" style="1" customWidth="1"/>
    <col min="14599" max="14599" width="24.140625" style="1" customWidth="1"/>
    <col min="14600" max="14600" width="7.85546875" style="1" customWidth="1"/>
    <col min="14601" max="14601" width="13.28515625" style="1" customWidth="1"/>
    <col min="14602" max="14605" width="7.42578125" style="1" customWidth="1"/>
    <col min="14606" max="14606" width="18.5703125" style="1" customWidth="1"/>
    <col min="14607" max="14607" width="10" style="1" customWidth="1"/>
    <col min="14608" max="14610" width="7.42578125" style="1" customWidth="1"/>
    <col min="14611" max="14611" width="9.140625" style="1" bestFit="1" customWidth="1"/>
    <col min="14612" max="14612" width="4.85546875" style="1" customWidth="1"/>
    <col min="14613" max="14613" width="7.28515625" style="1"/>
    <col min="14614" max="14614" width="0" style="1" hidden="1" customWidth="1"/>
    <col min="14615" max="14848" width="7.28515625" style="1"/>
    <col min="14849" max="14849" width="1.5703125" style="1" customWidth="1"/>
    <col min="14850" max="14850" width="16.7109375" style="1" customWidth="1"/>
    <col min="14851" max="14851" width="11.5703125" style="1" customWidth="1"/>
    <col min="14852" max="14852" width="9.140625" style="1" customWidth="1"/>
    <col min="14853" max="14853" width="8.140625" style="1" customWidth="1"/>
    <col min="14854" max="14854" width="6.5703125" style="1" customWidth="1"/>
    <col min="14855" max="14855" width="24.140625" style="1" customWidth="1"/>
    <col min="14856" max="14856" width="7.85546875" style="1" customWidth="1"/>
    <col min="14857" max="14857" width="13.28515625" style="1" customWidth="1"/>
    <col min="14858" max="14861" width="7.42578125" style="1" customWidth="1"/>
    <col min="14862" max="14862" width="18.5703125" style="1" customWidth="1"/>
    <col min="14863" max="14863" width="10" style="1" customWidth="1"/>
    <col min="14864" max="14866" width="7.42578125" style="1" customWidth="1"/>
    <col min="14867" max="14867" width="9.140625" style="1" bestFit="1" customWidth="1"/>
    <col min="14868" max="14868" width="4.85546875" style="1" customWidth="1"/>
    <col min="14869" max="14869" width="7.28515625" style="1"/>
    <col min="14870" max="14870" width="0" style="1" hidden="1" customWidth="1"/>
    <col min="14871" max="15104" width="7.28515625" style="1"/>
    <col min="15105" max="15105" width="1.5703125" style="1" customWidth="1"/>
    <col min="15106" max="15106" width="16.7109375" style="1" customWidth="1"/>
    <col min="15107" max="15107" width="11.5703125" style="1" customWidth="1"/>
    <col min="15108" max="15108" width="9.140625" style="1" customWidth="1"/>
    <col min="15109" max="15109" width="8.140625" style="1" customWidth="1"/>
    <col min="15110" max="15110" width="6.5703125" style="1" customWidth="1"/>
    <col min="15111" max="15111" width="24.140625" style="1" customWidth="1"/>
    <col min="15112" max="15112" width="7.85546875" style="1" customWidth="1"/>
    <col min="15113" max="15113" width="13.28515625" style="1" customWidth="1"/>
    <col min="15114" max="15117" width="7.42578125" style="1" customWidth="1"/>
    <col min="15118" max="15118" width="18.5703125" style="1" customWidth="1"/>
    <col min="15119" max="15119" width="10" style="1" customWidth="1"/>
    <col min="15120" max="15122" width="7.42578125" style="1" customWidth="1"/>
    <col min="15123" max="15123" width="9.140625" style="1" bestFit="1" customWidth="1"/>
    <col min="15124" max="15124" width="4.85546875" style="1" customWidth="1"/>
    <col min="15125" max="15125" width="7.28515625" style="1"/>
    <col min="15126" max="15126" width="0" style="1" hidden="1" customWidth="1"/>
    <col min="15127" max="15360" width="7.28515625" style="1"/>
    <col min="15361" max="15361" width="1.5703125" style="1" customWidth="1"/>
    <col min="15362" max="15362" width="16.7109375" style="1" customWidth="1"/>
    <col min="15363" max="15363" width="11.5703125" style="1" customWidth="1"/>
    <col min="15364" max="15364" width="9.140625" style="1" customWidth="1"/>
    <col min="15365" max="15365" width="8.140625" style="1" customWidth="1"/>
    <col min="15366" max="15366" width="6.5703125" style="1" customWidth="1"/>
    <col min="15367" max="15367" width="24.140625" style="1" customWidth="1"/>
    <col min="15368" max="15368" width="7.85546875" style="1" customWidth="1"/>
    <col min="15369" max="15369" width="13.28515625" style="1" customWidth="1"/>
    <col min="15370" max="15373" width="7.42578125" style="1" customWidth="1"/>
    <col min="15374" max="15374" width="18.5703125" style="1" customWidth="1"/>
    <col min="15375" max="15375" width="10" style="1" customWidth="1"/>
    <col min="15376" max="15378" width="7.42578125" style="1" customWidth="1"/>
    <col min="15379" max="15379" width="9.140625" style="1" bestFit="1" customWidth="1"/>
    <col min="15380" max="15380" width="4.85546875" style="1" customWidth="1"/>
    <col min="15381" max="15381" width="7.28515625" style="1"/>
    <col min="15382" max="15382" width="0" style="1" hidden="1" customWidth="1"/>
    <col min="15383" max="15616" width="7.28515625" style="1"/>
    <col min="15617" max="15617" width="1.5703125" style="1" customWidth="1"/>
    <col min="15618" max="15618" width="16.7109375" style="1" customWidth="1"/>
    <col min="15619" max="15619" width="11.5703125" style="1" customWidth="1"/>
    <col min="15620" max="15620" width="9.140625" style="1" customWidth="1"/>
    <col min="15621" max="15621" width="8.140625" style="1" customWidth="1"/>
    <col min="15622" max="15622" width="6.5703125" style="1" customWidth="1"/>
    <col min="15623" max="15623" width="24.140625" style="1" customWidth="1"/>
    <col min="15624" max="15624" width="7.85546875" style="1" customWidth="1"/>
    <col min="15625" max="15625" width="13.28515625" style="1" customWidth="1"/>
    <col min="15626" max="15629" width="7.42578125" style="1" customWidth="1"/>
    <col min="15630" max="15630" width="18.5703125" style="1" customWidth="1"/>
    <col min="15631" max="15631" width="10" style="1" customWidth="1"/>
    <col min="15632" max="15634" width="7.42578125" style="1" customWidth="1"/>
    <col min="15635" max="15635" width="9.140625" style="1" bestFit="1" customWidth="1"/>
    <col min="15636" max="15636" width="4.85546875" style="1" customWidth="1"/>
    <col min="15637" max="15637" width="7.28515625" style="1"/>
    <col min="15638" max="15638" width="0" style="1" hidden="1" customWidth="1"/>
    <col min="15639" max="15872" width="7.28515625" style="1"/>
    <col min="15873" max="15873" width="1.5703125" style="1" customWidth="1"/>
    <col min="15874" max="15874" width="16.7109375" style="1" customWidth="1"/>
    <col min="15875" max="15875" width="11.5703125" style="1" customWidth="1"/>
    <col min="15876" max="15876" width="9.140625" style="1" customWidth="1"/>
    <col min="15877" max="15877" width="8.140625" style="1" customWidth="1"/>
    <col min="15878" max="15878" width="6.5703125" style="1" customWidth="1"/>
    <col min="15879" max="15879" width="24.140625" style="1" customWidth="1"/>
    <col min="15880" max="15880" width="7.85546875" style="1" customWidth="1"/>
    <col min="15881" max="15881" width="13.28515625" style="1" customWidth="1"/>
    <col min="15882" max="15885" width="7.42578125" style="1" customWidth="1"/>
    <col min="15886" max="15886" width="18.5703125" style="1" customWidth="1"/>
    <col min="15887" max="15887" width="10" style="1" customWidth="1"/>
    <col min="15888" max="15890" width="7.42578125" style="1" customWidth="1"/>
    <col min="15891" max="15891" width="9.140625" style="1" bestFit="1" customWidth="1"/>
    <col min="15892" max="15892" width="4.85546875" style="1" customWidth="1"/>
    <col min="15893" max="15893" width="7.28515625" style="1"/>
    <col min="15894" max="15894" width="0" style="1" hidden="1" customWidth="1"/>
    <col min="15895" max="16128" width="7.28515625" style="1"/>
    <col min="16129" max="16129" width="1.5703125" style="1" customWidth="1"/>
    <col min="16130" max="16130" width="16.7109375" style="1" customWidth="1"/>
    <col min="16131" max="16131" width="11.5703125" style="1" customWidth="1"/>
    <col min="16132" max="16132" width="9.140625" style="1" customWidth="1"/>
    <col min="16133" max="16133" width="8.140625" style="1" customWidth="1"/>
    <col min="16134" max="16134" width="6.5703125" style="1" customWidth="1"/>
    <col min="16135" max="16135" width="24.140625" style="1" customWidth="1"/>
    <col min="16136" max="16136" width="7.85546875" style="1" customWidth="1"/>
    <col min="16137" max="16137" width="13.28515625" style="1" customWidth="1"/>
    <col min="16138" max="16141" width="7.42578125" style="1" customWidth="1"/>
    <col min="16142" max="16142" width="18.5703125" style="1" customWidth="1"/>
    <col min="16143" max="16143" width="10" style="1" customWidth="1"/>
    <col min="16144" max="16146" width="7.42578125" style="1" customWidth="1"/>
    <col min="16147" max="16147" width="9.140625" style="1" bestFit="1" customWidth="1"/>
    <col min="16148" max="16148" width="4.85546875" style="1" customWidth="1"/>
    <col min="16149" max="16149" width="7.28515625" style="1"/>
    <col min="16150" max="16150" width="0" style="1" hidden="1" customWidth="1"/>
    <col min="16151" max="16384" width="7.28515625" style="1"/>
  </cols>
  <sheetData>
    <row r="1" spans="1:24" ht="18" x14ac:dyDescent="0.25">
      <c r="B1" s="2" t="s">
        <v>0</v>
      </c>
      <c r="F1" s="4"/>
      <c r="G1" s="5" t="s">
        <v>1</v>
      </c>
      <c r="H1" s="230" t="s">
        <v>93</v>
      </c>
      <c r="I1" s="230"/>
      <c r="J1" s="218"/>
      <c r="K1" s="6"/>
      <c r="M1" s="231"/>
      <c r="N1" s="231"/>
    </row>
    <row r="2" spans="1:24" s="4" customFormat="1" ht="15" x14ac:dyDescent="0.25">
      <c r="E2" s="7"/>
      <c r="H2" s="14"/>
      <c r="P2" s="8" t="s">
        <v>2</v>
      </c>
      <c r="Q2"/>
      <c r="R2"/>
      <c r="S2"/>
    </row>
    <row r="3" spans="1:24" s="4" customFormat="1" ht="12" customHeight="1" x14ac:dyDescent="0.2">
      <c r="B3" s="9" t="s">
        <v>3</v>
      </c>
      <c r="E3" s="7"/>
      <c r="H3" s="14"/>
      <c r="P3" s="10" t="s">
        <v>4</v>
      </c>
      <c r="Q3" s="11"/>
      <c r="R3" s="12"/>
      <c r="S3" s="13" t="s">
        <v>5</v>
      </c>
    </row>
    <row r="4" spans="1:24" s="4" customFormat="1" x14ac:dyDescent="0.2">
      <c r="B4" s="9"/>
      <c r="E4" s="7"/>
      <c r="H4" s="14"/>
      <c r="P4" s="15" t="s">
        <v>6</v>
      </c>
      <c r="Q4" s="16" t="s">
        <v>7</v>
      </c>
      <c r="R4" s="17"/>
      <c r="S4" s="18" t="s">
        <v>8</v>
      </c>
      <c r="U4" s="232"/>
      <c r="V4" s="232"/>
      <c r="W4" s="232"/>
      <c r="X4" s="232"/>
    </row>
    <row r="5" spans="1:24" s="4" customFormat="1" ht="12" customHeight="1" x14ac:dyDescent="0.2">
      <c r="B5" s="19" t="s">
        <v>9</v>
      </c>
      <c r="C5" s="233" t="s">
        <v>90</v>
      </c>
      <c r="D5" s="234"/>
      <c r="E5" s="7"/>
      <c r="F5" s="19" t="s">
        <v>10</v>
      </c>
      <c r="G5" s="235">
        <v>16500</v>
      </c>
      <c r="H5" s="230"/>
      <c r="J5" s="19" t="s">
        <v>11</v>
      </c>
      <c r="K5" s="230"/>
      <c r="L5" s="230"/>
      <c r="N5" s="185"/>
      <c r="O5" s="186"/>
      <c r="P5" s="187">
        <v>14.5</v>
      </c>
      <c r="Q5" s="188">
        <v>0</v>
      </c>
      <c r="R5" s="20" t="s">
        <v>12</v>
      </c>
      <c r="S5" s="21">
        <f>+Q15</f>
        <v>0.53840909090909095</v>
      </c>
    </row>
    <row r="6" spans="1:24" s="4" customFormat="1" x14ac:dyDescent="0.2">
      <c r="B6" s="19" t="s">
        <v>13</v>
      </c>
      <c r="C6" s="230"/>
      <c r="D6" s="230"/>
      <c r="E6" s="7"/>
      <c r="F6" s="19" t="s">
        <v>14</v>
      </c>
      <c r="G6" s="230"/>
      <c r="H6" s="230"/>
      <c r="J6" s="19" t="s">
        <v>15</v>
      </c>
      <c r="K6" s="230"/>
      <c r="L6" s="230"/>
      <c r="P6" s="189">
        <v>3.5</v>
      </c>
      <c r="Q6" s="188">
        <v>0</v>
      </c>
      <c r="R6" s="22" t="s">
        <v>16</v>
      </c>
      <c r="S6" s="23">
        <f>+(J35)/24</f>
        <v>0.54166666666666663</v>
      </c>
      <c r="U6" s="236"/>
      <c r="V6" s="236"/>
      <c r="W6" s="236"/>
      <c r="X6" s="236"/>
    </row>
    <row r="7" spans="1:24" s="4" customFormat="1" x14ac:dyDescent="0.2">
      <c r="B7" s="19" t="s">
        <v>17</v>
      </c>
      <c r="C7" s="235" t="s">
        <v>91</v>
      </c>
      <c r="D7" s="230"/>
      <c r="E7" s="7"/>
      <c r="F7" s="19" t="s">
        <v>18</v>
      </c>
      <c r="G7" s="235">
        <v>2003</v>
      </c>
      <c r="H7" s="230"/>
      <c r="J7" s="19" t="s">
        <v>19</v>
      </c>
      <c r="K7" s="230"/>
      <c r="L7" s="230"/>
      <c r="P7" s="189">
        <v>3.5</v>
      </c>
      <c r="Q7" s="188">
        <v>0</v>
      </c>
      <c r="R7" s="24" t="s">
        <v>20</v>
      </c>
      <c r="S7" s="23">
        <f>+K35/24</f>
        <v>1.125</v>
      </c>
      <c r="U7" s="236"/>
      <c r="V7" s="236"/>
      <c r="W7" s="236"/>
      <c r="X7" s="236"/>
    </row>
    <row r="8" spans="1:24" s="4" customFormat="1" x14ac:dyDescent="0.2">
      <c r="B8" s="19"/>
      <c r="D8" s="19"/>
      <c r="E8" s="7"/>
      <c r="F8" s="19"/>
      <c r="H8" s="25"/>
      <c r="L8" s="5"/>
      <c r="M8" s="25"/>
      <c r="O8" s="5"/>
      <c r="P8" s="190">
        <v>5</v>
      </c>
      <c r="Q8" s="188">
        <v>0</v>
      </c>
      <c r="R8" s="26" t="s">
        <v>21</v>
      </c>
      <c r="S8" s="23">
        <f>+L35/24</f>
        <v>1.875</v>
      </c>
      <c r="U8" s="236"/>
      <c r="V8" s="236"/>
      <c r="W8" s="236"/>
      <c r="X8" s="236"/>
    </row>
    <row r="9" spans="1:24" ht="15.75" x14ac:dyDescent="0.25">
      <c r="B9" s="237" t="s">
        <v>22</v>
      </c>
      <c r="C9" s="237"/>
      <c r="D9" s="27"/>
      <c r="E9" s="28"/>
      <c r="F9" s="29"/>
      <c r="G9" s="27"/>
      <c r="H9" s="30"/>
      <c r="I9" s="8"/>
      <c r="J9" s="8"/>
      <c r="K9" s="238"/>
      <c r="L9" s="238"/>
      <c r="M9" s="6"/>
      <c r="N9" s="8"/>
      <c r="O9" s="8"/>
      <c r="P9" s="191">
        <v>0</v>
      </c>
      <c r="Q9" s="31">
        <v>0</v>
      </c>
      <c r="R9" s="12" t="s">
        <v>23</v>
      </c>
      <c r="S9" s="192">
        <v>0</v>
      </c>
      <c r="U9" s="236"/>
      <c r="V9" s="236"/>
      <c r="W9" s="236"/>
      <c r="X9" s="236"/>
    </row>
    <row r="10" spans="1:24" ht="15.75" x14ac:dyDescent="0.25">
      <c r="B10" s="237"/>
      <c r="C10" s="237"/>
      <c r="D10" s="27"/>
      <c r="E10" s="28"/>
      <c r="F10" s="29"/>
      <c r="G10" s="27"/>
      <c r="H10" s="30"/>
      <c r="I10" s="8"/>
      <c r="J10" s="8"/>
      <c r="K10" s="220"/>
      <c r="L10" s="220"/>
      <c r="M10" s="6"/>
      <c r="N10" s="225"/>
      <c r="O10" s="225"/>
      <c r="P10" s="193">
        <v>0</v>
      </c>
      <c r="Q10" s="32">
        <v>0</v>
      </c>
      <c r="R10" s="17" t="s">
        <v>24</v>
      </c>
      <c r="S10" s="194"/>
      <c r="U10" s="236"/>
      <c r="V10" s="236"/>
      <c r="W10" s="236"/>
      <c r="X10" s="236"/>
    </row>
    <row r="11" spans="1:24" ht="8.25" customHeight="1" thickBot="1" x14ac:dyDescent="0.3">
      <c r="B11" s="33"/>
      <c r="C11" s="34"/>
      <c r="E11" s="35"/>
      <c r="F11" s="6"/>
      <c r="H11" s="3"/>
      <c r="I11" s="8"/>
      <c r="J11" s="8"/>
      <c r="K11" s="220"/>
      <c r="L11" s="220"/>
      <c r="M11" s="6"/>
      <c r="N11" s="225"/>
      <c r="O11" s="225"/>
      <c r="P11" s="36"/>
      <c r="Q11" s="36"/>
      <c r="R11" s="36"/>
      <c r="S11" s="36"/>
    </row>
    <row r="12" spans="1:24" s="34" customFormat="1" ht="15" x14ac:dyDescent="0.25">
      <c r="A12" s="37"/>
      <c r="B12" s="38" t="s">
        <v>25</v>
      </c>
      <c r="C12" s="37"/>
      <c r="D12" s="37"/>
      <c r="E12" s="37"/>
      <c r="F12" s="37"/>
      <c r="G12" s="37"/>
      <c r="H12" s="39"/>
      <c r="I12" s="37"/>
      <c r="J12" s="37"/>
      <c r="K12" s="40" t="s">
        <v>26</v>
      </c>
      <c r="L12" s="37"/>
      <c r="M12" s="37"/>
      <c r="N12" s="37"/>
      <c r="O12" s="37"/>
    </row>
    <row r="13" spans="1:24" ht="7.5" customHeight="1" x14ac:dyDescent="0.25">
      <c r="B13" s="33"/>
      <c r="C13" s="34"/>
      <c r="D13" s="41"/>
      <c r="E13" s="1"/>
      <c r="H13" s="3"/>
      <c r="I13"/>
      <c r="J13"/>
      <c r="K13" s="42"/>
      <c r="O13"/>
    </row>
    <row r="14" spans="1:24" ht="15" x14ac:dyDescent="0.25">
      <c r="B14" s="43" t="s">
        <v>27</v>
      </c>
      <c r="C14" s="221" t="str">
        <f>IF(V17=1,"Flat Rate",IF(V17=2,"Freight",IF(V17=3,"Lumpsum",)))</f>
        <v>Freight</v>
      </c>
      <c r="D14" s="221" t="str">
        <f>IF(C14="Flat Rate","WS","")</f>
        <v/>
      </c>
      <c r="E14" s="221" t="s">
        <v>28</v>
      </c>
      <c r="F14" s="221" t="s">
        <v>29</v>
      </c>
      <c r="G14" s="226" t="s">
        <v>5</v>
      </c>
      <c r="H14" s="221" t="s">
        <v>30</v>
      </c>
      <c r="I14" s="44" t="s">
        <v>31</v>
      </c>
      <c r="J14"/>
      <c r="K14" s="239" t="s">
        <v>25</v>
      </c>
      <c r="L14" s="240"/>
      <c r="M14" s="240"/>
      <c r="N14" s="227">
        <f>+I23</f>
        <v>256635.00000000003</v>
      </c>
      <c r="O14" s="241" t="s">
        <v>32</v>
      </c>
      <c r="P14" s="242"/>
      <c r="Q14" s="243">
        <f>+Q15+S6+S7+S8</f>
        <v>4.0800757575757576</v>
      </c>
      <c r="R14" s="244"/>
      <c r="U14" s="213"/>
      <c r="V14" s="45" t="s">
        <v>33</v>
      </c>
    </row>
    <row r="15" spans="1:24" ht="15" x14ac:dyDescent="0.25">
      <c r="B15" s="46" t="s">
        <v>95</v>
      </c>
      <c r="C15" s="195">
        <v>19.010000000000002</v>
      </c>
      <c r="D15" s="47"/>
      <c r="E15" s="215">
        <v>13500</v>
      </c>
      <c r="F15" s="48" t="s">
        <v>34</v>
      </c>
      <c r="G15" s="216">
        <f t="shared" ref="G15:G22" si="0">IF(C15="","",IF($C$14="Flat Rate",C15*D15/100*E15,IF($C$14="Freight",C15*E15,IF($C$14="Lumpsum",C15,))))</f>
        <v>256635.00000000003</v>
      </c>
      <c r="H15" s="196"/>
      <c r="I15" s="50">
        <f t="shared" ref="I15:I22" si="1">IF(G15="","",+G15*(1-H15))</f>
        <v>256635.00000000003</v>
      </c>
      <c r="J15"/>
      <c r="K15" s="245" t="s">
        <v>35</v>
      </c>
      <c r="L15" s="231"/>
      <c r="M15" s="231"/>
      <c r="N15" s="51">
        <f>D49</f>
        <v>41000</v>
      </c>
      <c r="O15" s="246" t="s">
        <v>36</v>
      </c>
      <c r="P15" s="247"/>
      <c r="Q15" s="248">
        <f>+R35/24</f>
        <v>0.53840909090909095</v>
      </c>
      <c r="R15" s="249"/>
      <c r="V15" s="45" t="s">
        <v>37</v>
      </c>
    </row>
    <row r="16" spans="1:24" ht="15" x14ac:dyDescent="0.25">
      <c r="B16" s="54"/>
      <c r="C16" s="195"/>
      <c r="D16" s="47"/>
      <c r="E16" s="215"/>
      <c r="F16" s="48"/>
      <c r="G16" s="216" t="str">
        <f t="shared" si="0"/>
        <v/>
      </c>
      <c r="H16" s="196"/>
      <c r="I16" s="50" t="str">
        <f t="shared" si="1"/>
        <v/>
      </c>
      <c r="J16"/>
      <c r="K16" s="245" t="s">
        <v>38</v>
      </c>
      <c r="L16" s="231"/>
      <c r="M16" s="231"/>
      <c r="N16" s="51">
        <f>+S49</f>
        <v>20601.884447727272</v>
      </c>
      <c r="O16" s="250" t="s">
        <v>39</v>
      </c>
      <c r="P16" s="251"/>
      <c r="Q16" s="252">
        <f>+S6+S7+S8</f>
        <v>3.5416666666666665</v>
      </c>
      <c r="R16" s="253"/>
      <c r="V16" s="45" t="s">
        <v>40</v>
      </c>
    </row>
    <row r="17" spans="1:22" ht="15" x14ac:dyDescent="0.25">
      <c r="B17" s="54"/>
      <c r="C17" s="52"/>
      <c r="D17" s="55"/>
      <c r="E17" s="56"/>
      <c r="F17" s="57"/>
      <c r="G17" s="49" t="str">
        <f t="shared" si="0"/>
        <v/>
      </c>
      <c r="H17" s="58"/>
      <c r="I17" s="53" t="str">
        <f t="shared" si="1"/>
        <v/>
      </c>
      <c r="J17"/>
      <c r="K17" s="254" t="s">
        <v>41</v>
      </c>
      <c r="L17" s="255"/>
      <c r="M17" s="255"/>
      <c r="N17" s="197">
        <f>+G62</f>
        <v>0</v>
      </c>
      <c r="O17" s="241" t="s">
        <v>42</v>
      </c>
      <c r="P17" s="242"/>
      <c r="Q17" s="256">
        <f>+N18/Q14</f>
        <v>47801.346626993713</v>
      </c>
      <c r="R17" s="257"/>
      <c r="U17" s="3"/>
      <c r="V17" s="59">
        <v>2</v>
      </c>
    </row>
    <row r="18" spans="1:22" ht="15" x14ac:dyDescent="0.25">
      <c r="B18" s="54"/>
      <c r="C18" s="52"/>
      <c r="D18" s="55"/>
      <c r="E18" s="56"/>
      <c r="F18" s="57"/>
      <c r="G18" s="49" t="str">
        <f t="shared" si="0"/>
        <v/>
      </c>
      <c r="H18" s="58"/>
      <c r="I18" s="53" t="str">
        <f t="shared" si="1"/>
        <v/>
      </c>
      <c r="J18"/>
      <c r="K18" s="258" t="s">
        <v>43</v>
      </c>
      <c r="L18" s="259"/>
      <c r="M18" s="259"/>
      <c r="N18" s="60">
        <f>+N14-N15-N16-N17</f>
        <v>195033.11555227276</v>
      </c>
      <c r="O18" s="260" t="s">
        <v>44</v>
      </c>
      <c r="P18" s="261"/>
      <c r="Q18" s="262">
        <v>15000</v>
      </c>
      <c r="R18" s="263"/>
      <c r="S18" s="198"/>
    </row>
    <row r="19" spans="1:22" ht="15" x14ac:dyDescent="0.25">
      <c r="B19" s="54"/>
      <c r="C19" s="52"/>
      <c r="D19" s="55"/>
      <c r="E19" s="56"/>
      <c r="F19" s="57"/>
      <c r="G19" s="49" t="str">
        <f t="shared" si="0"/>
        <v/>
      </c>
      <c r="H19" s="58"/>
      <c r="I19" s="53" t="str">
        <f t="shared" si="1"/>
        <v/>
      </c>
      <c r="J19"/>
      <c r="O19" s="17" t="s">
        <v>45</v>
      </c>
      <c r="P19" s="41"/>
      <c r="Q19" s="264">
        <f>Q17*30.42</f>
        <v>1454116.9643931489</v>
      </c>
      <c r="R19" s="265"/>
    </row>
    <row r="20" spans="1:22" ht="15" x14ac:dyDescent="0.25">
      <c r="B20" s="54"/>
      <c r="C20" s="52"/>
      <c r="D20" s="55"/>
      <c r="E20" s="56"/>
      <c r="F20" s="57"/>
      <c r="G20" s="49" t="str">
        <f t="shared" si="0"/>
        <v/>
      </c>
      <c r="H20" s="58"/>
      <c r="I20" s="53" t="str">
        <f t="shared" si="1"/>
        <v/>
      </c>
      <c r="J20"/>
      <c r="O20" s="61" t="s">
        <v>46</v>
      </c>
      <c r="P20" s="62"/>
      <c r="Q20" s="266">
        <f>+N18-Q18*Q14</f>
        <v>133831.97918863641</v>
      </c>
      <c r="R20" s="267"/>
      <c r="U20" s="3"/>
    </row>
    <row r="21" spans="1:22" ht="15" x14ac:dyDescent="0.25">
      <c r="B21" s="54"/>
      <c r="C21" s="52" t="s">
        <v>47</v>
      </c>
      <c r="D21" s="55"/>
      <c r="E21" s="56"/>
      <c r="F21" s="57"/>
      <c r="G21" s="49"/>
      <c r="H21" s="58"/>
      <c r="I21" s="53"/>
      <c r="J21"/>
      <c r="L21" s="199"/>
      <c r="Q21" s="63"/>
      <c r="R21" s="63"/>
    </row>
    <row r="22" spans="1:22" ht="15" x14ac:dyDescent="0.25">
      <c r="B22" s="64"/>
      <c r="C22" s="65"/>
      <c r="D22" s="66"/>
      <c r="E22" s="67"/>
      <c r="F22" s="68"/>
      <c r="G22" s="69" t="str">
        <f t="shared" si="0"/>
        <v/>
      </c>
      <c r="H22" s="70"/>
      <c r="I22" s="71" t="str">
        <f t="shared" si="1"/>
        <v/>
      </c>
      <c r="J22"/>
      <c r="K22" s="8"/>
      <c r="Q22" s="63"/>
      <c r="R22" s="63"/>
    </row>
    <row r="23" spans="1:22" ht="15" x14ac:dyDescent="0.25">
      <c r="B23" s="72"/>
      <c r="C23" s="73"/>
      <c r="D23" s="74"/>
      <c r="E23" s="75"/>
      <c r="F23" s="76"/>
      <c r="G23" s="77" t="s">
        <v>48</v>
      </c>
      <c r="H23" s="78"/>
      <c r="I23" s="79">
        <f>SUM(I15:I22)</f>
        <v>256635.00000000003</v>
      </c>
      <c r="J23"/>
      <c r="Q23" s="63"/>
      <c r="R23" s="63"/>
    </row>
    <row r="24" spans="1:22" ht="7.5" customHeight="1" thickBot="1" x14ac:dyDescent="0.3">
      <c r="B24" s="34"/>
      <c r="D24" s="80"/>
      <c r="E24" s="81"/>
      <c r="F24" s="82"/>
      <c r="G24" s="81"/>
      <c r="H24"/>
      <c r="I24"/>
      <c r="J24"/>
      <c r="K24"/>
      <c r="L24"/>
      <c r="M24"/>
      <c r="N24"/>
    </row>
    <row r="25" spans="1:22" s="34" customFormat="1" ht="15" x14ac:dyDescent="0.25">
      <c r="A25" s="37"/>
      <c r="B25" s="38" t="s">
        <v>49</v>
      </c>
      <c r="C25" s="37"/>
      <c r="D25" s="37"/>
      <c r="E25" s="37"/>
      <c r="F25" s="37"/>
      <c r="G25" s="39"/>
      <c r="H25" s="37"/>
      <c r="I25" s="37"/>
      <c r="J25" s="83"/>
      <c r="K25" s="37"/>
      <c r="L25" s="37"/>
      <c r="M25" s="37"/>
      <c r="N25" s="37"/>
      <c r="O25" s="37"/>
      <c r="P25" s="37"/>
      <c r="Q25" s="37"/>
      <c r="R25" s="37"/>
      <c r="S25" s="37"/>
    </row>
    <row r="26" spans="1:22" ht="7.5" customHeight="1" x14ac:dyDescent="0.25">
      <c r="B26" s="33"/>
      <c r="C26" s="34"/>
      <c r="D26" s="41"/>
      <c r="E26" s="1"/>
      <c r="H26" s="3"/>
      <c r="I26"/>
      <c r="J26"/>
      <c r="K26" s="42"/>
      <c r="O26"/>
      <c r="P26" s="42"/>
      <c r="Q26"/>
      <c r="R26"/>
      <c r="S26"/>
    </row>
    <row r="27" spans="1:22" x14ac:dyDescent="0.2">
      <c r="B27" s="84" t="s">
        <v>50</v>
      </c>
      <c r="C27" s="85"/>
      <c r="D27" s="10" t="s">
        <v>51</v>
      </c>
      <c r="E27" s="86"/>
      <c r="F27" s="87"/>
      <c r="G27" s="228" t="s">
        <v>28</v>
      </c>
      <c r="H27" s="88" t="s">
        <v>52</v>
      </c>
      <c r="I27" s="89" t="s">
        <v>53</v>
      </c>
      <c r="J27" s="90" t="s">
        <v>54</v>
      </c>
      <c r="K27" s="91"/>
      <c r="L27" s="92"/>
      <c r="M27" s="92"/>
      <c r="N27" s="10" t="s">
        <v>55</v>
      </c>
      <c r="O27" s="86"/>
      <c r="P27" s="93" t="s">
        <v>13</v>
      </c>
      <c r="Q27" s="94"/>
      <c r="R27" s="92"/>
      <c r="S27" s="95" t="s">
        <v>56</v>
      </c>
    </row>
    <row r="28" spans="1:22" x14ac:dyDescent="0.2">
      <c r="B28" s="15"/>
      <c r="C28" s="96"/>
      <c r="D28" s="97" t="s">
        <v>57</v>
      </c>
      <c r="E28" s="98"/>
      <c r="F28" s="99" t="s">
        <v>58</v>
      </c>
      <c r="G28" s="100" t="s">
        <v>59</v>
      </c>
      <c r="H28" s="101" t="s">
        <v>60</v>
      </c>
      <c r="I28" s="102" t="s">
        <v>61</v>
      </c>
      <c r="J28" s="103" t="s">
        <v>62</v>
      </c>
      <c r="K28" s="104" t="s">
        <v>20</v>
      </c>
      <c r="L28" s="221" t="s">
        <v>21</v>
      </c>
      <c r="M28" s="105" t="s">
        <v>5</v>
      </c>
      <c r="N28" s="15" t="s">
        <v>57</v>
      </c>
      <c r="O28" s="98" t="s">
        <v>58</v>
      </c>
      <c r="P28" s="106" t="s">
        <v>63</v>
      </c>
      <c r="Q28" s="221" t="s">
        <v>64</v>
      </c>
      <c r="R28" s="221" t="s">
        <v>65</v>
      </c>
      <c r="S28" s="18" t="s">
        <v>66</v>
      </c>
    </row>
    <row r="29" spans="1:22" x14ac:dyDescent="0.2">
      <c r="B29" s="47" t="s">
        <v>67</v>
      </c>
      <c r="C29" s="217"/>
      <c r="D29" s="107"/>
      <c r="E29" s="108"/>
      <c r="F29" s="109"/>
      <c r="G29" s="110"/>
      <c r="H29" s="111"/>
      <c r="I29" s="111"/>
      <c r="J29" s="112">
        <v>1</v>
      </c>
      <c r="K29" s="113"/>
      <c r="L29" s="114"/>
      <c r="M29" s="115">
        <f t="shared" ref="M29:M34" si="2">IF(B29=0,"",SUM(J29:L29))</f>
        <v>1</v>
      </c>
      <c r="N29" s="116">
        <v>41061.5</v>
      </c>
      <c r="O29" s="117">
        <f t="shared" ref="O29:O34" si="3">IF(B29=0,"",HOUR(N29))</f>
        <v>12</v>
      </c>
      <c r="P29" s="118"/>
      <c r="Q29" s="119"/>
      <c r="R29" s="120"/>
      <c r="S29" s="121"/>
    </row>
    <row r="30" spans="1:22" x14ac:dyDescent="0.2">
      <c r="B30" s="283" t="s">
        <v>67</v>
      </c>
      <c r="C30" s="223"/>
      <c r="D30" s="122">
        <f>IF(B30=0,"",+J29/24+N29+((R30)/24))</f>
        <v>41061.810871212117</v>
      </c>
      <c r="E30" s="108"/>
      <c r="F30" s="109">
        <f t="shared" ref="F30:F34" si="4">IF(B30=0,"",HOUR(D30))</f>
        <v>19</v>
      </c>
      <c r="G30" s="123">
        <f>+E15</f>
        <v>13500</v>
      </c>
      <c r="H30" s="200">
        <v>500</v>
      </c>
      <c r="I30" s="124"/>
      <c r="J30" s="112">
        <v>6</v>
      </c>
      <c r="K30" s="113">
        <f t="shared" ref="K30:K34" si="5">IF(B30=0,"",IF(H30=0,IF(G30&gt;0,I30,0),IF(G30&gt;0,G30/H30,0)))</f>
        <v>27</v>
      </c>
      <c r="L30" s="125">
        <f t="shared" ref="L30:L34" si="6">IF(B30=0,"",IF(H30=0,IF(G30&lt;0,I30,0),IF(G30&lt;0,G30/H30,0)))</f>
        <v>0</v>
      </c>
      <c r="M30" s="115">
        <f t="shared" si="2"/>
        <v>33</v>
      </c>
      <c r="N30" s="126">
        <f t="shared" ref="N30:N34" si="7">IF(B30=0,"",(D30+(K30+L30+J30)/24))</f>
        <v>41063.185871212117</v>
      </c>
      <c r="O30" s="109">
        <f t="shared" si="3"/>
        <v>4</v>
      </c>
      <c r="P30" s="127">
        <v>69</v>
      </c>
      <c r="Q30" s="201">
        <v>11</v>
      </c>
      <c r="R30" s="120">
        <f t="shared" ref="R30:R34" si="8">IF(B30=0,"",IF(Q30=0,0,+P30*(1+S30)/Q30))</f>
        <v>6.4609090909090918</v>
      </c>
      <c r="S30" s="128">
        <v>0.03</v>
      </c>
    </row>
    <row r="31" spans="1:22" x14ac:dyDescent="0.2">
      <c r="B31" s="222" t="s">
        <v>96</v>
      </c>
      <c r="C31" s="223"/>
      <c r="D31" s="122">
        <f t="shared" ref="D31" si="9">IF(B31=0,"",+J30/24+N30+((R31)/24))</f>
        <v>41063.705075757571</v>
      </c>
      <c r="E31" s="108"/>
      <c r="F31" s="109">
        <f t="shared" si="4"/>
        <v>16</v>
      </c>
      <c r="G31" s="123">
        <f>-E15</f>
        <v>-13500</v>
      </c>
      <c r="H31" s="200">
        <v>-300</v>
      </c>
      <c r="I31" s="124"/>
      <c r="J31" s="112">
        <v>6</v>
      </c>
      <c r="K31" s="113">
        <f t="shared" si="5"/>
        <v>0</v>
      </c>
      <c r="L31" s="125">
        <f t="shared" si="6"/>
        <v>45</v>
      </c>
      <c r="M31" s="115">
        <f t="shared" ref="M31" si="10">IF(B31=0,"",SUM(J31:L31))</f>
        <v>51</v>
      </c>
      <c r="N31" s="126">
        <f t="shared" si="7"/>
        <v>41065.830075757571</v>
      </c>
      <c r="O31" s="109">
        <f t="shared" si="3"/>
        <v>19</v>
      </c>
      <c r="P31" s="127">
        <v>69</v>
      </c>
      <c r="Q31" s="119">
        <f>IF(B31=0,"",Q30)</f>
        <v>11</v>
      </c>
      <c r="R31" s="120">
        <f t="shared" si="8"/>
        <v>6.4609090909090918</v>
      </c>
      <c r="S31" s="128">
        <v>0.03</v>
      </c>
    </row>
    <row r="32" spans="1:22" x14ac:dyDescent="0.2">
      <c r="B32" s="222" t="s">
        <v>67</v>
      </c>
      <c r="C32" s="223"/>
      <c r="D32" s="122"/>
      <c r="E32" s="108"/>
      <c r="F32" s="109"/>
      <c r="G32" s="123"/>
      <c r="H32" s="200"/>
      <c r="I32" s="124"/>
      <c r="J32" s="112"/>
      <c r="K32" s="113"/>
      <c r="L32" s="125"/>
      <c r="M32" s="115"/>
      <c r="N32" s="126"/>
      <c r="O32" s="109"/>
      <c r="P32" s="127"/>
      <c r="Q32" s="119"/>
      <c r="R32" s="120"/>
      <c r="S32" s="128"/>
    </row>
    <row r="33" spans="1:19" x14ac:dyDescent="0.2">
      <c r="B33" s="222"/>
      <c r="C33" s="223"/>
      <c r="D33" s="122"/>
      <c r="E33" s="108"/>
      <c r="F33" s="109"/>
      <c r="G33" s="123"/>
      <c r="H33" s="200"/>
      <c r="I33" s="124"/>
      <c r="J33" s="112"/>
      <c r="K33" s="113"/>
      <c r="L33" s="125"/>
      <c r="M33" s="115"/>
      <c r="N33" s="126"/>
      <c r="O33" s="109"/>
      <c r="P33" s="127"/>
      <c r="Q33" s="119"/>
      <c r="R33" s="120"/>
      <c r="S33" s="128"/>
    </row>
    <row r="34" spans="1:19" x14ac:dyDescent="0.2">
      <c r="B34" s="222"/>
      <c r="C34" s="223"/>
      <c r="D34" s="122" t="str">
        <f>IF(B34=0,"",+#REF!+((R34)/24))</f>
        <v/>
      </c>
      <c r="E34" s="108"/>
      <c r="F34" s="109" t="str">
        <f t="shared" si="4"/>
        <v/>
      </c>
      <c r="G34" s="123"/>
      <c r="H34" s="124"/>
      <c r="I34" s="124"/>
      <c r="J34" s="112"/>
      <c r="K34" s="113" t="str">
        <f t="shared" si="5"/>
        <v/>
      </c>
      <c r="L34" s="125" t="str">
        <f t="shared" si="6"/>
        <v/>
      </c>
      <c r="M34" s="115" t="str">
        <f t="shared" si="2"/>
        <v/>
      </c>
      <c r="N34" s="126" t="str">
        <f t="shared" si="7"/>
        <v/>
      </c>
      <c r="O34" s="109" t="str">
        <f t="shared" si="3"/>
        <v/>
      </c>
      <c r="P34" s="127"/>
      <c r="Q34" s="119" t="str">
        <f>IF(B34=0,"",#REF!)</f>
        <v/>
      </c>
      <c r="R34" s="120" t="str">
        <f t="shared" si="8"/>
        <v/>
      </c>
      <c r="S34" s="128"/>
    </row>
    <row r="35" spans="1:19" x14ac:dyDescent="0.2">
      <c r="B35" s="61" t="s">
        <v>5</v>
      </c>
      <c r="C35" s="62"/>
      <c r="D35" s="61"/>
      <c r="E35" s="62"/>
      <c r="F35" s="129"/>
      <c r="G35" s="226">
        <f>SUM(G29:G34)</f>
        <v>0</v>
      </c>
      <c r="H35" s="226"/>
      <c r="I35" s="226">
        <f>SUM(I29:I34)</f>
        <v>0</v>
      </c>
      <c r="J35" s="106">
        <f>SUM(J29:J34)</f>
        <v>13</v>
      </c>
      <c r="K35" s="104">
        <f>SUM(K29:K34)</f>
        <v>27</v>
      </c>
      <c r="L35" s="226">
        <f>SUM(L29:L34)</f>
        <v>45</v>
      </c>
      <c r="M35" s="130">
        <f>SUM(M29:M34)</f>
        <v>85</v>
      </c>
      <c r="N35" s="131"/>
      <c r="O35" s="132"/>
      <c r="P35" s="43">
        <f>SUM(P29:P34)</f>
        <v>138</v>
      </c>
      <c r="Q35" s="133"/>
      <c r="R35" s="134">
        <f>SUM(R29:R34)</f>
        <v>12.921818181818184</v>
      </c>
      <c r="S35" s="135"/>
    </row>
    <row r="36" spans="1:19" ht="8.25" customHeight="1" thickBo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9" s="34" customFormat="1" ht="15" x14ac:dyDescent="0.25">
      <c r="A37" s="37"/>
      <c r="B37" s="38" t="s">
        <v>68</v>
      </c>
      <c r="C37" s="37"/>
      <c r="D37" s="37"/>
      <c r="E37" s="40" t="s">
        <v>69</v>
      </c>
      <c r="F37" s="37"/>
      <c r="G37" s="37"/>
      <c r="H37" s="39"/>
      <c r="I37" s="40"/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spans="1:19" ht="7.5" customHeight="1" x14ac:dyDescent="0.25">
      <c r="B38" s="33"/>
      <c r="C38" s="34"/>
      <c r="D38" s="41"/>
      <c r="E38" s="1"/>
      <c r="H38" s="3"/>
      <c r="I38"/>
      <c r="J38"/>
      <c r="K38" s="42"/>
      <c r="O38"/>
      <c r="P38" s="42"/>
      <c r="Q38"/>
      <c r="R38"/>
      <c r="S38"/>
    </row>
    <row r="39" spans="1:19" s="34" customFormat="1" ht="14.25" x14ac:dyDescent="0.2">
      <c r="B39" s="136" t="s">
        <v>50</v>
      </c>
      <c r="C39" s="85"/>
      <c r="D39" s="137" t="s">
        <v>70</v>
      </c>
      <c r="E39" s="268" t="s">
        <v>71</v>
      </c>
      <c r="F39" s="269"/>
      <c r="G39" s="268" t="s">
        <v>72</v>
      </c>
      <c r="H39" s="269"/>
      <c r="I39" s="268" t="s">
        <v>73</v>
      </c>
      <c r="J39" s="269"/>
      <c r="K39" s="268" t="s">
        <v>74</v>
      </c>
      <c r="L39" s="269"/>
      <c r="M39" s="268" t="s">
        <v>75</v>
      </c>
      <c r="N39" s="269"/>
      <c r="O39" s="268" t="s">
        <v>76</v>
      </c>
      <c r="P39" s="269"/>
      <c r="Q39" s="268" t="s">
        <v>77</v>
      </c>
      <c r="R39" s="269"/>
      <c r="S39" s="13" t="s">
        <v>78</v>
      </c>
    </row>
    <row r="40" spans="1:19" s="34" customFormat="1" ht="14.25" x14ac:dyDescent="0.2">
      <c r="B40" s="15"/>
      <c r="C40" s="99"/>
      <c r="D40" s="138"/>
      <c r="E40" s="15" t="s">
        <v>6</v>
      </c>
      <c r="F40" s="139" t="s">
        <v>7</v>
      </c>
      <c r="G40" s="138" t="s">
        <v>6</v>
      </c>
      <c r="H40" s="138" t="s">
        <v>7</v>
      </c>
      <c r="I40" s="15" t="s">
        <v>6</v>
      </c>
      <c r="J40" s="99" t="s">
        <v>7</v>
      </c>
      <c r="K40" s="15" t="s">
        <v>6</v>
      </c>
      <c r="L40" s="99" t="s">
        <v>7</v>
      </c>
      <c r="M40" s="219" t="s">
        <v>6</v>
      </c>
      <c r="N40" s="219" t="s">
        <v>7</v>
      </c>
      <c r="O40" s="15" t="s">
        <v>6</v>
      </c>
      <c r="P40" s="99" t="s">
        <v>7</v>
      </c>
      <c r="Q40" s="224" t="s">
        <v>6</v>
      </c>
      <c r="R40" s="99" t="s">
        <v>7</v>
      </c>
      <c r="S40" s="18" t="s">
        <v>79</v>
      </c>
    </row>
    <row r="41" spans="1:19" x14ac:dyDescent="0.2">
      <c r="B41" s="277" t="s">
        <v>67</v>
      </c>
      <c r="C41" s="278"/>
      <c r="D41" s="140"/>
      <c r="E41" s="141"/>
      <c r="F41" s="142"/>
      <c r="G41" s="143"/>
      <c r="H41" s="144"/>
      <c r="I41" s="145"/>
      <c r="J41" s="146"/>
      <c r="K41" s="211">
        <v>1000</v>
      </c>
      <c r="L41" s="211">
        <v>100</v>
      </c>
      <c r="M41" s="147">
        <f>IF(B29=0,"",+($P$6*J29+$P$7*K29+$P$8*L29)/24)</f>
        <v>0.14583333333333334</v>
      </c>
      <c r="N41" s="148">
        <f>IF(B30=0,"",(+$Q$6*J30+$Q$7*K30+$Q$8*L30)/24)</f>
        <v>0</v>
      </c>
      <c r="O41" s="142"/>
      <c r="P41" s="149"/>
      <c r="Q41" s="276">
        <v>895.14</v>
      </c>
      <c r="R41" s="150">
        <v>0</v>
      </c>
      <c r="S41" s="151">
        <f>IF(B30=0,"",(M41+O41)*Q41+(N41+P41)*R41)</f>
        <v>130.54125000000002</v>
      </c>
    </row>
    <row r="42" spans="1:19" x14ac:dyDescent="0.2">
      <c r="B42" s="279" t="s">
        <v>67</v>
      </c>
      <c r="C42" s="280"/>
      <c r="D42" s="229">
        <v>23000</v>
      </c>
      <c r="E42" s="115">
        <f>IF(B31=0,"",+K41-O42)</f>
        <v>996.09653409090913</v>
      </c>
      <c r="F42" s="152">
        <f>IF(B31=0,"",+L41-P42)</f>
        <v>100</v>
      </c>
      <c r="G42" s="153"/>
      <c r="H42" s="154"/>
      <c r="I42" s="155"/>
      <c r="J42" s="156"/>
      <c r="K42" s="212">
        <f>IF(B29=0,"",+E42+G42-M42)</f>
        <v>991.28403409090913</v>
      </c>
      <c r="L42" s="212">
        <f>IF(B29=0,"",+F42+H42-N42)</f>
        <v>100</v>
      </c>
      <c r="M42" s="115">
        <f>IF(B30=0,"",+($P$6*J30+$P$7*K30+$P$8*L30)/24)</f>
        <v>4.8125</v>
      </c>
      <c r="N42" s="157">
        <f>IF(B31=0,"",(+$Q$6*J31+$Q$7*K31+$Q$8*L31)/24)</f>
        <v>0</v>
      </c>
      <c r="O42" s="209">
        <f>IF(B30=0,"",(R30/24*$P$5))</f>
        <v>3.9034659090909094</v>
      </c>
      <c r="P42" s="158">
        <f>IF(B29=0,"",+R29/24*$Q$5)</f>
        <v>0</v>
      </c>
      <c r="Q42" s="159">
        <f>IF(B31=0,"",+(E42*Q41+I42*G42)/(G42+E42))</f>
        <v>895.14</v>
      </c>
      <c r="R42" s="160">
        <f>IF(B31=0,"",+(J42*H42+L41*R41)/(H42+L41))</f>
        <v>0</v>
      </c>
      <c r="S42" s="151">
        <f>IF(B31=0,"",(M42+O42)*Q42+(N42+P42)*R42)</f>
        <v>7802.0097238636372</v>
      </c>
    </row>
    <row r="43" spans="1:19" x14ac:dyDescent="0.2">
      <c r="B43" s="279" t="s">
        <v>96</v>
      </c>
      <c r="C43" s="281"/>
      <c r="D43" s="229">
        <v>18000</v>
      </c>
      <c r="E43" s="115">
        <f>IF(B32=0,"",+K42-O43)</f>
        <v>987.38056818181826</v>
      </c>
      <c r="F43" s="152">
        <f>IF(B32=0,"",+L42-P43)</f>
        <v>100</v>
      </c>
      <c r="G43" s="153"/>
      <c r="H43" s="154"/>
      <c r="I43" s="155"/>
      <c r="J43" s="156"/>
      <c r="K43" s="212">
        <f>IF(B30=0,"",+E43+G43-M43)</f>
        <v>977.13056818181826</v>
      </c>
      <c r="L43" s="212">
        <f>IF(B30=0,"",+F43+H43-N43)</f>
        <v>100</v>
      </c>
      <c r="M43" s="115">
        <f>IF(B31=0,"",+($P$6*J31+$P$7*K31+$P$8*L31)/24)</f>
        <v>10.25</v>
      </c>
      <c r="N43" s="157">
        <f>IF(B32=0,"",(+$Q$6*J32+$Q$7*K32+$Q$8*L32)/24)</f>
        <v>0</v>
      </c>
      <c r="O43" s="209">
        <f>IF(B31=0,"",(R31/24*$P$5))</f>
        <v>3.9034659090909094</v>
      </c>
      <c r="P43" s="158">
        <f>IF(B30=0,"",+R30/24*$Q$5)</f>
        <v>0</v>
      </c>
      <c r="Q43" s="159">
        <f>IF(B32=0,"",+(E43*Q42+I43*G43)/(G43+E43))</f>
        <v>895.14</v>
      </c>
      <c r="R43" s="160">
        <f>IF(B32=0,"",+(J43*H43+L42*R42)/(H43+L42))</f>
        <v>0</v>
      </c>
      <c r="S43" s="151">
        <f>IF(B32=0,"",(M43+O43)*Q43+(N43+P43)*R43)</f>
        <v>12669.333473863637</v>
      </c>
    </row>
    <row r="44" spans="1:19" x14ac:dyDescent="0.2">
      <c r="B44" s="279" t="s">
        <v>67</v>
      </c>
      <c r="C44" s="281"/>
      <c r="D44" s="203"/>
      <c r="E44" s="115"/>
      <c r="F44" s="152"/>
      <c r="G44" s="153"/>
      <c r="H44" s="154"/>
      <c r="I44" s="155"/>
      <c r="J44" s="156"/>
      <c r="K44" s="212"/>
      <c r="L44" s="212"/>
      <c r="M44" s="115"/>
      <c r="N44" s="157"/>
      <c r="O44" s="209"/>
      <c r="P44" s="158"/>
      <c r="Q44" s="159"/>
      <c r="R44" s="160"/>
      <c r="S44" s="151"/>
    </row>
    <row r="45" spans="1:19" x14ac:dyDescent="0.2">
      <c r="B45" s="282"/>
      <c r="C45" s="280"/>
      <c r="D45" s="203"/>
      <c r="E45" s="115"/>
      <c r="F45" s="152"/>
      <c r="G45" s="153"/>
      <c r="H45" s="154"/>
      <c r="I45" s="155"/>
      <c r="J45" s="156"/>
      <c r="K45" s="212"/>
      <c r="L45" s="212"/>
      <c r="M45" s="115"/>
      <c r="N45" s="157"/>
      <c r="O45" s="209"/>
      <c r="P45" s="158"/>
      <c r="Q45" s="159"/>
      <c r="R45" s="160"/>
      <c r="S45" s="151"/>
    </row>
    <row r="46" spans="1:19" x14ac:dyDescent="0.2">
      <c r="B46" s="282"/>
      <c r="C46" s="280"/>
      <c r="D46" s="203"/>
      <c r="E46" s="115"/>
      <c r="F46" s="152"/>
      <c r="G46" s="153"/>
      <c r="H46" s="154"/>
      <c r="I46" s="155"/>
      <c r="J46" s="156"/>
      <c r="K46" s="212"/>
      <c r="L46" s="212"/>
      <c r="M46" s="115"/>
      <c r="N46" s="157"/>
      <c r="O46" s="209"/>
      <c r="P46" s="158"/>
      <c r="Q46" s="159"/>
      <c r="R46" s="160"/>
      <c r="S46" s="151"/>
    </row>
    <row r="47" spans="1:19" x14ac:dyDescent="0.2">
      <c r="B47" s="282"/>
      <c r="C47" s="280"/>
      <c r="D47" s="203"/>
      <c r="E47" s="115"/>
      <c r="F47" s="152"/>
      <c r="G47" s="153"/>
      <c r="H47" s="154"/>
      <c r="I47" s="155"/>
      <c r="J47" s="156"/>
      <c r="K47" s="212"/>
      <c r="L47" s="212"/>
      <c r="M47" s="115"/>
      <c r="N47" s="157"/>
      <c r="O47" s="209"/>
      <c r="P47" s="158"/>
      <c r="Q47" s="159"/>
      <c r="R47" s="160"/>
      <c r="S47" s="151"/>
    </row>
    <row r="48" spans="1:19" x14ac:dyDescent="0.2">
      <c r="B48" s="282"/>
      <c r="C48" s="280"/>
      <c r="D48" s="203"/>
      <c r="E48" s="115"/>
      <c r="F48" s="152"/>
      <c r="G48" s="153"/>
      <c r="H48" s="154"/>
      <c r="I48" s="155"/>
      <c r="J48" s="156"/>
      <c r="K48" s="212"/>
      <c r="L48" s="212"/>
      <c r="M48" s="115"/>
      <c r="N48" s="157"/>
      <c r="O48" s="209"/>
      <c r="P48" s="158"/>
      <c r="Q48" s="159"/>
      <c r="R48" s="160"/>
      <c r="S48" s="151"/>
    </row>
    <row r="49" spans="1:19" x14ac:dyDescent="0.2">
      <c r="B49" s="75" t="s">
        <v>80</v>
      </c>
      <c r="C49" s="161"/>
      <c r="D49" s="162">
        <f>SUM(D41:D48)</f>
        <v>41000</v>
      </c>
      <c r="E49" s="163"/>
      <c r="F49" s="164"/>
      <c r="G49" s="165"/>
      <c r="H49" s="166"/>
      <c r="I49" s="167"/>
      <c r="J49" s="168"/>
      <c r="K49" s="165"/>
      <c r="L49" s="165"/>
      <c r="M49" s="210">
        <f>SUM(M41:M48)</f>
        <v>15.208333333333332</v>
      </c>
      <c r="N49" s="210">
        <f>SUM(N41:N48)</f>
        <v>0</v>
      </c>
      <c r="O49" s="165">
        <f>SUM(O41:O48)</f>
        <v>7.8069318181818188</v>
      </c>
      <c r="P49" s="166">
        <f>SUM(P41:P48)</f>
        <v>0</v>
      </c>
      <c r="Q49" s="169"/>
      <c r="R49" s="170" t="s">
        <v>81</v>
      </c>
      <c r="S49" s="171">
        <f>SUM(S41:S48)</f>
        <v>20601.884447727272</v>
      </c>
    </row>
    <row r="50" spans="1:19" x14ac:dyDescent="0.2">
      <c r="C50" s="3"/>
      <c r="E50" s="1"/>
      <c r="H50" s="43"/>
      <c r="I50" s="62"/>
      <c r="J50" s="62"/>
      <c r="K50" s="172"/>
      <c r="L50" s="173"/>
      <c r="M50" s="174" t="s">
        <v>82</v>
      </c>
      <c r="N50" s="134">
        <f>+O49+M49+C60+C61</f>
        <v>23.015265151515152</v>
      </c>
      <c r="O50" s="130">
        <f>+P49+N49+D60+D61</f>
        <v>0</v>
      </c>
      <c r="P50" s="80"/>
      <c r="Q50" s="80"/>
      <c r="R50" s="175"/>
    </row>
    <row r="51" spans="1:19" ht="7.5" customHeight="1" thickBo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s="34" customFormat="1" ht="15" x14ac:dyDescent="0.25">
      <c r="A52" s="37"/>
      <c r="B52" s="40" t="s">
        <v>83</v>
      </c>
      <c r="C52" s="37"/>
      <c r="D52" s="37"/>
      <c r="E52" s="37"/>
      <c r="F52" s="37"/>
      <c r="G52" s="37"/>
      <c r="H52" s="37"/>
      <c r="I52" s="40"/>
      <c r="J52" s="37"/>
      <c r="K52" s="37"/>
      <c r="L52" s="37"/>
      <c r="M52" s="37"/>
      <c r="N52" s="37"/>
      <c r="O52" s="40"/>
      <c r="P52" s="37"/>
      <c r="Q52" s="37"/>
      <c r="R52" s="37"/>
      <c r="S52" s="37"/>
    </row>
    <row r="53" spans="1:19" ht="7.5" customHeight="1" x14ac:dyDescent="0.25">
      <c r="B53" s="33"/>
      <c r="C53" s="34"/>
      <c r="D53" s="41"/>
      <c r="E53" s="1"/>
      <c r="H53" s="3"/>
      <c r="I53"/>
      <c r="J53"/>
      <c r="K53" s="42"/>
      <c r="O53"/>
      <c r="P53" s="42"/>
      <c r="Q53"/>
      <c r="R53"/>
      <c r="S53"/>
    </row>
    <row r="54" spans="1:19" x14ac:dyDescent="0.2">
      <c r="B54" s="61" t="s">
        <v>92</v>
      </c>
      <c r="C54" s="62"/>
      <c r="D54" s="221"/>
      <c r="E54" s="221"/>
      <c r="F54" s="207"/>
      <c r="G54" s="105" t="s">
        <v>5</v>
      </c>
      <c r="H54" s="1"/>
      <c r="J54" s="177"/>
      <c r="K54" s="178"/>
      <c r="L54" s="177"/>
      <c r="M54" s="178"/>
      <c r="P54" s="177"/>
      <c r="Q54" s="178"/>
      <c r="R54" s="177"/>
      <c r="S54" s="178"/>
    </row>
    <row r="55" spans="1:19" x14ac:dyDescent="0.2">
      <c r="B55" s="214"/>
      <c r="C55" s="204"/>
      <c r="D55" s="204"/>
      <c r="E55" s="204"/>
      <c r="F55" s="208"/>
      <c r="G55" s="205"/>
      <c r="H55" s="1"/>
      <c r="I55" s="179"/>
      <c r="J55" s="219"/>
      <c r="K55" s="219"/>
      <c r="L55" s="219"/>
      <c r="M55" s="219"/>
      <c r="O55" s="179"/>
      <c r="P55" s="219"/>
      <c r="Q55" s="219"/>
      <c r="R55" s="219"/>
      <c r="S55" s="219"/>
    </row>
    <row r="56" spans="1:19" x14ac:dyDescent="0.2">
      <c r="B56" s="270"/>
      <c r="C56" s="271"/>
      <c r="D56" s="271"/>
      <c r="E56" s="271"/>
      <c r="F56" s="272"/>
      <c r="G56" s="202"/>
      <c r="H56" s="1"/>
      <c r="I56" s="176"/>
      <c r="J56" s="7"/>
      <c r="K56" s="7"/>
      <c r="L56" s="7"/>
      <c r="M56" s="7"/>
      <c r="O56" s="176"/>
      <c r="P56" s="7"/>
      <c r="Q56" s="7"/>
      <c r="R56" s="7"/>
      <c r="S56" s="7"/>
    </row>
    <row r="57" spans="1:19" x14ac:dyDescent="0.2">
      <c r="B57" s="270"/>
      <c r="C57" s="271"/>
      <c r="D57" s="271"/>
      <c r="E57" s="271"/>
      <c r="F57" s="272"/>
      <c r="G57" s="202"/>
      <c r="H57" s="1"/>
      <c r="I57" s="176"/>
      <c r="J57" s="7"/>
      <c r="K57" s="7"/>
      <c r="L57" s="7"/>
      <c r="M57" s="7"/>
      <c r="O57" s="176"/>
      <c r="P57" s="7"/>
      <c r="Q57" s="7"/>
      <c r="R57" s="7"/>
      <c r="S57" s="7"/>
    </row>
    <row r="58" spans="1:19" x14ac:dyDescent="0.2">
      <c r="B58" s="273"/>
      <c r="C58" s="274"/>
      <c r="D58" s="274"/>
      <c r="E58" s="274"/>
      <c r="F58" s="275"/>
      <c r="G58" s="206"/>
      <c r="H58" s="1"/>
      <c r="I58" s="176"/>
      <c r="J58" s="7"/>
      <c r="K58" s="7"/>
      <c r="L58" s="180"/>
      <c r="M58" s="7"/>
      <c r="O58" s="176"/>
      <c r="P58" s="7"/>
      <c r="Q58" s="7"/>
      <c r="R58" s="180"/>
      <c r="S58" s="7"/>
    </row>
    <row r="59" spans="1:19" x14ac:dyDescent="0.2">
      <c r="B59" s="61" t="s">
        <v>84</v>
      </c>
      <c r="C59" s="221" t="s">
        <v>85</v>
      </c>
      <c r="D59" s="221" t="s">
        <v>86</v>
      </c>
      <c r="E59" s="221" t="s">
        <v>87</v>
      </c>
      <c r="F59" s="221" t="s">
        <v>88</v>
      </c>
      <c r="G59" s="135"/>
      <c r="H59" s="1"/>
      <c r="I59" s="176"/>
      <c r="J59" s="7"/>
      <c r="K59" s="7"/>
      <c r="L59" s="7"/>
      <c r="M59" s="7"/>
      <c r="O59" s="176"/>
      <c r="P59" s="7"/>
      <c r="Q59" s="7"/>
      <c r="R59" s="7"/>
      <c r="S59" s="7"/>
    </row>
    <row r="60" spans="1:19" x14ac:dyDescent="0.2">
      <c r="B60" s="181" t="s">
        <v>23</v>
      </c>
      <c r="C60" s="1">
        <f>+P9*S9</f>
        <v>0</v>
      </c>
      <c r="D60" s="1">
        <f>+Q9*S9</f>
        <v>0</v>
      </c>
      <c r="E60" s="1">
        <f>+Q41*C60</f>
        <v>0</v>
      </c>
      <c r="F60" s="1">
        <f>+D60*R41</f>
        <v>0</v>
      </c>
      <c r="G60" s="151">
        <f>SUM(E60:F60)</f>
        <v>0</v>
      </c>
      <c r="H60" s="1"/>
      <c r="I60" s="176"/>
      <c r="J60" s="7"/>
      <c r="K60" s="7"/>
      <c r="L60" s="7"/>
      <c r="M60" s="7"/>
      <c r="O60" s="176"/>
      <c r="P60" s="7"/>
      <c r="Q60" s="7"/>
      <c r="R60" s="7"/>
      <c r="S60" s="7"/>
    </row>
    <row r="61" spans="1:19" x14ac:dyDescent="0.2">
      <c r="B61" s="181" t="s">
        <v>24</v>
      </c>
      <c r="C61" s="1">
        <f>+P10*S10</f>
        <v>0</v>
      </c>
      <c r="D61" s="1">
        <f>+Q10*S10</f>
        <v>0</v>
      </c>
      <c r="E61" s="1">
        <f>+C61*Q41</f>
        <v>0</v>
      </c>
      <c r="F61" s="1">
        <f>+D61*R41</f>
        <v>0</v>
      </c>
      <c r="G61" s="151">
        <f>SUM(E61:F61)</f>
        <v>0</v>
      </c>
      <c r="H61" s="1"/>
    </row>
    <row r="62" spans="1:19" x14ac:dyDescent="0.2">
      <c r="B62" s="61"/>
      <c r="C62" s="182"/>
      <c r="D62" s="75"/>
      <c r="E62" s="76"/>
      <c r="F62" s="183" t="s">
        <v>89</v>
      </c>
      <c r="G62" s="171">
        <f>SUM(G55:G61)</f>
        <v>0</v>
      </c>
      <c r="H62" s="1"/>
    </row>
    <row r="63" spans="1:19" ht="15" x14ac:dyDescent="0.25">
      <c r="N63"/>
      <c r="O63"/>
      <c r="P63"/>
      <c r="Q63"/>
      <c r="R63"/>
    </row>
  </sheetData>
  <mergeCells count="42">
    <mergeCell ref="O39:P39"/>
    <mergeCell ref="Q39:R39"/>
    <mergeCell ref="B56:F56"/>
    <mergeCell ref="B57:F57"/>
    <mergeCell ref="B58:F58"/>
    <mergeCell ref="M39:N39"/>
    <mergeCell ref="E39:F39"/>
    <mergeCell ref="G39:H39"/>
    <mergeCell ref="I39:J39"/>
    <mergeCell ref="K39:L39"/>
    <mergeCell ref="K16:M16"/>
    <mergeCell ref="O16:P16"/>
    <mergeCell ref="Q16:R16"/>
    <mergeCell ref="K17:M17"/>
    <mergeCell ref="O17:P17"/>
    <mergeCell ref="Q17:R17"/>
    <mergeCell ref="K18:M18"/>
    <mergeCell ref="O18:P18"/>
    <mergeCell ref="Q18:R18"/>
    <mergeCell ref="Q19:R19"/>
    <mergeCell ref="Q20:R20"/>
    <mergeCell ref="K14:M14"/>
    <mergeCell ref="O14:P14"/>
    <mergeCell ref="Q14:R14"/>
    <mergeCell ref="K15:M15"/>
    <mergeCell ref="O15:P15"/>
    <mergeCell ref="Q15:R15"/>
    <mergeCell ref="C6:D6"/>
    <mergeCell ref="G6:H6"/>
    <mergeCell ref="K6:L6"/>
    <mergeCell ref="U6:X10"/>
    <mergeCell ref="C7:D7"/>
    <mergeCell ref="G7:H7"/>
    <mergeCell ref="K7:L7"/>
    <mergeCell ref="B9:C10"/>
    <mergeCell ref="K9:L9"/>
    <mergeCell ref="H1:I1"/>
    <mergeCell ref="M1:N1"/>
    <mergeCell ref="U4:X4"/>
    <mergeCell ref="C5:D5"/>
    <mergeCell ref="G5:H5"/>
    <mergeCell ref="K5:L5"/>
  </mergeCell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897" r:id="rId4" name="Drop Down 1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8" r:id="rId5" name="Drop Down 2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9" r:id="rId6" name="Drop Down 3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0" r:id="rId7" name="Drop Down 4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1" r:id="rId8" name="Drop Down 5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2" r:id="rId9" name="Drop Down 6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3" r:id="rId10" name="Drop Down 7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4" r:id="rId11" name="Drop Down 8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5" r:id="rId12" name="Drop Down 9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5565-64F0-49C0-A1FD-251307F6D95B}">
  <sheetPr>
    <pageSetUpPr fitToPage="1"/>
  </sheetPr>
  <dimension ref="A1:X60"/>
  <sheetViews>
    <sheetView topLeftCell="A13" workbookViewId="0">
      <selection activeCell="P30" sqref="P30:P31"/>
    </sheetView>
  </sheetViews>
  <sheetFormatPr baseColWidth="10" defaultColWidth="7.28515625" defaultRowHeight="12.75" x14ac:dyDescent="0.2"/>
  <cols>
    <col min="1" max="1" width="1.5703125" style="1" customWidth="1"/>
    <col min="2" max="2" width="19.140625" style="1" customWidth="1"/>
    <col min="3" max="3" width="14.85546875" style="1" customWidth="1"/>
    <col min="4" max="4" width="12.42578125" style="1" customWidth="1"/>
    <col min="5" max="5" width="7.5703125" style="3" customWidth="1"/>
    <col min="6" max="6" width="6.5703125" style="1" customWidth="1"/>
    <col min="7" max="7" width="21.140625" style="1" customWidth="1"/>
    <col min="8" max="8" width="7.85546875" style="184" customWidth="1"/>
    <col min="9" max="9" width="13.28515625" style="1" customWidth="1"/>
    <col min="10" max="10" width="7.42578125" style="1" customWidth="1"/>
    <col min="11" max="11" width="9.28515625" style="1" bestFit="1" customWidth="1"/>
    <col min="12" max="12" width="9.7109375" style="1" customWidth="1"/>
    <col min="13" max="13" width="9.42578125" style="1" customWidth="1"/>
    <col min="14" max="14" width="18.5703125" style="1" customWidth="1"/>
    <col min="15" max="15" width="10" style="1" customWidth="1"/>
    <col min="16" max="16" width="7.42578125" style="1" customWidth="1"/>
    <col min="17" max="17" width="8.7109375" style="1" customWidth="1"/>
    <col min="18" max="18" width="8.85546875" style="1" customWidth="1"/>
    <col min="19" max="19" width="10.7109375" style="1" customWidth="1"/>
    <col min="20" max="20" width="4.85546875" style="1" customWidth="1"/>
    <col min="21" max="21" width="7.5703125" style="1" customWidth="1"/>
    <col min="22" max="22" width="27.140625" style="1" hidden="1" customWidth="1"/>
    <col min="23" max="24" width="7.5703125" style="1" customWidth="1"/>
    <col min="25" max="256" width="7.28515625" style="1"/>
    <col min="257" max="257" width="1.5703125" style="1" customWidth="1"/>
    <col min="258" max="258" width="16.7109375" style="1" customWidth="1"/>
    <col min="259" max="259" width="11.5703125" style="1" customWidth="1"/>
    <col min="260" max="260" width="9.140625" style="1" customWidth="1"/>
    <col min="261" max="261" width="8.140625" style="1" customWidth="1"/>
    <col min="262" max="262" width="6.5703125" style="1" customWidth="1"/>
    <col min="263" max="263" width="24.140625" style="1" customWidth="1"/>
    <col min="264" max="264" width="7.85546875" style="1" customWidth="1"/>
    <col min="265" max="265" width="13.28515625" style="1" customWidth="1"/>
    <col min="266" max="269" width="7.42578125" style="1" customWidth="1"/>
    <col min="270" max="270" width="18.5703125" style="1" customWidth="1"/>
    <col min="271" max="271" width="10" style="1" customWidth="1"/>
    <col min="272" max="274" width="7.42578125" style="1" customWidth="1"/>
    <col min="275" max="275" width="9.140625" style="1" bestFit="1" customWidth="1"/>
    <col min="276" max="276" width="4.85546875" style="1" customWidth="1"/>
    <col min="277" max="277" width="7.28515625" style="1"/>
    <col min="278" max="278" width="0" style="1" hidden="1" customWidth="1"/>
    <col min="279" max="512" width="7.28515625" style="1"/>
    <col min="513" max="513" width="1.5703125" style="1" customWidth="1"/>
    <col min="514" max="514" width="16.7109375" style="1" customWidth="1"/>
    <col min="515" max="515" width="11.5703125" style="1" customWidth="1"/>
    <col min="516" max="516" width="9.140625" style="1" customWidth="1"/>
    <col min="517" max="517" width="8.140625" style="1" customWidth="1"/>
    <col min="518" max="518" width="6.5703125" style="1" customWidth="1"/>
    <col min="519" max="519" width="24.140625" style="1" customWidth="1"/>
    <col min="520" max="520" width="7.85546875" style="1" customWidth="1"/>
    <col min="521" max="521" width="13.28515625" style="1" customWidth="1"/>
    <col min="522" max="525" width="7.42578125" style="1" customWidth="1"/>
    <col min="526" max="526" width="18.5703125" style="1" customWidth="1"/>
    <col min="527" max="527" width="10" style="1" customWidth="1"/>
    <col min="528" max="530" width="7.42578125" style="1" customWidth="1"/>
    <col min="531" max="531" width="9.140625" style="1" bestFit="1" customWidth="1"/>
    <col min="532" max="532" width="4.85546875" style="1" customWidth="1"/>
    <col min="533" max="533" width="7.28515625" style="1"/>
    <col min="534" max="534" width="0" style="1" hidden="1" customWidth="1"/>
    <col min="535" max="768" width="7.28515625" style="1"/>
    <col min="769" max="769" width="1.5703125" style="1" customWidth="1"/>
    <col min="770" max="770" width="16.7109375" style="1" customWidth="1"/>
    <col min="771" max="771" width="11.5703125" style="1" customWidth="1"/>
    <col min="772" max="772" width="9.140625" style="1" customWidth="1"/>
    <col min="773" max="773" width="8.140625" style="1" customWidth="1"/>
    <col min="774" max="774" width="6.5703125" style="1" customWidth="1"/>
    <col min="775" max="775" width="24.140625" style="1" customWidth="1"/>
    <col min="776" max="776" width="7.85546875" style="1" customWidth="1"/>
    <col min="777" max="777" width="13.28515625" style="1" customWidth="1"/>
    <col min="778" max="781" width="7.42578125" style="1" customWidth="1"/>
    <col min="782" max="782" width="18.5703125" style="1" customWidth="1"/>
    <col min="783" max="783" width="10" style="1" customWidth="1"/>
    <col min="784" max="786" width="7.42578125" style="1" customWidth="1"/>
    <col min="787" max="787" width="9.140625" style="1" bestFit="1" customWidth="1"/>
    <col min="788" max="788" width="4.85546875" style="1" customWidth="1"/>
    <col min="789" max="789" width="7.28515625" style="1"/>
    <col min="790" max="790" width="0" style="1" hidden="1" customWidth="1"/>
    <col min="791" max="1024" width="7.28515625" style="1"/>
    <col min="1025" max="1025" width="1.5703125" style="1" customWidth="1"/>
    <col min="1026" max="1026" width="16.7109375" style="1" customWidth="1"/>
    <col min="1027" max="1027" width="11.5703125" style="1" customWidth="1"/>
    <col min="1028" max="1028" width="9.140625" style="1" customWidth="1"/>
    <col min="1029" max="1029" width="8.140625" style="1" customWidth="1"/>
    <col min="1030" max="1030" width="6.5703125" style="1" customWidth="1"/>
    <col min="1031" max="1031" width="24.140625" style="1" customWidth="1"/>
    <col min="1032" max="1032" width="7.85546875" style="1" customWidth="1"/>
    <col min="1033" max="1033" width="13.28515625" style="1" customWidth="1"/>
    <col min="1034" max="1037" width="7.42578125" style="1" customWidth="1"/>
    <col min="1038" max="1038" width="18.5703125" style="1" customWidth="1"/>
    <col min="1039" max="1039" width="10" style="1" customWidth="1"/>
    <col min="1040" max="1042" width="7.42578125" style="1" customWidth="1"/>
    <col min="1043" max="1043" width="9.140625" style="1" bestFit="1" customWidth="1"/>
    <col min="1044" max="1044" width="4.85546875" style="1" customWidth="1"/>
    <col min="1045" max="1045" width="7.28515625" style="1"/>
    <col min="1046" max="1046" width="0" style="1" hidden="1" customWidth="1"/>
    <col min="1047" max="1280" width="7.28515625" style="1"/>
    <col min="1281" max="1281" width="1.5703125" style="1" customWidth="1"/>
    <col min="1282" max="1282" width="16.7109375" style="1" customWidth="1"/>
    <col min="1283" max="1283" width="11.5703125" style="1" customWidth="1"/>
    <col min="1284" max="1284" width="9.140625" style="1" customWidth="1"/>
    <col min="1285" max="1285" width="8.140625" style="1" customWidth="1"/>
    <col min="1286" max="1286" width="6.5703125" style="1" customWidth="1"/>
    <col min="1287" max="1287" width="24.140625" style="1" customWidth="1"/>
    <col min="1288" max="1288" width="7.85546875" style="1" customWidth="1"/>
    <col min="1289" max="1289" width="13.28515625" style="1" customWidth="1"/>
    <col min="1290" max="1293" width="7.42578125" style="1" customWidth="1"/>
    <col min="1294" max="1294" width="18.5703125" style="1" customWidth="1"/>
    <col min="1295" max="1295" width="10" style="1" customWidth="1"/>
    <col min="1296" max="1298" width="7.42578125" style="1" customWidth="1"/>
    <col min="1299" max="1299" width="9.140625" style="1" bestFit="1" customWidth="1"/>
    <col min="1300" max="1300" width="4.85546875" style="1" customWidth="1"/>
    <col min="1301" max="1301" width="7.28515625" style="1"/>
    <col min="1302" max="1302" width="0" style="1" hidden="1" customWidth="1"/>
    <col min="1303" max="1536" width="7.28515625" style="1"/>
    <col min="1537" max="1537" width="1.5703125" style="1" customWidth="1"/>
    <col min="1538" max="1538" width="16.7109375" style="1" customWidth="1"/>
    <col min="1539" max="1539" width="11.5703125" style="1" customWidth="1"/>
    <col min="1540" max="1540" width="9.140625" style="1" customWidth="1"/>
    <col min="1541" max="1541" width="8.140625" style="1" customWidth="1"/>
    <col min="1542" max="1542" width="6.5703125" style="1" customWidth="1"/>
    <col min="1543" max="1543" width="24.140625" style="1" customWidth="1"/>
    <col min="1544" max="1544" width="7.85546875" style="1" customWidth="1"/>
    <col min="1545" max="1545" width="13.28515625" style="1" customWidth="1"/>
    <col min="1546" max="1549" width="7.42578125" style="1" customWidth="1"/>
    <col min="1550" max="1550" width="18.5703125" style="1" customWidth="1"/>
    <col min="1551" max="1551" width="10" style="1" customWidth="1"/>
    <col min="1552" max="1554" width="7.42578125" style="1" customWidth="1"/>
    <col min="1555" max="1555" width="9.140625" style="1" bestFit="1" customWidth="1"/>
    <col min="1556" max="1556" width="4.85546875" style="1" customWidth="1"/>
    <col min="1557" max="1557" width="7.28515625" style="1"/>
    <col min="1558" max="1558" width="0" style="1" hidden="1" customWidth="1"/>
    <col min="1559" max="1792" width="7.28515625" style="1"/>
    <col min="1793" max="1793" width="1.5703125" style="1" customWidth="1"/>
    <col min="1794" max="1794" width="16.7109375" style="1" customWidth="1"/>
    <col min="1795" max="1795" width="11.5703125" style="1" customWidth="1"/>
    <col min="1796" max="1796" width="9.140625" style="1" customWidth="1"/>
    <col min="1797" max="1797" width="8.140625" style="1" customWidth="1"/>
    <col min="1798" max="1798" width="6.5703125" style="1" customWidth="1"/>
    <col min="1799" max="1799" width="24.140625" style="1" customWidth="1"/>
    <col min="1800" max="1800" width="7.85546875" style="1" customWidth="1"/>
    <col min="1801" max="1801" width="13.28515625" style="1" customWidth="1"/>
    <col min="1802" max="1805" width="7.42578125" style="1" customWidth="1"/>
    <col min="1806" max="1806" width="18.5703125" style="1" customWidth="1"/>
    <col min="1807" max="1807" width="10" style="1" customWidth="1"/>
    <col min="1808" max="1810" width="7.42578125" style="1" customWidth="1"/>
    <col min="1811" max="1811" width="9.140625" style="1" bestFit="1" customWidth="1"/>
    <col min="1812" max="1812" width="4.85546875" style="1" customWidth="1"/>
    <col min="1813" max="1813" width="7.28515625" style="1"/>
    <col min="1814" max="1814" width="0" style="1" hidden="1" customWidth="1"/>
    <col min="1815" max="2048" width="7.28515625" style="1"/>
    <col min="2049" max="2049" width="1.5703125" style="1" customWidth="1"/>
    <col min="2050" max="2050" width="16.7109375" style="1" customWidth="1"/>
    <col min="2051" max="2051" width="11.5703125" style="1" customWidth="1"/>
    <col min="2052" max="2052" width="9.140625" style="1" customWidth="1"/>
    <col min="2053" max="2053" width="8.140625" style="1" customWidth="1"/>
    <col min="2054" max="2054" width="6.5703125" style="1" customWidth="1"/>
    <col min="2055" max="2055" width="24.140625" style="1" customWidth="1"/>
    <col min="2056" max="2056" width="7.85546875" style="1" customWidth="1"/>
    <col min="2057" max="2057" width="13.28515625" style="1" customWidth="1"/>
    <col min="2058" max="2061" width="7.42578125" style="1" customWidth="1"/>
    <col min="2062" max="2062" width="18.5703125" style="1" customWidth="1"/>
    <col min="2063" max="2063" width="10" style="1" customWidth="1"/>
    <col min="2064" max="2066" width="7.42578125" style="1" customWidth="1"/>
    <col min="2067" max="2067" width="9.140625" style="1" bestFit="1" customWidth="1"/>
    <col min="2068" max="2068" width="4.85546875" style="1" customWidth="1"/>
    <col min="2069" max="2069" width="7.28515625" style="1"/>
    <col min="2070" max="2070" width="0" style="1" hidden="1" customWidth="1"/>
    <col min="2071" max="2304" width="7.28515625" style="1"/>
    <col min="2305" max="2305" width="1.5703125" style="1" customWidth="1"/>
    <col min="2306" max="2306" width="16.7109375" style="1" customWidth="1"/>
    <col min="2307" max="2307" width="11.5703125" style="1" customWidth="1"/>
    <col min="2308" max="2308" width="9.140625" style="1" customWidth="1"/>
    <col min="2309" max="2309" width="8.140625" style="1" customWidth="1"/>
    <col min="2310" max="2310" width="6.5703125" style="1" customWidth="1"/>
    <col min="2311" max="2311" width="24.140625" style="1" customWidth="1"/>
    <col min="2312" max="2312" width="7.85546875" style="1" customWidth="1"/>
    <col min="2313" max="2313" width="13.28515625" style="1" customWidth="1"/>
    <col min="2314" max="2317" width="7.42578125" style="1" customWidth="1"/>
    <col min="2318" max="2318" width="18.5703125" style="1" customWidth="1"/>
    <col min="2319" max="2319" width="10" style="1" customWidth="1"/>
    <col min="2320" max="2322" width="7.42578125" style="1" customWidth="1"/>
    <col min="2323" max="2323" width="9.140625" style="1" bestFit="1" customWidth="1"/>
    <col min="2324" max="2324" width="4.85546875" style="1" customWidth="1"/>
    <col min="2325" max="2325" width="7.28515625" style="1"/>
    <col min="2326" max="2326" width="0" style="1" hidden="1" customWidth="1"/>
    <col min="2327" max="2560" width="7.28515625" style="1"/>
    <col min="2561" max="2561" width="1.5703125" style="1" customWidth="1"/>
    <col min="2562" max="2562" width="16.7109375" style="1" customWidth="1"/>
    <col min="2563" max="2563" width="11.5703125" style="1" customWidth="1"/>
    <col min="2564" max="2564" width="9.140625" style="1" customWidth="1"/>
    <col min="2565" max="2565" width="8.140625" style="1" customWidth="1"/>
    <col min="2566" max="2566" width="6.5703125" style="1" customWidth="1"/>
    <col min="2567" max="2567" width="24.140625" style="1" customWidth="1"/>
    <col min="2568" max="2568" width="7.85546875" style="1" customWidth="1"/>
    <col min="2569" max="2569" width="13.28515625" style="1" customWidth="1"/>
    <col min="2570" max="2573" width="7.42578125" style="1" customWidth="1"/>
    <col min="2574" max="2574" width="18.5703125" style="1" customWidth="1"/>
    <col min="2575" max="2575" width="10" style="1" customWidth="1"/>
    <col min="2576" max="2578" width="7.42578125" style="1" customWidth="1"/>
    <col min="2579" max="2579" width="9.140625" style="1" bestFit="1" customWidth="1"/>
    <col min="2580" max="2580" width="4.85546875" style="1" customWidth="1"/>
    <col min="2581" max="2581" width="7.28515625" style="1"/>
    <col min="2582" max="2582" width="0" style="1" hidden="1" customWidth="1"/>
    <col min="2583" max="2816" width="7.28515625" style="1"/>
    <col min="2817" max="2817" width="1.5703125" style="1" customWidth="1"/>
    <col min="2818" max="2818" width="16.7109375" style="1" customWidth="1"/>
    <col min="2819" max="2819" width="11.5703125" style="1" customWidth="1"/>
    <col min="2820" max="2820" width="9.140625" style="1" customWidth="1"/>
    <col min="2821" max="2821" width="8.140625" style="1" customWidth="1"/>
    <col min="2822" max="2822" width="6.5703125" style="1" customWidth="1"/>
    <col min="2823" max="2823" width="24.140625" style="1" customWidth="1"/>
    <col min="2824" max="2824" width="7.85546875" style="1" customWidth="1"/>
    <col min="2825" max="2825" width="13.28515625" style="1" customWidth="1"/>
    <col min="2826" max="2829" width="7.42578125" style="1" customWidth="1"/>
    <col min="2830" max="2830" width="18.5703125" style="1" customWidth="1"/>
    <col min="2831" max="2831" width="10" style="1" customWidth="1"/>
    <col min="2832" max="2834" width="7.42578125" style="1" customWidth="1"/>
    <col min="2835" max="2835" width="9.140625" style="1" bestFit="1" customWidth="1"/>
    <col min="2836" max="2836" width="4.85546875" style="1" customWidth="1"/>
    <col min="2837" max="2837" width="7.28515625" style="1"/>
    <col min="2838" max="2838" width="0" style="1" hidden="1" customWidth="1"/>
    <col min="2839" max="3072" width="7.28515625" style="1"/>
    <col min="3073" max="3073" width="1.5703125" style="1" customWidth="1"/>
    <col min="3074" max="3074" width="16.7109375" style="1" customWidth="1"/>
    <col min="3075" max="3075" width="11.5703125" style="1" customWidth="1"/>
    <col min="3076" max="3076" width="9.140625" style="1" customWidth="1"/>
    <col min="3077" max="3077" width="8.140625" style="1" customWidth="1"/>
    <col min="3078" max="3078" width="6.5703125" style="1" customWidth="1"/>
    <col min="3079" max="3079" width="24.140625" style="1" customWidth="1"/>
    <col min="3080" max="3080" width="7.85546875" style="1" customWidth="1"/>
    <col min="3081" max="3081" width="13.28515625" style="1" customWidth="1"/>
    <col min="3082" max="3085" width="7.42578125" style="1" customWidth="1"/>
    <col min="3086" max="3086" width="18.5703125" style="1" customWidth="1"/>
    <col min="3087" max="3087" width="10" style="1" customWidth="1"/>
    <col min="3088" max="3090" width="7.42578125" style="1" customWidth="1"/>
    <col min="3091" max="3091" width="9.140625" style="1" bestFit="1" customWidth="1"/>
    <col min="3092" max="3092" width="4.85546875" style="1" customWidth="1"/>
    <col min="3093" max="3093" width="7.28515625" style="1"/>
    <col min="3094" max="3094" width="0" style="1" hidden="1" customWidth="1"/>
    <col min="3095" max="3328" width="7.28515625" style="1"/>
    <col min="3329" max="3329" width="1.5703125" style="1" customWidth="1"/>
    <col min="3330" max="3330" width="16.7109375" style="1" customWidth="1"/>
    <col min="3331" max="3331" width="11.5703125" style="1" customWidth="1"/>
    <col min="3332" max="3332" width="9.140625" style="1" customWidth="1"/>
    <col min="3333" max="3333" width="8.140625" style="1" customWidth="1"/>
    <col min="3334" max="3334" width="6.5703125" style="1" customWidth="1"/>
    <col min="3335" max="3335" width="24.140625" style="1" customWidth="1"/>
    <col min="3336" max="3336" width="7.85546875" style="1" customWidth="1"/>
    <col min="3337" max="3337" width="13.28515625" style="1" customWidth="1"/>
    <col min="3338" max="3341" width="7.42578125" style="1" customWidth="1"/>
    <col min="3342" max="3342" width="18.5703125" style="1" customWidth="1"/>
    <col min="3343" max="3343" width="10" style="1" customWidth="1"/>
    <col min="3344" max="3346" width="7.42578125" style="1" customWidth="1"/>
    <col min="3347" max="3347" width="9.140625" style="1" bestFit="1" customWidth="1"/>
    <col min="3348" max="3348" width="4.85546875" style="1" customWidth="1"/>
    <col min="3349" max="3349" width="7.28515625" style="1"/>
    <col min="3350" max="3350" width="0" style="1" hidden="1" customWidth="1"/>
    <col min="3351" max="3584" width="7.28515625" style="1"/>
    <col min="3585" max="3585" width="1.5703125" style="1" customWidth="1"/>
    <col min="3586" max="3586" width="16.7109375" style="1" customWidth="1"/>
    <col min="3587" max="3587" width="11.5703125" style="1" customWidth="1"/>
    <col min="3588" max="3588" width="9.140625" style="1" customWidth="1"/>
    <col min="3589" max="3589" width="8.140625" style="1" customWidth="1"/>
    <col min="3590" max="3590" width="6.5703125" style="1" customWidth="1"/>
    <col min="3591" max="3591" width="24.140625" style="1" customWidth="1"/>
    <col min="3592" max="3592" width="7.85546875" style="1" customWidth="1"/>
    <col min="3593" max="3593" width="13.28515625" style="1" customWidth="1"/>
    <col min="3594" max="3597" width="7.42578125" style="1" customWidth="1"/>
    <col min="3598" max="3598" width="18.5703125" style="1" customWidth="1"/>
    <col min="3599" max="3599" width="10" style="1" customWidth="1"/>
    <col min="3600" max="3602" width="7.42578125" style="1" customWidth="1"/>
    <col min="3603" max="3603" width="9.140625" style="1" bestFit="1" customWidth="1"/>
    <col min="3604" max="3604" width="4.85546875" style="1" customWidth="1"/>
    <col min="3605" max="3605" width="7.28515625" style="1"/>
    <col min="3606" max="3606" width="0" style="1" hidden="1" customWidth="1"/>
    <col min="3607" max="3840" width="7.28515625" style="1"/>
    <col min="3841" max="3841" width="1.5703125" style="1" customWidth="1"/>
    <col min="3842" max="3842" width="16.7109375" style="1" customWidth="1"/>
    <col min="3843" max="3843" width="11.5703125" style="1" customWidth="1"/>
    <col min="3844" max="3844" width="9.140625" style="1" customWidth="1"/>
    <col min="3845" max="3845" width="8.140625" style="1" customWidth="1"/>
    <col min="3846" max="3846" width="6.5703125" style="1" customWidth="1"/>
    <col min="3847" max="3847" width="24.140625" style="1" customWidth="1"/>
    <col min="3848" max="3848" width="7.85546875" style="1" customWidth="1"/>
    <col min="3849" max="3849" width="13.28515625" style="1" customWidth="1"/>
    <col min="3850" max="3853" width="7.42578125" style="1" customWidth="1"/>
    <col min="3854" max="3854" width="18.5703125" style="1" customWidth="1"/>
    <col min="3855" max="3855" width="10" style="1" customWidth="1"/>
    <col min="3856" max="3858" width="7.42578125" style="1" customWidth="1"/>
    <col min="3859" max="3859" width="9.140625" style="1" bestFit="1" customWidth="1"/>
    <col min="3860" max="3860" width="4.85546875" style="1" customWidth="1"/>
    <col min="3861" max="3861" width="7.28515625" style="1"/>
    <col min="3862" max="3862" width="0" style="1" hidden="1" customWidth="1"/>
    <col min="3863" max="4096" width="7.28515625" style="1"/>
    <col min="4097" max="4097" width="1.5703125" style="1" customWidth="1"/>
    <col min="4098" max="4098" width="16.7109375" style="1" customWidth="1"/>
    <col min="4099" max="4099" width="11.5703125" style="1" customWidth="1"/>
    <col min="4100" max="4100" width="9.140625" style="1" customWidth="1"/>
    <col min="4101" max="4101" width="8.140625" style="1" customWidth="1"/>
    <col min="4102" max="4102" width="6.5703125" style="1" customWidth="1"/>
    <col min="4103" max="4103" width="24.140625" style="1" customWidth="1"/>
    <col min="4104" max="4104" width="7.85546875" style="1" customWidth="1"/>
    <col min="4105" max="4105" width="13.28515625" style="1" customWidth="1"/>
    <col min="4106" max="4109" width="7.42578125" style="1" customWidth="1"/>
    <col min="4110" max="4110" width="18.5703125" style="1" customWidth="1"/>
    <col min="4111" max="4111" width="10" style="1" customWidth="1"/>
    <col min="4112" max="4114" width="7.42578125" style="1" customWidth="1"/>
    <col min="4115" max="4115" width="9.140625" style="1" bestFit="1" customWidth="1"/>
    <col min="4116" max="4116" width="4.85546875" style="1" customWidth="1"/>
    <col min="4117" max="4117" width="7.28515625" style="1"/>
    <col min="4118" max="4118" width="0" style="1" hidden="1" customWidth="1"/>
    <col min="4119" max="4352" width="7.28515625" style="1"/>
    <col min="4353" max="4353" width="1.5703125" style="1" customWidth="1"/>
    <col min="4354" max="4354" width="16.7109375" style="1" customWidth="1"/>
    <col min="4355" max="4355" width="11.5703125" style="1" customWidth="1"/>
    <col min="4356" max="4356" width="9.140625" style="1" customWidth="1"/>
    <col min="4357" max="4357" width="8.140625" style="1" customWidth="1"/>
    <col min="4358" max="4358" width="6.5703125" style="1" customWidth="1"/>
    <col min="4359" max="4359" width="24.140625" style="1" customWidth="1"/>
    <col min="4360" max="4360" width="7.85546875" style="1" customWidth="1"/>
    <col min="4361" max="4361" width="13.28515625" style="1" customWidth="1"/>
    <col min="4362" max="4365" width="7.42578125" style="1" customWidth="1"/>
    <col min="4366" max="4366" width="18.5703125" style="1" customWidth="1"/>
    <col min="4367" max="4367" width="10" style="1" customWidth="1"/>
    <col min="4368" max="4370" width="7.42578125" style="1" customWidth="1"/>
    <col min="4371" max="4371" width="9.140625" style="1" bestFit="1" customWidth="1"/>
    <col min="4372" max="4372" width="4.85546875" style="1" customWidth="1"/>
    <col min="4373" max="4373" width="7.28515625" style="1"/>
    <col min="4374" max="4374" width="0" style="1" hidden="1" customWidth="1"/>
    <col min="4375" max="4608" width="7.28515625" style="1"/>
    <col min="4609" max="4609" width="1.5703125" style="1" customWidth="1"/>
    <col min="4610" max="4610" width="16.7109375" style="1" customWidth="1"/>
    <col min="4611" max="4611" width="11.5703125" style="1" customWidth="1"/>
    <col min="4612" max="4612" width="9.140625" style="1" customWidth="1"/>
    <col min="4613" max="4613" width="8.140625" style="1" customWidth="1"/>
    <col min="4614" max="4614" width="6.5703125" style="1" customWidth="1"/>
    <col min="4615" max="4615" width="24.140625" style="1" customWidth="1"/>
    <col min="4616" max="4616" width="7.85546875" style="1" customWidth="1"/>
    <col min="4617" max="4617" width="13.28515625" style="1" customWidth="1"/>
    <col min="4618" max="4621" width="7.42578125" style="1" customWidth="1"/>
    <col min="4622" max="4622" width="18.5703125" style="1" customWidth="1"/>
    <col min="4623" max="4623" width="10" style="1" customWidth="1"/>
    <col min="4624" max="4626" width="7.42578125" style="1" customWidth="1"/>
    <col min="4627" max="4627" width="9.140625" style="1" bestFit="1" customWidth="1"/>
    <col min="4628" max="4628" width="4.85546875" style="1" customWidth="1"/>
    <col min="4629" max="4629" width="7.28515625" style="1"/>
    <col min="4630" max="4630" width="0" style="1" hidden="1" customWidth="1"/>
    <col min="4631" max="4864" width="7.28515625" style="1"/>
    <col min="4865" max="4865" width="1.5703125" style="1" customWidth="1"/>
    <col min="4866" max="4866" width="16.7109375" style="1" customWidth="1"/>
    <col min="4867" max="4867" width="11.5703125" style="1" customWidth="1"/>
    <col min="4868" max="4868" width="9.140625" style="1" customWidth="1"/>
    <col min="4869" max="4869" width="8.140625" style="1" customWidth="1"/>
    <col min="4870" max="4870" width="6.5703125" style="1" customWidth="1"/>
    <col min="4871" max="4871" width="24.140625" style="1" customWidth="1"/>
    <col min="4872" max="4872" width="7.85546875" style="1" customWidth="1"/>
    <col min="4873" max="4873" width="13.28515625" style="1" customWidth="1"/>
    <col min="4874" max="4877" width="7.42578125" style="1" customWidth="1"/>
    <col min="4878" max="4878" width="18.5703125" style="1" customWidth="1"/>
    <col min="4879" max="4879" width="10" style="1" customWidth="1"/>
    <col min="4880" max="4882" width="7.42578125" style="1" customWidth="1"/>
    <col min="4883" max="4883" width="9.140625" style="1" bestFit="1" customWidth="1"/>
    <col min="4884" max="4884" width="4.85546875" style="1" customWidth="1"/>
    <col min="4885" max="4885" width="7.28515625" style="1"/>
    <col min="4886" max="4886" width="0" style="1" hidden="1" customWidth="1"/>
    <col min="4887" max="5120" width="7.28515625" style="1"/>
    <col min="5121" max="5121" width="1.5703125" style="1" customWidth="1"/>
    <col min="5122" max="5122" width="16.7109375" style="1" customWidth="1"/>
    <col min="5123" max="5123" width="11.5703125" style="1" customWidth="1"/>
    <col min="5124" max="5124" width="9.140625" style="1" customWidth="1"/>
    <col min="5125" max="5125" width="8.140625" style="1" customWidth="1"/>
    <col min="5126" max="5126" width="6.5703125" style="1" customWidth="1"/>
    <col min="5127" max="5127" width="24.140625" style="1" customWidth="1"/>
    <col min="5128" max="5128" width="7.85546875" style="1" customWidth="1"/>
    <col min="5129" max="5129" width="13.28515625" style="1" customWidth="1"/>
    <col min="5130" max="5133" width="7.42578125" style="1" customWidth="1"/>
    <col min="5134" max="5134" width="18.5703125" style="1" customWidth="1"/>
    <col min="5135" max="5135" width="10" style="1" customWidth="1"/>
    <col min="5136" max="5138" width="7.42578125" style="1" customWidth="1"/>
    <col min="5139" max="5139" width="9.140625" style="1" bestFit="1" customWidth="1"/>
    <col min="5140" max="5140" width="4.85546875" style="1" customWidth="1"/>
    <col min="5141" max="5141" width="7.28515625" style="1"/>
    <col min="5142" max="5142" width="0" style="1" hidden="1" customWidth="1"/>
    <col min="5143" max="5376" width="7.28515625" style="1"/>
    <col min="5377" max="5377" width="1.5703125" style="1" customWidth="1"/>
    <col min="5378" max="5378" width="16.7109375" style="1" customWidth="1"/>
    <col min="5379" max="5379" width="11.5703125" style="1" customWidth="1"/>
    <col min="5380" max="5380" width="9.140625" style="1" customWidth="1"/>
    <col min="5381" max="5381" width="8.140625" style="1" customWidth="1"/>
    <col min="5382" max="5382" width="6.5703125" style="1" customWidth="1"/>
    <col min="5383" max="5383" width="24.140625" style="1" customWidth="1"/>
    <col min="5384" max="5384" width="7.85546875" style="1" customWidth="1"/>
    <col min="5385" max="5385" width="13.28515625" style="1" customWidth="1"/>
    <col min="5386" max="5389" width="7.42578125" style="1" customWidth="1"/>
    <col min="5390" max="5390" width="18.5703125" style="1" customWidth="1"/>
    <col min="5391" max="5391" width="10" style="1" customWidth="1"/>
    <col min="5392" max="5394" width="7.42578125" style="1" customWidth="1"/>
    <col min="5395" max="5395" width="9.140625" style="1" bestFit="1" customWidth="1"/>
    <col min="5396" max="5396" width="4.85546875" style="1" customWidth="1"/>
    <col min="5397" max="5397" width="7.28515625" style="1"/>
    <col min="5398" max="5398" width="0" style="1" hidden="1" customWidth="1"/>
    <col min="5399" max="5632" width="7.28515625" style="1"/>
    <col min="5633" max="5633" width="1.5703125" style="1" customWidth="1"/>
    <col min="5634" max="5634" width="16.7109375" style="1" customWidth="1"/>
    <col min="5635" max="5635" width="11.5703125" style="1" customWidth="1"/>
    <col min="5636" max="5636" width="9.140625" style="1" customWidth="1"/>
    <col min="5637" max="5637" width="8.140625" style="1" customWidth="1"/>
    <col min="5638" max="5638" width="6.5703125" style="1" customWidth="1"/>
    <col min="5639" max="5639" width="24.140625" style="1" customWidth="1"/>
    <col min="5640" max="5640" width="7.85546875" style="1" customWidth="1"/>
    <col min="5641" max="5641" width="13.28515625" style="1" customWidth="1"/>
    <col min="5642" max="5645" width="7.42578125" style="1" customWidth="1"/>
    <col min="5646" max="5646" width="18.5703125" style="1" customWidth="1"/>
    <col min="5647" max="5647" width="10" style="1" customWidth="1"/>
    <col min="5648" max="5650" width="7.42578125" style="1" customWidth="1"/>
    <col min="5651" max="5651" width="9.140625" style="1" bestFit="1" customWidth="1"/>
    <col min="5652" max="5652" width="4.85546875" style="1" customWidth="1"/>
    <col min="5653" max="5653" width="7.28515625" style="1"/>
    <col min="5654" max="5654" width="0" style="1" hidden="1" customWidth="1"/>
    <col min="5655" max="5888" width="7.28515625" style="1"/>
    <col min="5889" max="5889" width="1.5703125" style="1" customWidth="1"/>
    <col min="5890" max="5890" width="16.7109375" style="1" customWidth="1"/>
    <col min="5891" max="5891" width="11.5703125" style="1" customWidth="1"/>
    <col min="5892" max="5892" width="9.140625" style="1" customWidth="1"/>
    <col min="5893" max="5893" width="8.140625" style="1" customWidth="1"/>
    <col min="5894" max="5894" width="6.5703125" style="1" customWidth="1"/>
    <col min="5895" max="5895" width="24.140625" style="1" customWidth="1"/>
    <col min="5896" max="5896" width="7.85546875" style="1" customWidth="1"/>
    <col min="5897" max="5897" width="13.28515625" style="1" customWidth="1"/>
    <col min="5898" max="5901" width="7.42578125" style="1" customWidth="1"/>
    <col min="5902" max="5902" width="18.5703125" style="1" customWidth="1"/>
    <col min="5903" max="5903" width="10" style="1" customWidth="1"/>
    <col min="5904" max="5906" width="7.42578125" style="1" customWidth="1"/>
    <col min="5907" max="5907" width="9.140625" style="1" bestFit="1" customWidth="1"/>
    <col min="5908" max="5908" width="4.85546875" style="1" customWidth="1"/>
    <col min="5909" max="5909" width="7.28515625" style="1"/>
    <col min="5910" max="5910" width="0" style="1" hidden="1" customWidth="1"/>
    <col min="5911" max="6144" width="7.28515625" style="1"/>
    <col min="6145" max="6145" width="1.5703125" style="1" customWidth="1"/>
    <col min="6146" max="6146" width="16.7109375" style="1" customWidth="1"/>
    <col min="6147" max="6147" width="11.5703125" style="1" customWidth="1"/>
    <col min="6148" max="6148" width="9.140625" style="1" customWidth="1"/>
    <col min="6149" max="6149" width="8.140625" style="1" customWidth="1"/>
    <col min="6150" max="6150" width="6.5703125" style="1" customWidth="1"/>
    <col min="6151" max="6151" width="24.140625" style="1" customWidth="1"/>
    <col min="6152" max="6152" width="7.85546875" style="1" customWidth="1"/>
    <col min="6153" max="6153" width="13.28515625" style="1" customWidth="1"/>
    <col min="6154" max="6157" width="7.42578125" style="1" customWidth="1"/>
    <col min="6158" max="6158" width="18.5703125" style="1" customWidth="1"/>
    <col min="6159" max="6159" width="10" style="1" customWidth="1"/>
    <col min="6160" max="6162" width="7.42578125" style="1" customWidth="1"/>
    <col min="6163" max="6163" width="9.140625" style="1" bestFit="1" customWidth="1"/>
    <col min="6164" max="6164" width="4.85546875" style="1" customWidth="1"/>
    <col min="6165" max="6165" width="7.28515625" style="1"/>
    <col min="6166" max="6166" width="0" style="1" hidden="1" customWidth="1"/>
    <col min="6167" max="6400" width="7.28515625" style="1"/>
    <col min="6401" max="6401" width="1.5703125" style="1" customWidth="1"/>
    <col min="6402" max="6402" width="16.7109375" style="1" customWidth="1"/>
    <col min="6403" max="6403" width="11.5703125" style="1" customWidth="1"/>
    <col min="6404" max="6404" width="9.140625" style="1" customWidth="1"/>
    <col min="6405" max="6405" width="8.140625" style="1" customWidth="1"/>
    <col min="6406" max="6406" width="6.5703125" style="1" customWidth="1"/>
    <col min="6407" max="6407" width="24.140625" style="1" customWidth="1"/>
    <col min="6408" max="6408" width="7.85546875" style="1" customWidth="1"/>
    <col min="6409" max="6409" width="13.28515625" style="1" customWidth="1"/>
    <col min="6410" max="6413" width="7.42578125" style="1" customWidth="1"/>
    <col min="6414" max="6414" width="18.5703125" style="1" customWidth="1"/>
    <col min="6415" max="6415" width="10" style="1" customWidth="1"/>
    <col min="6416" max="6418" width="7.42578125" style="1" customWidth="1"/>
    <col min="6419" max="6419" width="9.140625" style="1" bestFit="1" customWidth="1"/>
    <col min="6420" max="6420" width="4.85546875" style="1" customWidth="1"/>
    <col min="6421" max="6421" width="7.28515625" style="1"/>
    <col min="6422" max="6422" width="0" style="1" hidden="1" customWidth="1"/>
    <col min="6423" max="6656" width="7.28515625" style="1"/>
    <col min="6657" max="6657" width="1.5703125" style="1" customWidth="1"/>
    <col min="6658" max="6658" width="16.7109375" style="1" customWidth="1"/>
    <col min="6659" max="6659" width="11.5703125" style="1" customWidth="1"/>
    <col min="6660" max="6660" width="9.140625" style="1" customWidth="1"/>
    <col min="6661" max="6661" width="8.140625" style="1" customWidth="1"/>
    <col min="6662" max="6662" width="6.5703125" style="1" customWidth="1"/>
    <col min="6663" max="6663" width="24.140625" style="1" customWidth="1"/>
    <col min="6664" max="6664" width="7.85546875" style="1" customWidth="1"/>
    <col min="6665" max="6665" width="13.28515625" style="1" customWidth="1"/>
    <col min="6666" max="6669" width="7.42578125" style="1" customWidth="1"/>
    <col min="6670" max="6670" width="18.5703125" style="1" customWidth="1"/>
    <col min="6671" max="6671" width="10" style="1" customWidth="1"/>
    <col min="6672" max="6674" width="7.42578125" style="1" customWidth="1"/>
    <col min="6675" max="6675" width="9.140625" style="1" bestFit="1" customWidth="1"/>
    <col min="6676" max="6676" width="4.85546875" style="1" customWidth="1"/>
    <col min="6677" max="6677" width="7.28515625" style="1"/>
    <col min="6678" max="6678" width="0" style="1" hidden="1" customWidth="1"/>
    <col min="6679" max="6912" width="7.28515625" style="1"/>
    <col min="6913" max="6913" width="1.5703125" style="1" customWidth="1"/>
    <col min="6914" max="6914" width="16.7109375" style="1" customWidth="1"/>
    <col min="6915" max="6915" width="11.5703125" style="1" customWidth="1"/>
    <col min="6916" max="6916" width="9.140625" style="1" customWidth="1"/>
    <col min="6917" max="6917" width="8.140625" style="1" customWidth="1"/>
    <col min="6918" max="6918" width="6.5703125" style="1" customWidth="1"/>
    <col min="6919" max="6919" width="24.140625" style="1" customWidth="1"/>
    <col min="6920" max="6920" width="7.85546875" style="1" customWidth="1"/>
    <col min="6921" max="6921" width="13.28515625" style="1" customWidth="1"/>
    <col min="6922" max="6925" width="7.42578125" style="1" customWidth="1"/>
    <col min="6926" max="6926" width="18.5703125" style="1" customWidth="1"/>
    <col min="6927" max="6927" width="10" style="1" customWidth="1"/>
    <col min="6928" max="6930" width="7.42578125" style="1" customWidth="1"/>
    <col min="6931" max="6931" width="9.140625" style="1" bestFit="1" customWidth="1"/>
    <col min="6932" max="6932" width="4.85546875" style="1" customWidth="1"/>
    <col min="6933" max="6933" width="7.28515625" style="1"/>
    <col min="6934" max="6934" width="0" style="1" hidden="1" customWidth="1"/>
    <col min="6935" max="7168" width="7.28515625" style="1"/>
    <col min="7169" max="7169" width="1.5703125" style="1" customWidth="1"/>
    <col min="7170" max="7170" width="16.7109375" style="1" customWidth="1"/>
    <col min="7171" max="7171" width="11.5703125" style="1" customWidth="1"/>
    <col min="7172" max="7172" width="9.140625" style="1" customWidth="1"/>
    <col min="7173" max="7173" width="8.140625" style="1" customWidth="1"/>
    <col min="7174" max="7174" width="6.5703125" style="1" customWidth="1"/>
    <col min="7175" max="7175" width="24.140625" style="1" customWidth="1"/>
    <col min="7176" max="7176" width="7.85546875" style="1" customWidth="1"/>
    <col min="7177" max="7177" width="13.28515625" style="1" customWidth="1"/>
    <col min="7178" max="7181" width="7.42578125" style="1" customWidth="1"/>
    <col min="7182" max="7182" width="18.5703125" style="1" customWidth="1"/>
    <col min="7183" max="7183" width="10" style="1" customWidth="1"/>
    <col min="7184" max="7186" width="7.42578125" style="1" customWidth="1"/>
    <col min="7187" max="7187" width="9.140625" style="1" bestFit="1" customWidth="1"/>
    <col min="7188" max="7188" width="4.85546875" style="1" customWidth="1"/>
    <col min="7189" max="7189" width="7.28515625" style="1"/>
    <col min="7190" max="7190" width="0" style="1" hidden="1" customWidth="1"/>
    <col min="7191" max="7424" width="7.28515625" style="1"/>
    <col min="7425" max="7425" width="1.5703125" style="1" customWidth="1"/>
    <col min="7426" max="7426" width="16.7109375" style="1" customWidth="1"/>
    <col min="7427" max="7427" width="11.5703125" style="1" customWidth="1"/>
    <col min="7428" max="7428" width="9.140625" style="1" customWidth="1"/>
    <col min="7429" max="7429" width="8.140625" style="1" customWidth="1"/>
    <col min="7430" max="7430" width="6.5703125" style="1" customWidth="1"/>
    <col min="7431" max="7431" width="24.140625" style="1" customWidth="1"/>
    <col min="7432" max="7432" width="7.85546875" style="1" customWidth="1"/>
    <col min="7433" max="7433" width="13.28515625" style="1" customWidth="1"/>
    <col min="7434" max="7437" width="7.42578125" style="1" customWidth="1"/>
    <col min="7438" max="7438" width="18.5703125" style="1" customWidth="1"/>
    <col min="7439" max="7439" width="10" style="1" customWidth="1"/>
    <col min="7440" max="7442" width="7.42578125" style="1" customWidth="1"/>
    <col min="7443" max="7443" width="9.140625" style="1" bestFit="1" customWidth="1"/>
    <col min="7444" max="7444" width="4.85546875" style="1" customWidth="1"/>
    <col min="7445" max="7445" width="7.28515625" style="1"/>
    <col min="7446" max="7446" width="0" style="1" hidden="1" customWidth="1"/>
    <col min="7447" max="7680" width="7.28515625" style="1"/>
    <col min="7681" max="7681" width="1.5703125" style="1" customWidth="1"/>
    <col min="7682" max="7682" width="16.7109375" style="1" customWidth="1"/>
    <col min="7683" max="7683" width="11.5703125" style="1" customWidth="1"/>
    <col min="7684" max="7684" width="9.140625" style="1" customWidth="1"/>
    <col min="7685" max="7685" width="8.140625" style="1" customWidth="1"/>
    <col min="7686" max="7686" width="6.5703125" style="1" customWidth="1"/>
    <col min="7687" max="7687" width="24.140625" style="1" customWidth="1"/>
    <col min="7688" max="7688" width="7.85546875" style="1" customWidth="1"/>
    <col min="7689" max="7689" width="13.28515625" style="1" customWidth="1"/>
    <col min="7690" max="7693" width="7.42578125" style="1" customWidth="1"/>
    <col min="7694" max="7694" width="18.5703125" style="1" customWidth="1"/>
    <col min="7695" max="7695" width="10" style="1" customWidth="1"/>
    <col min="7696" max="7698" width="7.42578125" style="1" customWidth="1"/>
    <col min="7699" max="7699" width="9.140625" style="1" bestFit="1" customWidth="1"/>
    <col min="7700" max="7700" width="4.85546875" style="1" customWidth="1"/>
    <col min="7701" max="7701" width="7.28515625" style="1"/>
    <col min="7702" max="7702" width="0" style="1" hidden="1" customWidth="1"/>
    <col min="7703" max="7936" width="7.28515625" style="1"/>
    <col min="7937" max="7937" width="1.5703125" style="1" customWidth="1"/>
    <col min="7938" max="7938" width="16.7109375" style="1" customWidth="1"/>
    <col min="7939" max="7939" width="11.5703125" style="1" customWidth="1"/>
    <col min="7940" max="7940" width="9.140625" style="1" customWidth="1"/>
    <col min="7941" max="7941" width="8.140625" style="1" customWidth="1"/>
    <col min="7942" max="7942" width="6.5703125" style="1" customWidth="1"/>
    <col min="7943" max="7943" width="24.140625" style="1" customWidth="1"/>
    <col min="7944" max="7944" width="7.85546875" style="1" customWidth="1"/>
    <col min="7945" max="7945" width="13.28515625" style="1" customWidth="1"/>
    <col min="7946" max="7949" width="7.42578125" style="1" customWidth="1"/>
    <col min="7950" max="7950" width="18.5703125" style="1" customWidth="1"/>
    <col min="7951" max="7951" width="10" style="1" customWidth="1"/>
    <col min="7952" max="7954" width="7.42578125" style="1" customWidth="1"/>
    <col min="7955" max="7955" width="9.140625" style="1" bestFit="1" customWidth="1"/>
    <col min="7956" max="7956" width="4.85546875" style="1" customWidth="1"/>
    <col min="7957" max="7957" width="7.28515625" style="1"/>
    <col min="7958" max="7958" width="0" style="1" hidden="1" customWidth="1"/>
    <col min="7959" max="8192" width="7.28515625" style="1"/>
    <col min="8193" max="8193" width="1.5703125" style="1" customWidth="1"/>
    <col min="8194" max="8194" width="16.7109375" style="1" customWidth="1"/>
    <col min="8195" max="8195" width="11.5703125" style="1" customWidth="1"/>
    <col min="8196" max="8196" width="9.140625" style="1" customWidth="1"/>
    <col min="8197" max="8197" width="8.140625" style="1" customWidth="1"/>
    <col min="8198" max="8198" width="6.5703125" style="1" customWidth="1"/>
    <col min="8199" max="8199" width="24.140625" style="1" customWidth="1"/>
    <col min="8200" max="8200" width="7.85546875" style="1" customWidth="1"/>
    <col min="8201" max="8201" width="13.28515625" style="1" customWidth="1"/>
    <col min="8202" max="8205" width="7.42578125" style="1" customWidth="1"/>
    <col min="8206" max="8206" width="18.5703125" style="1" customWidth="1"/>
    <col min="8207" max="8207" width="10" style="1" customWidth="1"/>
    <col min="8208" max="8210" width="7.42578125" style="1" customWidth="1"/>
    <col min="8211" max="8211" width="9.140625" style="1" bestFit="1" customWidth="1"/>
    <col min="8212" max="8212" width="4.85546875" style="1" customWidth="1"/>
    <col min="8213" max="8213" width="7.28515625" style="1"/>
    <col min="8214" max="8214" width="0" style="1" hidden="1" customWidth="1"/>
    <col min="8215" max="8448" width="7.28515625" style="1"/>
    <col min="8449" max="8449" width="1.5703125" style="1" customWidth="1"/>
    <col min="8450" max="8450" width="16.7109375" style="1" customWidth="1"/>
    <col min="8451" max="8451" width="11.5703125" style="1" customWidth="1"/>
    <col min="8452" max="8452" width="9.140625" style="1" customWidth="1"/>
    <col min="8453" max="8453" width="8.140625" style="1" customWidth="1"/>
    <col min="8454" max="8454" width="6.5703125" style="1" customWidth="1"/>
    <col min="8455" max="8455" width="24.140625" style="1" customWidth="1"/>
    <col min="8456" max="8456" width="7.85546875" style="1" customWidth="1"/>
    <col min="8457" max="8457" width="13.28515625" style="1" customWidth="1"/>
    <col min="8458" max="8461" width="7.42578125" style="1" customWidth="1"/>
    <col min="8462" max="8462" width="18.5703125" style="1" customWidth="1"/>
    <col min="8463" max="8463" width="10" style="1" customWidth="1"/>
    <col min="8464" max="8466" width="7.42578125" style="1" customWidth="1"/>
    <col min="8467" max="8467" width="9.140625" style="1" bestFit="1" customWidth="1"/>
    <col min="8468" max="8468" width="4.85546875" style="1" customWidth="1"/>
    <col min="8469" max="8469" width="7.28515625" style="1"/>
    <col min="8470" max="8470" width="0" style="1" hidden="1" customWidth="1"/>
    <col min="8471" max="8704" width="7.28515625" style="1"/>
    <col min="8705" max="8705" width="1.5703125" style="1" customWidth="1"/>
    <col min="8706" max="8706" width="16.7109375" style="1" customWidth="1"/>
    <col min="8707" max="8707" width="11.5703125" style="1" customWidth="1"/>
    <col min="8708" max="8708" width="9.140625" style="1" customWidth="1"/>
    <col min="8709" max="8709" width="8.140625" style="1" customWidth="1"/>
    <col min="8710" max="8710" width="6.5703125" style="1" customWidth="1"/>
    <col min="8711" max="8711" width="24.140625" style="1" customWidth="1"/>
    <col min="8712" max="8712" width="7.85546875" style="1" customWidth="1"/>
    <col min="8713" max="8713" width="13.28515625" style="1" customWidth="1"/>
    <col min="8714" max="8717" width="7.42578125" style="1" customWidth="1"/>
    <col min="8718" max="8718" width="18.5703125" style="1" customWidth="1"/>
    <col min="8719" max="8719" width="10" style="1" customWidth="1"/>
    <col min="8720" max="8722" width="7.42578125" style="1" customWidth="1"/>
    <col min="8723" max="8723" width="9.140625" style="1" bestFit="1" customWidth="1"/>
    <col min="8724" max="8724" width="4.85546875" style="1" customWidth="1"/>
    <col min="8725" max="8725" width="7.28515625" style="1"/>
    <col min="8726" max="8726" width="0" style="1" hidden="1" customWidth="1"/>
    <col min="8727" max="8960" width="7.28515625" style="1"/>
    <col min="8961" max="8961" width="1.5703125" style="1" customWidth="1"/>
    <col min="8962" max="8962" width="16.7109375" style="1" customWidth="1"/>
    <col min="8963" max="8963" width="11.5703125" style="1" customWidth="1"/>
    <col min="8964" max="8964" width="9.140625" style="1" customWidth="1"/>
    <col min="8965" max="8965" width="8.140625" style="1" customWidth="1"/>
    <col min="8966" max="8966" width="6.5703125" style="1" customWidth="1"/>
    <col min="8967" max="8967" width="24.140625" style="1" customWidth="1"/>
    <col min="8968" max="8968" width="7.85546875" style="1" customWidth="1"/>
    <col min="8969" max="8969" width="13.28515625" style="1" customWidth="1"/>
    <col min="8970" max="8973" width="7.42578125" style="1" customWidth="1"/>
    <col min="8974" max="8974" width="18.5703125" style="1" customWidth="1"/>
    <col min="8975" max="8975" width="10" style="1" customWidth="1"/>
    <col min="8976" max="8978" width="7.42578125" style="1" customWidth="1"/>
    <col min="8979" max="8979" width="9.140625" style="1" bestFit="1" customWidth="1"/>
    <col min="8980" max="8980" width="4.85546875" style="1" customWidth="1"/>
    <col min="8981" max="8981" width="7.28515625" style="1"/>
    <col min="8982" max="8982" width="0" style="1" hidden="1" customWidth="1"/>
    <col min="8983" max="9216" width="7.28515625" style="1"/>
    <col min="9217" max="9217" width="1.5703125" style="1" customWidth="1"/>
    <col min="9218" max="9218" width="16.7109375" style="1" customWidth="1"/>
    <col min="9219" max="9219" width="11.5703125" style="1" customWidth="1"/>
    <col min="9220" max="9220" width="9.140625" style="1" customWidth="1"/>
    <col min="9221" max="9221" width="8.140625" style="1" customWidth="1"/>
    <col min="9222" max="9222" width="6.5703125" style="1" customWidth="1"/>
    <col min="9223" max="9223" width="24.140625" style="1" customWidth="1"/>
    <col min="9224" max="9224" width="7.85546875" style="1" customWidth="1"/>
    <col min="9225" max="9225" width="13.28515625" style="1" customWidth="1"/>
    <col min="9226" max="9229" width="7.42578125" style="1" customWidth="1"/>
    <col min="9230" max="9230" width="18.5703125" style="1" customWidth="1"/>
    <col min="9231" max="9231" width="10" style="1" customWidth="1"/>
    <col min="9232" max="9234" width="7.42578125" style="1" customWidth="1"/>
    <col min="9235" max="9235" width="9.140625" style="1" bestFit="1" customWidth="1"/>
    <col min="9236" max="9236" width="4.85546875" style="1" customWidth="1"/>
    <col min="9237" max="9237" width="7.28515625" style="1"/>
    <col min="9238" max="9238" width="0" style="1" hidden="1" customWidth="1"/>
    <col min="9239" max="9472" width="7.28515625" style="1"/>
    <col min="9473" max="9473" width="1.5703125" style="1" customWidth="1"/>
    <col min="9474" max="9474" width="16.7109375" style="1" customWidth="1"/>
    <col min="9475" max="9475" width="11.5703125" style="1" customWidth="1"/>
    <col min="9476" max="9476" width="9.140625" style="1" customWidth="1"/>
    <col min="9477" max="9477" width="8.140625" style="1" customWidth="1"/>
    <col min="9478" max="9478" width="6.5703125" style="1" customWidth="1"/>
    <col min="9479" max="9479" width="24.140625" style="1" customWidth="1"/>
    <col min="9480" max="9480" width="7.85546875" style="1" customWidth="1"/>
    <col min="9481" max="9481" width="13.28515625" style="1" customWidth="1"/>
    <col min="9482" max="9485" width="7.42578125" style="1" customWidth="1"/>
    <col min="9486" max="9486" width="18.5703125" style="1" customWidth="1"/>
    <col min="9487" max="9487" width="10" style="1" customWidth="1"/>
    <col min="9488" max="9490" width="7.42578125" style="1" customWidth="1"/>
    <col min="9491" max="9491" width="9.140625" style="1" bestFit="1" customWidth="1"/>
    <col min="9492" max="9492" width="4.85546875" style="1" customWidth="1"/>
    <col min="9493" max="9493" width="7.28515625" style="1"/>
    <col min="9494" max="9494" width="0" style="1" hidden="1" customWidth="1"/>
    <col min="9495" max="9728" width="7.28515625" style="1"/>
    <col min="9729" max="9729" width="1.5703125" style="1" customWidth="1"/>
    <col min="9730" max="9730" width="16.7109375" style="1" customWidth="1"/>
    <col min="9731" max="9731" width="11.5703125" style="1" customWidth="1"/>
    <col min="9732" max="9732" width="9.140625" style="1" customWidth="1"/>
    <col min="9733" max="9733" width="8.140625" style="1" customWidth="1"/>
    <col min="9734" max="9734" width="6.5703125" style="1" customWidth="1"/>
    <col min="9735" max="9735" width="24.140625" style="1" customWidth="1"/>
    <col min="9736" max="9736" width="7.85546875" style="1" customWidth="1"/>
    <col min="9737" max="9737" width="13.28515625" style="1" customWidth="1"/>
    <col min="9738" max="9741" width="7.42578125" style="1" customWidth="1"/>
    <col min="9742" max="9742" width="18.5703125" style="1" customWidth="1"/>
    <col min="9743" max="9743" width="10" style="1" customWidth="1"/>
    <col min="9744" max="9746" width="7.42578125" style="1" customWidth="1"/>
    <col min="9747" max="9747" width="9.140625" style="1" bestFit="1" customWidth="1"/>
    <col min="9748" max="9748" width="4.85546875" style="1" customWidth="1"/>
    <col min="9749" max="9749" width="7.28515625" style="1"/>
    <col min="9750" max="9750" width="0" style="1" hidden="1" customWidth="1"/>
    <col min="9751" max="9984" width="7.28515625" style="1"/>
    <col min="9985" max="9985" width="1.5703125" style="1" customWidth="1"/>
    <col min="9986" max="9986" width="16.7109375" style="1" customWidth="1"/>
    <col min="9987" max="9987" width="11.5703125" style="1" customWidth="1"/>
    <col min="9988" max="9988" width="9.140625" style="1" customWidth="1"/>
    <col min="9989" max="9989" width="8.140625" style="1" customWidth="1"/>
    <col min="9990" max="9990" width="6.5703125" style="1" customWidth="1"/>
    <col min="9991" max="9991" width="24.140625" style="1" customWidth="1"/>
    <col min="9992" max="9992" width="7.85546875" style="1" customWidth="1"/>
    <col min="9993" max="9993" width="13.28515625" style="1" customWidth="1"/>
    <col min="9994" max="9997" width="7.42578125" style="1" customWidth="1"/>
    <col min="9998" max="9998" width="18.5703125" style="1" customWidth="1"/>
    <col min="9999" max="9999" width="10" style="1" customWidth="1"/>
    <col min="10000" max="10002" width="7.42578125" style="1" customWidth="1"/>
    <col min="10003" max="10003" width="9.140625" style="1" bestFit="1" customWidth="1"/>
    <col min="10004" max="10004" width="4.85546875" style="1" customWidth="1"/>
    <col min="10005" max="10005" width="7.28515625" style="1"/>
    <col min="10006" max="10006" width="0" style="1" hidden="1" customWidth="1"/>
    <col min="10007" max="10240" width="7.28515625" style="1"/>
    <col min="10241" max="10241" width="1.5703125" style="1" customWidth="1"/>
    <col min="10242" max="10242" width="16.7109375" style="1" customWidth="1"/>
    <col min="10243" max="10243" width="11.5703125" style="1" customWidth="1"/>
    <col min="10244" max="10244" width="9.140625" style="1" customWidth="1"/>
    <col min="10245" max="10245" width="8.140625" style="1" customWidth="1"/>
    <col min="10246" max="10246" width="6.5703125" style="1" customWidth="1"/>
    <col min="10247" max="10247" width="24.140625" style="1" customWidth="1"/>
    <col min="10248" max="10248" width="7.85546875" style="1" customWidth="1"/>
    <col min="10249" max="10249" width="13.28515625" style="1" customWidth="1"/>
    <col min="10250" max="10253" width="7.42578125" style="1" customWidth="1"/>
    <col min="10254" max="10254" width="18.5703125" style="1" customWidth="1"/>
    <col min="10255" max="10255" width="10" style="1" customWidth="1"/>
    <col min="10256" max="10258" width="7.42578125" style="1" customWidth="1"/>
    <col min="10259" max="10259" width="9.140625" style="1" bestFit="1" customWidth="1"/>
    <col min="10260" max="10260" width="4.85546875" style="1" customWidth="1"/>
    <col min="10261" max="10261" width="7.28515625" style="1"/>
    <col min="10262" max="10262" width="0" style="1" hidden="1" customWidth="1"/>
    <col min="10263" max="10496" width="7.28515625" style="1"/>
    <col min="10497" max="10497" width="1.5703125" style="1" customWidth="1"/>
    <col min="10498" max="10498" width="16.7109375" style="1" customWidth="1"/>
    <col min="10499" max="10499" width="11.5703125" style="1" customWidth="1"/>
    <col min="10500" max="10500" width="9.140625" style="1" customWidth="1"/>
    <col min="10501" max="10501" width="8.140625" style="1" customWidth="1"/>
    <col min="10502" max="10502" width="6.5703125" style="1" customWidth="1"/>
    <col min="10503" max="10503" width="24.140625" style="1" customWidth="1"/>
    <col min="10504" max="10504" width="7.85546875" style="1" customWidth="1"/>
    <col min="10505" max="10505" width="13.28515625" style="1" customWidth="1"/>
    <col min="10506" max="10509" width="7.42578125" style="1" customWidth="1"/>
    <col min="10510" max="10510" width="18.5703125" style="1" customWidth="1"/>
    <col min="10511" max="10511" width="10" style="1" customWidth="1"/>
    <col min="10512" max="10514" width="7.42578125" style="1" customWidth="1"/>
    <col min="10515" max="10515" width="9.140625" style="1" bestFit="1" customWidth="1"/>
    <col min="10516" max="10516" width="4.85546875" style="1" customWidth="1"/>
    <col min="10517" max="10517" width="7.28515625" style="1"/>
    <col min="10518" max="10518" width="0" style="1" hidden="1" customWidth="1"/>
    <col min="10519" max="10752" width="7.28515625" style="1"/>
    <col min="10753" max="10753" width="1.5703125" style="1" customWidth="1"/>
    <col min="10754" max="10754" width="16.7109375" style="1" customWidth="1"/>
    <col min="10755" max="10755" width="11.5703125" style="1" customWidth="1"/>
    <col min="10756" max="10756" width="9.140625" style="1" customWidth="1"/>
    <col min="10757" max="10757" width="8.140625" style="1" customWidth="1"/>
    <col min="10758" max="10758" width="6.5703125" style="1" customWidth="1"/>
    <col min="10759" max="10759" width="24.140625" style="1" customWidth="1"/>
    <col min="10760" max="10760" width="7.85546875" style="1" customWidth="1"/>
    <col min="10761" max="10761" width="13.28515625" style="1" customWidth="1"/>
    <col min="10762" max="10765" width="7.42578125" style="1" customWidth="1"/>
    <col min="10766" max="10766" width="18.5703125" style="1" customWidth="1"/>
    <col min="10767" max="10767" width="10" style="1" customWidth="1"/>
    <col min="10768" max="10770" width="7.42578125" style="1" customWidth="1"/>
    <col min="10771" max="10771" width="9.140625" style="1" bestFit="1" customWidth="1"/>
    <col min="10772" max="10772" width="4.85546875" style="1" customWidth="1"/>
    <col min="10773" max="10773" width="7.28515625" style="1"/>
    <col min="10774" max="10774" width="0" style="1" hidden="1" customWidth="1"/>
    <col min="10775" max="11008" width="7.28515625" style="1"/>
    <col min="11009" max="11009" width="1.5703125" style="1" customWidth="1"/>
    <col min="11010" max="11010" width="16.7109375" style="1" customWidth="1"/>
    <col min="11011" max="11011" width="11.5703125" style="1" customWidth="1"/>
    <col min="11012" max="11012" width="9.140625" style="1" customWidth="1"/>
    <col min="11013" max="11013" width="8.140625" style="1" customWidth="1"/>
    <col min="11014" max="11014" width="6.5703125" style="1" customWidth="1"/>
    <col min="11015" max="11015" width="24.140625" style="1" customWidth="1"/>
    <col min="11016" max="11016" width="7.85546875" style="1" customWidth="1"/>
    <col min="11017" max="11017" width="13.28515625" style="1" customWidth="1"/>
    <col min="11018" max="11021" width="7.42578125" style="1" customWidth="1"/>
    <col min="11022" max="11022" width="18.5703125" style="1" customWidth="1"/>
    <col min="11023" max="11023" width="10" style="1" customWidth="1"/>
    <col min="11024" max="11026" width="7.42578125" style="1" customWidth="1"/>
    <col min="11027" max="11027" width="9.140625" style="1" bestFit="1" customWidth="1"/>
    <col min="11028" max="11028" width="4.85546875" style="1" customWidth="1"/>
    <col min="11029" max="11029" width="7.28515625" style="1"/>
    <col min="11030" max="11030" width="0" style="1" hidden="1" customWidth="1"/>
    <col min="11031" max="11264" width="7.28515625" style="1"/>
    <col min="11265" max="11265" width="1.5703125" style="1" customWidth="1"/>
    <col min="11266" max="11266" width="16.7109375" style="1" customWidth="1"/>
    <col min="11267" max="11267" width="11.5703125" style="1" customWidth="1"/>
    <col min="11268" max="11268" width="9.140625" style="1" customWidth="1"/>
    <col min="11269" max="11269" width="8.140625" style="1" customWidth="1"/>
    <col min="11270" max="11270" width="6.5703125" style="1" customWidth="1"/>
    <col min="11271" max="11271" width="24.140625" style="1" customWidth="1"/>
    <col min="11272" max="11272" width="7.85546875" style="1" customWidth="1"/>
    <col min="11273" max="11273" width="13.28515625" style="1" customWidth="1"/>
    <col min="11274" max="11277" width="7.42578125" style="1" customWidth="1"/>
    <col min="11278" max="11278" width="18.5703125" style="1" customWidth="1"/>
    <col min="11279" max="11279" width="10" style="1" customWidth="1"/>
    <col min="11280" max="11282" width="7.42578125" style="1" customWidth="1"/>
    <col min="11283" max="11283" width="9.140625" style="1" bestFit="1" customWidth="1"/>
    <col min="11284" max="11284" width="4.85546875" style="1" customWidth="1"/>
    <col min="11285" max="11285" width="7.28515625" style="1"/>
    <col min="11286" max="11286" width="0" style="1" hidden="1" customWidth="1"/>
    <col min="11287" max="11520" width="7.28515625" style="1"/>
    <col min="11521" max="11521" width="1.5703125" style="1" customWidth="1"/>
    <col min="11522" max="11522" width="16.7109375" style="1" customWidth="1"/>
    <col min="11523" max="11523" width="11.5703125" style="1" customWidth="1"/>
    <col min="11524" max="11524" width="9.140625" style="1" customWidth="1"/>
    <col min="11525" max="11525" width="8.140625" style="1" customWidth="1"/>
    <col min="11526" max="11526" width="6.5703125" style="1" customWidth="1"/>
    <col min="11527" max="11527" width="24.140625" style="1" customWidth="1"/>
    <col min="11528" max="11528" width="7.85546875" style="1" customWidth="1"/>
    <col min="11529" max="11529" width="13.28515625" style="1" customWidth="1"/>
    <col min="11530" max="11533" width="7.42578125" style="1" customWidth="1"/>
    <col min="11534" max="11534" width="18.5703125" style="1" customWidth="1"/>
    <col min="11535" max="11535" width="10" style="1" customWidth="1"/>
    <col min="11536" max="11538" width="7.42578125" style="1" customWidth="1"/>
    <col min="11539" max="11539" width="9.140625" style="1" bestFit="1" customWidth="1"/>
    <col min="11540" max="11540" width="4.85546875" style="1" customWidth="1"/>
    <col min="11541" max="11541" width="7.28515625" style="1"/>
    <col min="11542" max="11542" width="0" style="1" hidden="1" customWidth="1"/>
    <col min="11543" max="11776" width="7.28515625" style="1"/>
    <col min="11777" max="11777" width="1.5703125" style="1" customWidth="1"/>
    <col min="11778" max="11778" width="16.7109375" style="1" customWidth="1"/>
    <col min="11779" max="11779" width="11.5703125" style="1" customWidth="1"/>
    <col min="11780" max="11780" width="9.140625" style="1" customWidth="1"/>
    <col min="11781" max="11781" width="8.140625" style="1" customWidth="1"/>
    <col min="11782" max="11782" width="6.5703125" style="1" customWidth="1"/>
    <col min="11783" max="11783" width="24.140625" style="1" customWidth="1"/>
    <col min="11784" max="11784" width="7.85546875" style="1" customWidth="1"/>
    <col min="11785" max="11785" width="13.28515625" style="1" customWidth="1"/>
    <col min="11786" max="11789" width="7.42578125" style="1" customWidth="1"/>
    <col min="11790" max="11790" width="18.5703125" style="1" customWidth="1"/>
    <col min="11791" max="11791" width="10" style="1" customWidth="1"/>
    <col min="11792" max="11794" width="7.42578125" style="1" customWidth="1"/>
    <col min="11795" max="11795" width="9.140625" style="1" bestFit="1" customWidth="1"/>
    <col min="11796" max="11796" width="4.85546875" style="1" customWidth="1"/>
    <col min="11797" max="11797" width="7.28515625" style="1"/>
    <col min="11798" max="11798" width="0" style="1" hidden="1" customWidth="1"/>
    <col min="11799" max="12032" width="7.28515625" style="1"/>
    <col min="12033" max="12033" width="1.5703125" style="1" customWidth="1"/>
    <col min="12034" max="12034" width="16.7109375" style="1" customWidth="1"/>
    <col min="12035" max="12035" width="11.5703125" style="1" customWidth="1"/>
    <col min="12036" max="12036" width="9.140625" style="1" customWidth="1"/>
    <col min="12037" max="12037" width="8.140625" style="1" customWidth="1"/>
    <col min="12038" max="12038" width="6.5703125" style="1" customWidth="1"/>
    <col min="12039" max="12039" width="24.140625" style="1" customWidth="1"/>
    <col min="12040" max="12040" width="7.85546875" style="1" customWidth="1"/>
    <col min="12041" max="12041" width="13.28515625" style="1" customWidth="1"/>
    <col min="12042" max="12045" width="7.42578125" style="1" customWidth="1"/>
    <col min="12046" max="12046" width="18.5703125" style="1" customWidth="1"/>
    <col min="12047" max="12047" width="10" style="1" customWidth="1"/>
    <col min="12048" max="12050" width="7.42578125" style="1" customWidth="1"/>
    <col min="12051" max="12051" width="9.140625" style="1" bestFit="1" customWidth="1"/>
    <col min="12052" max="12052" width="4.85546875" style="1" customWidth="1"/>
    <col min="12053" max="12053" width="7.28515625" style="1"/>
    <col min="12054" max="12054" width="0" style="1" hidden="1" customWidth="1"/>
    <col min="12055" max="12288" width="7.28515625" style="1"/>
    <col min="12289" max="12289" width="1.5703125" style="1" customWidth="1"/>
    <col min="12290" max="12290" width="16.7109375" style="1" customWidth="1"/>
    <col min="12291" max="12291" width="11.5703125" style="1" customWidth="1"/>
    <col min="12292" max="12292" width="9.140625" style="1" customWidth="1"/>
    <col min="12293" max="12293" width="8.140625" style="1" customWidth="1"/>
    <col min="12294" max="12294" width="6.5703125" style="1" customWidth="1"/>
    <col min="12295" max="12295" width="24.140625" style="1" customWidth="1"/>
    <col min="12296" max="12296" width="7.85546875" style="1" customWidth="1"/>
    <col min="12297" max="12297" width="13.28515625" style="1" customWidth="1"/>
    <col min="12298" max="12301" width="7.42578125" style="1" customWidth="1"/>
    <col min="12302" max="12302" width="18.5703125" style="1" customWidth="1"/>
    <col min="12303" max="12303" width="10" style="1" customWidth="1"/>
    <col min="12304" max="12306" width="7.42578125" style="1" customWidth="1"/>
    <col min="12307" max="12307" width="9.140625" style="1" bestFit="1" customWidth="1"/>
    <col min="12308" max="12308" width="4.85546875" style="1" customWidth="1"/>
    <col min="12309" max="12309" width="7.28515625" style="1"/>
    <col min="12310" max="12310" width="0" style="1" hidden="1" customWidth="1"/>
    <col min="12311" max="12544" width="7.28515625" style="1"/>
    <col min="12545" max="12545" width="1.5703125" style="1" customWidth="1"/>
    <col min="12546" max="12546" width="16.7109375" style="1" customWidth="1"/>
    <col min="12547" max="12547" width="11.5703125" style="1" customWidth="1"/>
    <col min="12548" max="12548" width="9.140625" style="1" customWidth="1"/>
    <col min="12549" max="12549" width="8.140625" style="1" customWidth="1"/>
    <col min="12550" max="12550" width="6.5703125" style="1" customWidth="1"/>
    <col min="12551" max="12551" width="24.140625" style="1" customWidth="1"/>
    <col min="12552" max="12552" width="7.85546875" style="1" customWidth="1"/>
    <col min="12553" max="12553" width="13.28515625" style="1" customWidth="1"/>
    <col min="12554" max="12557" width="7.42578125" style="1" customWidth="1"/>
    <col min="12558" max="12558" width="18.5703125" style="1" customWidth="1"/>
    <col min="12559" max="12559" width="10" style="1" customWidth="1"/>
    <col min="12560" max="12562" width="7.42578125" style="1" customWidth="1"/>
    <col min="12563" max="12563" width="9.140625" style="1" bestFit="1" customWidth="1"/>
    <col min="12564" max="12564" width="4.85546875" style="1" customWidth="1"/>
    <col min="12565" max="12565" width="7.28515625" style="1"/>
    <col min="12566" max="12566" width="0" style="1" hidden="1" customWidth="1"/>
    <col min="12567" max="12800" width="7.28515625" style="1"/>
    <col min="12801" max="12801" width="1.5703125" style="1" customWidth="1"/>
    <col min="12802" max="12802" width="16.7109375" style="1" customWidth="1"/>
    <col min="12803" max="12803" width="11.5703125" style="1" customWidth="1"/>
    <col min="12804" max="12804" width="9.140625" style="1" customWidth="1"/>
    <col min="12805" max="12805" width="8.140625" style="1" customWidth="1"/>
    <col min="12806" max="12806" width="6.5703125" style="1" customWidth="1"/>
    <col min="12807" max="12807" width="24.140625" style="1" customWidth="1"/>
    <col min="12808" max="12808" width="7.85546875" style="1" customWidth="1"/>
    <col min="12809" max="12809" width="13.28515625" style="1" customWidth="1"/>
    <col min="12810" max="12813" width="7.42578125" style="1" customWidth="1"/>
    <col min="12814" max="12814" width="18.5703125" style="1" customWidth="1"/>
    <col min="12815" max="12815" width="10" style="1" customWidth="1"/>
    <col min="12816" max="12818" width="7.42578125" style="1" customWidth="1"/>
    <col min="12819" max="12819" width="9.140625" style="1" bestFit="1" customWidth="1"/>
    <col min="12820" max="12820" width="4.85546875" style="1" customWidth="1"/>
    <col min="12821" max="12821" width="7.28515625" style="1"/>
    <col min="12822" max="12822" width="0" style="1" hidden="1" customWidth="1"/>
    <col min="12823" max="13056" width="7.28515625" style="1"/>
    <col min="13057" max="13057" width="1.5703125" style="1" customWidth="1"/>
    <col min="13058" max="13058" width="16.7109375" style="1" customWidth="1"/>
    <col min="13059" max="13059" width="11.5703125" style="1" customWidth="1"/>
    <col min="13060" max="13060" width="9.140625" style="1" customWidth="1"/>
    <col min="13061" max="13061" width="8.140625" style="1" customWidth="1"/>
    <col min="13062" max="13062" width="6.5703125" style="1" customWidth="1"/>
    <col min="13063" max="13063" width="24.140625" style="1" customWidth="1"/>
    <col min="13064" max="13064" width="7.85546875" style="1" customWidth="1"/>
    <col min="13065" max="13065" width="13.28515625" style="1" customWidth="1"/>
    <col min="13066" max="13069" width="7.42578125" style="1" customWidth="1"/>
    <col min="13070" max="13070" width="18.5703125" style="1" customWidth="1"/>
    <col min="13071" max="13071" width="10" style="1" customWidth="1"/>
    <col min="13072" max="13074" width="7.42578125" style="1" customWidth="1"/>
    <col min="13075" max="13075" width="9.140625" style="1" bestFit="1" customWidth="1"/>
    <col min="13076" max="13076" width="4.85546875" style="1" customWidth="1"/>
    <col min="13077" max="13077" width="7.28515625" style="1"/>
    <col min="13078" max="13078" width="0" style="1" hidden="1" customWidth="1"/>
    <col min="13079" max="13312" width="7.28515625" style="1"/>
    <col min="13313" max="13313" width="1.5703125" style="1" customWidth="1"/>
    <col min="13314" max="13314" width="16.7109375" style="1" customWidth="1"/>
    <col min="13315" max="13315" width="11.5703125" style="1" customWidth="1"/>
    <col min="13316" max="13316" width="9.140625" style="1" customWidth="1"/>
    <col min="13317" max="13317" width="8.140625" style="1" customWidth="1"/>
    <col min="13318" max="13318" width="6.5703125" style="1" customWidth="1"/>
    <col min="13319" max="13319" width="24.140625" style="1" customWidth="1"/>
    <col min="13320" max="13320" width="7.85546875" style="1" customWidth="1"/>
    <col min="13321" max="13321" width="13.28515625" style="1" customWidth="1"/>
    <col min="13322" max="13325" width="7.42578125" style="1" customWidth="1"/>
    <col min="13326" max="13326" width="18.5703125" style="1" customWidth="1"/>
    <col min="13327" max="13327" width="10" style="1" customWidth="1"/>
    <col min="13328" max="13330" width="7.42578125" style="1" customWidth="1"/>
    <col min="13331" max="13331" width="9.140625" style="1" bestFit="1" customWidth="1"/>
    <col min="13332" max="13332" width="4.85546875" style="1" customWidth="1"/>
    <col min="13333" max="13333" width="7.28515625" style="1"/>
    <col min="13334" max="13334" width="0" style="1" hidden="1" customWidth="1"/>
    <col min="13335" max="13568" width="7.28515625" style="1"/>
    <col min="13569" max="13569" width="1.5703125" style="1" customWidth="1"/>
    <col min="13570" max="13570" width="16.7109375" style="1" customWidth="1"/>
    <col min="13571" max="13571" width="11.5703125" style="1" customWidth="1"/>
    <col min="13572" max="13572" width="9.140625" style="1" customWidth="1"/>
    <col min="13573" max="13573" width="8.140625" style="1" customWidth="1"/>
    <col min="13574" max="13574" width="6.5703125" style="1" customWidth="1"/>
    <col min="13575" max="13575" width="24.140625" style="1" customWidth="1"/>
    <col min="13576" max="13576" width="7.85546875" style="1" customWidth="1"/>
    <col min="13577" max="13577" width="13.28515625" style="1" customWidth="1"/>
    <col min="13578" max="13581" width="7.42578125" style="1" customWidth="1"/>
    <col min="13582" max="13582" width="18.5703125" style="1" customWidth="1"/>
    <col min="13583" max="13583" width="10" style="1" customWidth="1"/>
    <col min="13584" max="13586" width="7.42578125" style="1" customWidth="1"/>
    <col min="13587" max="13587" width="9.140625" style="1" bestFit="1" customWidth="1"/>
    <col min="13588" max="13588" width="4.85546875" style="1" customWidth="1"/>
    <col min="13589" max="13589" width="7.28515625" style="1"/>
    <col min="13590" max="13590" width="0" style="1" hidden="1" customWidth="1"/>
    <col min="13591" max="13824" width="7.28515625" style="1"/>
    <col min="13825" max="13825" width="1.5703125" style="1" customWidth="1"/>
    <col min="13826" max="13826" width="16.7109375" style="1" customWidth="1"/>
    <col min="13827" max="13827" width="11.5703125" style="1" customWidth="1"/>
    <col min="13828" max="13828" width="9.140625" style="1" customWidth="1"/>
    <col min="13829" max="13829" width="8.140625" style="1" customWidth="1"/>
    <col min="13830" max="13830" width="6.5703125" style="1" customWidth="1"/>
    <col min="13831" max="13831" width="24.140625" style="1" customWidth="1"/>
    <col min="13832" max="13832" width="7.85546875" style="1" customWidth="1"/>
    <col min="13833" max="13833" width="13.28515625" style="1" customWidth="1"/>
    <col min="13834" max="13837" width="7.42578125" style="1" customWidth="1"/>
    <col min="13838" max="13838" width="18.5703125" style="1" customWidth="1"/>
    <col min="13839" max="13839" width="10" style="1" customWidth="1"/>
    <col min="13840" max="13842" width="7.42578125" style="1" customWidth="1"/>
    <col min="13843" max="13843" width="9.140625" style="1" bestFit="1" customWidth="1"/>
    <col min="13844" max="13844" width="4.85546875" style="1" customWidth="1"/>
    <col min="13845" max="13845" width="7.28515625" style="1"/>
    <col min="13846" max="13846" width="0" style="1" hidden="1" customWidth="1"/>
    <col min="13847" max="14080" width="7.28515625" style="1"/>
    <col min="14081" max="14081" width="1.5703125" style="1" customWidth="1"/>
    <col min="14082" max="14082" width="16.7109375" style="1" customWidth="1"/>
    <col min="14083" max="14083" width="11.5703125" style="1" customWidth="1"/>
    <col min="14084" max="14084" width="9.140625" style="1" customWidth="1"/>
    <col min="14085" max="14085" width="8.140625" style="1" customWidth="1"/>
    <col min="14086" max="14086" width="6.5703125" style="1" customWidth="1"/>
    <col min="14087" max="14087" width="24.140625" style="1" customWidth="1"/>
    <col min="14088" max="14088" width="7.85546875" style="1" customWidth="1"/>
    <col min="14089" max="14089" width="13.28515625" style="1" customWidth="1"/>
    <col min="14090" max="14093" width="7.42578125" style="1" customWidth="1"/>
    <col min="14094" max="14094" width="18.5703125" style="1" customWidth="1"/>
    <col min="14095" max="14095" width="10" style="1" customWidth="1"/>
    <col min="14096" max="14098" width="7.42578125" style="1" customWidth="1"/>
    <col min="14099" max="14099" width="9.140625" style="1" bestFit="1" customWidth="1"/>
    <col min="14100" max="14100" width="4.85546875" style="1" customWidth="1"/>
    <col min="14101" max="14101" width="7.28515625" style="1"/>
    <col min="14102" max="14102" width="0" style="1" hidden="1" customWidth="1"/>
    <col min="14103" max="14336" width="7.28515625" style="1"/>
    <col min="14337" max="14337" width="1.5703125" style="1" customWidth="1"/>
    <col min="14338" max="14338" width="16.7109375" style="1" customWidth="1"/>
    <col min="14339" max="14339" width="11.5703125" style="1" customWidth="1"/>
    <col min="14340" max="14340" width="9.140625" style="1" customWidth="1"/>
    <col min="14341" max="14341" width="8.140625" style="1" customWidth="1"/>
    <col min="14342" max="14342" width="6.5703125" style="1" customWidth="1"/>
    <col min="14343" max="14343" width="24.140625" style="1" customWidth="1"/>
    <col min="14344" max="14344" width="7.85546875" style="1" customWidth="1"/>
    <col min="14345" max="14345" width="13.28515625" style="1" customWidth="1"/>
    <col min="14346" max="14349" width="7.42578125" style="1" customWidth="1"/>
    <col min="14350" max="14350" width="18.5703125" style="1" customWidth="1"/>
    <col min="14351" max="14351" width="10" style="1" customWidth="1"/>
    <col min="14352" max="14354" width="7.42578125" style="1" customWidth="1"/>
    <col min="14355" max="14355" width="9.140625" style="1" bestFit="1" customWidth="1"/>
    <col min="14356" max="14356" width="4.85546875" style="1" customWidth="1"/>
    <col min="14357" max="14357" width="7.28515625" style="1"/>
    <col min="14358" max="14358" width="0" style="1" hidden="1" customWidth="1"/>
    <col min="14359" max="14592" width="7.28515625" style="1"/>
    <col min="14593" max="14593" width="1.5703125" style="1" customWidth="1"/>
    <col min="14594" max="14594" width="16.7109375" style="1" customWidth="1"/>
    <col min="14595" max="14595" width="11.5703125" style="1" customWidth="1"/>
    <col min="14596" max="14596" width="9.140625" style="1" customWidth="1"/>
    <col min="14597" max="14597" width="8.140625" style="1" customWidth="1"/>
    <col min="14598" max="14598" width="6.5703125" style="1" customWidth="1"/>
    <col min="14599" max="14599" width="24.140625" style="1" customWidth="1"/>
    <col min="14600" max="14600" width="7.85546875" style="1" customWidth="1"/>
    <col min="14601" max="14601" width="13.28515625" style="1" customWidth="1"/>
    <col min="14602" max="14605" width="7.42578125" style="1" customWidth="1"/>
    <col min="14606" max="14606" width="18.5703125" style="1" customWidth="1"/>
    <col min="14607" max="14607" width="10" style="1" customWidth="1"/>
    <col min="14608" max="14610" width="7.42578125" style="1" customWidth="1"/>
    <col min="14611" max="14611" width="9.140625" style="1" bestFit="1" customWidth="1"/>
    <col min="14612" max="14612" width="4.85546875" style="1" customWidth="1"/>
    <col min="14613" max="14613" width="7.28515625" style="1"/>
    <col min="14614" max="14614" width="0" style="1" hidden="1" customWidth="1"/>
    <col min="14615" max="14848" width="7.28515625" style="1"/>
    <col min="14849" max="14849" width="1.5703125" style="1" customWidth="1"/>
    <col min="14850" max="14850" width="16.7109375" style="1" customWidth="1"/>
    <col min="14851" max="14851" width="11.5703125" style="1" customWidth="1"/>
    <col min="14852" max="14852" width="9.140625" style="1" customWidth="1"/>
    <col min="14853" max="14853" width="8.140625" style="1" customWidth="1"/>
    <col min="14854" max="14854" width="6.5703125" style="1" customWidth="1"/>
    <col min="14855" max="14855" width="24.140625" style="1" customWidth="1"/>
    <col min="14856" max="14856" width="7.85546875" style="1" customWidth="1"/>
    <col min="14857" max="14857" width="13.28515625" style="1" customWidth="1"/>
    <col min="14858" max="14861" width="7.42578125" style="1" customWidth="1"/>
    <col min="14862" max="14862" width="18.5703125" style="1" customWidth="1"/>
    <col min="14863" max="14863" width="10" style="1" customWidth="1"/>
    <col min="14864" max="14866" width="7.42578125" style="1" customWidth="1"/>
    <col min="14867" max="14867" width="9.140625" style="1" bestFit="1" customWidth="1"/>
    <col min="14868" max="14868" width="4.85546875" style="1" customWidth="1"/>
    <col min="14869" max="14869" width="7.28515625" style="1"/>
    <col min="14870" max="14870" width="0" style="1" hidden="1" customWidth="1"/>
    <col min="14871" max="15104" width="7.28515625" style="1"/>
    <col min="15105" max="15105" width="1.5703125" style="1" customWidth="1"/>
    <col min="15106" max="15106" width="16.7109375" style="1" customWidth="1"/>
    <col min="15107" max="15107" width="11.5703125" style="1" customWidth="1"/>
    <col min="15108" max="15108" width="9.140625" style="1" customWidth="1"/>
    <col min="15109" max="15109" width="8.140625" style="1" customWidth="1"/>
    <col min="15110" max="15110" width="6.5703125" style="1" customWidth="1"/>
    <col min="15111" max="15111" width="24.140625" style="1" customWidth="1"/>
    <col min="15112" max="15112" width="7.85546875" style="1" customWidth="1"/>
    <col min="15113" max="15113" width="13.28515625" style="1" customWidth="1"/>
    <col min="15114" max="15117" width="7.42578125" style="1" customWidth="1"/>
    <col min="15118" max="15118" width="18.5703125" style="1" customWidth="1"/>
    <col min="15119" max="15119" width="10" style="1" customWidth="1"/>
    <col min="15120" max="15122" width="7.42578125" style="1" customWidth="1"/>
    <col min="15123" max="15123" width="9.140625" style="1" bestFit="1" customWidth="1"/>
    <col min="15124" max="15124" width="4.85546875" style="1" customWidth="1"/>
    <col min="15125" max="15125" width="7.28515625" style="1"/>
    <col min="15126" max="15126" width="0" style="1" hidden="1" customWidth="1"/>
    <col min="15127" max="15360" width="7.28515625" style="1"/>
    <col min="15361" max="15361" width="1.5703125" style="1" customWidth="1"/>
    <col min="15362" max="15362" width="16.7109375" style="1" customWidth="1"/>
    <col min="15363" max="15363" width="11.5703125" style="1" customWidth="1"/>
    <col min="15364" max="15364" width="9.140625" style="1" customWidth="1"/>
    <col min="15365" max="15365" width="8.140625" style="1" customWidth="1"/>
    <col min="15366" max="15366" width="6.5703125" style="1" customWidth="1"/>
    <col min="15367" max="15367" width="24.140625" style="1" customWidth="1"/>
    <col min="15368" max="15368" width="7.85546875" style="1" customWidth="1"/>
    <col min="15369" max="15369" width="13.28515625" style="1" customWidth="1"/>
    <col min="15370" max="15373" width="7.42578125" style="1" customWidth="1"/>
    <col min="15374" max="15374" width="18.5703125" style="1" customWidth="1"/>
    <col min="15375" max="15375" width="10" style="1" customWidth="1"/>
    <col min="15376" max="15378" width="7.42578125" style="1" customWidth="1"/>
    <col min="15379" max="15379" width="9.140625" style="1" bestFit="1" customWidth="1"/>
    <col min="15380" max="15380" width="4.85546875" style="1" customWidth="1"/>
    <col min="15381" max="15381" width="7.28515625" style="1"/>
    <col min="15382" max="15382" width="0" style="1" hidden="1" customWidth="1"/>
    <col min="15383" max="15616" width="7.28515625" style="1"/>
    <col min="15617" max="15617" width="1.5703125" style="1" customWidth="1"/>
    <col min="15618" max="15618" width="16.7109375" style="1" customWidth="1"/>
    <col min="15619" max="15619" width="11.5703125" style="1" customWidth="1"/>
    <col min="15620" max="15620" width="9.140625" style="1" customWidth="1"/>
    <col min="15621" max="15621" width="8.140625" style="1" customWidth="1"/>
    <col min="15622" max="15622" width="6.5703125" style="1" customWidth="1"/>
    <col min="15623" max="15623" width="24.140625" style="1" customWidth="1"/>
    <col min="15624" max="15624" width="7.85546875" style="1" customWidth="1"/>
    <col min="15625" max="15625" width="13.28515625" style="1" customWidth="1"/>
    <col min="15626" max="15629" width="7.42578125" style="1" customWidth="1"/>
    <col min="15630" max="15630" width="18.5703125" style="1" customWidth="1"/>
    <col min="15631" max="15631" width="10" style="1" customWidth="1"/>
    <col min="15632" max="15634" width="7.42578125" style="1" customWidth="1"/>
    <col min="15635" max="15635" width="9.140625" style="1" bestFit="1" customWidth="1"/>
    <col min="15636" max="15636" width="4.85546875" style="1" customWidth="1"/>
    <col min="15637" max="15637" width="7.28515625" style="1"/>
    <col min="15638" max="15638" width="0" style="1" hidden="1" customWidth="1"/>
    <col min="15639" max="15872" width="7.28515625" style="1"/>
    <col min="15873" max="15873" width="1.5703125" style="1" customWidth="1"/>
    <col min="15874" max="15874" width="16.7109375" style="1" customWidth="1"/>
    <col min="15875" max="15875" width="11.5703125" style="1" customWidth="1"/>
    <col min="15876" max="15876" width="9.140625" style="1" customWidth="1"/>
    <col min="15877" max="15877" width="8.140625" style="1" customWidth="1"/>
    <col min="15878" max="15878" width="6.5703125" style="1" customWidth="1"/>
    <col min="15879" max="15879" width="24.140625" style="1" customWidth="1"/>
    <col min="15880" max="15880" width="7.85546875" style="1" customWidth="1"/>
    <col min="15881" max="15881" width="13.28515625" style="1" customWidth="1"/>
    <col min="15882" max="15885" width="7.42578125" style="1" customWidth="1"/>
    <col min="15886" max="15886" width="18.5703125" style="1" customWidth="1"/>
    <col min="15887" max="15887" width="10" style="1" customWidth="1"/>
    <col min="15888" max="15890" width="7.42578125" style="1" customWidth="1"/>
    <col min="15891" max="15891" width="9.140625" style="1" bestFit="1" customWidth="1"/>
    <col min="15892" max="15892" width="4.85546875" style="1" customWidth="1"/>
    <col min="15893" max="15893" width="7.28515625" style="1"/>
    <col min="15894" max="15894" width="0" style="1" hidden="1" customWidth="1"/>
    <col min="15895" max="16128" width="7.28515625" style="1"/>
    <col min="16129" max="16129" width="1.5703125" style="1" customWidth="1"/>
    <col min="16130" max="16130" width="16.7109375" style="1" customWidth="1"/>
    <col min="16131" max="16131" width="11.5703125" style="1" customWidth="1"/>
    <col min="16132" max="16132" width="9.140625" style="1" customWidth="1"/>
    <col min="16133" max="16133" width="8.140625" style="1" customWidth="1"/>
    <col min="16134" max="16134" width="6.5703125" style="1" customWidth="1"/>
    <col min="16135" max="16135" width="24.140625" style="1" customWidth="1"/>
    <col min="16136" max="16136" width="7.85546875" style="1" customWidth="1"/>
    <col min="16137" max="16137" width="13.28515625" style="1" customWidth="1"/>
    <col min="16138" max="16141" width="7.42578125" style="1" customWidth="1"/>
    <col min="16142" max="16142" width="18.5703125" style="1" customWidth="1"/>
    <col min="16143" max="16143" width="10" style="1" customWidth="1"/>
    <col min="16144" max="16146" width="7.42578125" style="1" customWidth="1"/>
    <col min="16147" max="16147" width="9.140625" style="1" bestFit="1" customWidth="1"/>
    <col min="16148" max="16148" width="4.85546875" style="1" customWidth="1"/>
    <col min="16149" max="16149" width="7.28515625" style="1"/>
    <col min="16150" max="16150" width="0" style="1" hidden="1" customWidth="1"/>
    <col min="16151" max="16384" width="7.28515625" style="1"/>
  </cols>
  <sheetData>
    <row r="1" spans="1:24" ht="18" x14ac:dyDescent="0.25">
      <c r="B1" s="2" t="s">
        <v>0</v>
      </c>
      <c r="F1" s="4"/>
      <c r="G1" s="5" t="s">
        <v>1</v>
      </c>
      <c r="H1" s="230" t="s">
        <v>93</v>
      </c>
      <c r="I1" s="230"/>
      <c r="J1" s="218"/>
      <c r="K1" s="6"/>
      <c r="M1" s="231"/>
      <c r="N1" s="231"/>
    </row>
    <row r="2" spans="1:24" s="4" customFormat="1" ht="15" x14ac:dyDescent="0.25">
      <c r="E2" s="7"/>
      <c r="H2" s="14"/>
      <c r="P2" s="8" t="s">
        <v>2</v>
      </c>
      <c r="Q2"/>
      <c r="R2"/>
      <c r="S2"/>
    </row>
    <row r="3" spans="1:24" s="4" customFormat="1" ht="12" customHeight="1" x14ac:dyDescent="0.2">
      <c r="B3" s="9" t="s">
        <v>3</v>
      </c>
      <c r="E3" s="7"/>
      <c r="H3" s="14"/>
      <c r="P3" s="10" t="s">
        <v>4</v>
      </c>
      <c r="Q3" s="11"/>
      <c r="R3" s="12"/>
      <c r="S3" s="13" t="s">
        <v>5</v>
      </c>
    </row>
    <row r="4" spans="1:24" s="4" customFormat="1" x14ac:dyDescent="0.2">
      <c r="B4" s="9"/>
      <c r="E4" s="7"/>
      <c r="H4" s="14"/>
      <c r="P4" s="15" t="s">
        <v>6</v>
      </c>
      <c r="Q4" s="16" t="s">
        <v>7</v>
      </c>
      <c r="R4" s="17"/>
      <c r="S4" s="18" t="s">
        <v>8</v>
      </c>
      <c r="U4" s="232"/>
      <c r="V4" s="232"/>
      <c r="W4" s="232"/>
      <c r="X4" s="232"/>
    </row>
    <row r="5" spans="1:24" s="4" customFormat="1" ht="12" customHeight="1" x14ac:dyDescent="0.2">
      <c r="B5" s="19" t="s">
        <v>9</v>
      </c>
      <c r="C5" s="233" t="s">
        <v>90</v>
      </c>
      <c r="D5" s="234"/>
      <c r="E5" s="7"/>
      <c r="F5" s="19" t="s">
        <v>10</v>
      </c>
      <c r="G5" s="235">
        <v>16500</v>
      </c>
      <c r="H5" s="230"/>
      <c r="J5" s="19" t="s">
        <v>11</v>
      </c>
      <c r="K5" s="230"/>
      <c r="L5" s="230"/>
      <c r="N5" s="185"/>
      <c r="O5" s="186"/>
      <c r="P5" s="187">
        <v>14.5</v>
      </c>
      <c r="Q5" s="188">
        <v>0</v>
      </c>
      <c r="R5" s="20" t="s">
        <v>12</v>
      </c>
      <c r="S5" s="21">
        <f>+Q15</f>
        <v>2.208257575757576</v>
      </c>
    </row>
    <row r="6" spans="1:24" s="4" customFormat="1" x14ac:dyDescent="0.2">
      <c r="B6" s="19" t="s">
        <v>13</v>
      </c>
      <c r="C6" s="230"/>
      <c r="D6" s="230"/>
      <c r="E6" s="7"/>
      <c r="F6" s="19" t="s">
        <v>14</v>
      </c>
      <c r="G6" s="230"/>
      <c r="H6" s="230"/>
      <c r="J6" s="19" t="s">
        <v>15</v>
      </c>
      <c r="K6" s="230"/>
      <c r="L6" s="230"/>
      <c r="P6" s="189">
        <v>3.5</v>
      </c>
      <c r="Q6" s="188">
        <v>0</v>
      </c>
      <c r="R6" s="22" t="s">
        <v>16</v>
      </c>
      <c r="S6" s="23">
        <f>+(J35)/24</f>
        <v>0.54166666666666663</v>
      </c>
      <c r="U6" s="236"/>
      <c r="V6" s="236"/>
      <c r="W6" s="236"/>
      <c r="X6" s="236"/>
    </row>
    <row r="7" spans="1:24" s="4" customFormat="1" x14ac:dyDescent="0.2">
      <c r="B7" s="19" t="s">
        <v>17</v>
      </c>
      <c r="C7" s="235" t="s">
        <v>91</v>
      </c>
      <c r="D7" s="230"/>
      <c r="E7" s="7"/>
      <c r="F7" s="19" t="s">
        <v>18</v>
      </c>
      <c r="G7" s="235">
        <v>2003</v>
      </c>
      <c r="H7" s="230"/>
      <c r="J7" s="19" t="s">
        <v>19</v>
      </c>
      <c r="K7" s="230"/>
      <c r="L7" s="230"/>
      <c r="P7" s="189">
        <v>3.5</v>
      </c>
      <c r="Q7" s="188">
        <v>0</v>
      </c>
      <c r="R7" s="24" t="s">
        <v>20</v>
      </c>
      <c r="S7" s="23">
        <f>+K35/24</f>
        <v>1.125</v>
      </c>
      <c r="U7" s="236"/>
      <c r="V7" s="236"/>
      <c r="W7" s="236"/>
      <c r="X7" s="236"/>
    </row>
    <row r="8" spans="1:24" s="4" customFormat="1" x14ac:dyDescent="0.2">
      <c r="B8" s="19"/>
      <c r="D8" s="19"/>
      <c r="E8" s="7"/>
      <c r="F8" s="19"/>
      <c r="H8" s="25"/>
      <c r="L8" s="5"/>
      <c r="M8" s="25"/>
      <c r="O8" s="5"/>
      <c r="P8" s="190">
        <v>5</v>
      </c>
      <c r="Q8" s="188">
        <v>0</v>
      </c>
      <c r="R8" s="26" t="s">
        <v>21</v>
      </c>
      <c r="S8" s="23">
        <f>+L35/24</f>
        <v>1.875</v>
      </c>
      <c r="U8" s="236"/>
      <c r="V8" s="236"/>
      <c r="W8" s="236"/>
      <c r="X8" s="236"/>
    </row>
    <row r="9" spans="1:24" ht="15.75" x14ac:dyDescent="0.25">
      <c r="B9" s="237" t="s">
        <v>22</v>
      </c>
      <c r="C9" s="237"/>
      <c r="D9" s="27"/>
      <c r="E9" s="28"/>
      <c r="F9" s="29"/>
      <c r="G9" s="27"/>
      <c r="H9" s="30"/>
      <c r="I9" s="8"/>
      <c r="J9" s="8"/>
      <c r="K9" s="238"/>
      <c r="L9" s="238"/>
      <c r="M9" s="6"/>
      <c r="N9" s="8"/>
      <c r="O9" s="8"/>
      <c r="P9" s="191">
        <v>0</v>
      </c>
      <c r="Q9" s="31">
        <v>0</v>
      </c>
      <c r="R9" s="12" t="s">
        <v>23</v>
      </c>
      <c r="S9" s="192">
        <v>0</v>
      </c>
      <c r="U9" s="236"/>
      <c r="V9" s="236"/>
      <c r="W9" s="236"/>
      <c r="X9" s="236"/>
    </row>
    <row r="10" spans="1:24" ht="15.75" x14ac:dyDescent="0.25">
      <c r="B10" s="237"/>
      <c r="C10" s="237"/>
      <c r="D10" s="27"/>
      <c r="E10" s="28"/>
      <c r="F10" s="29"/>
      <c r="G10" s="27"/>
      <c r="H10" s="30"/>
      <c r="I10" s="8"/>
      <c r="J10" s="8"/>
      <c r="K10" s="220"/>
      <c r="L10" s="220"/>
      <c r="M10" s="6"/>
      <c r="N10" s="225"/>
      <c r="O10" s="225"/>
      <c r="P10" s="193">
        <v>0</v>
      </c>
      <c r="Q10" s="32">
        <v>0</v>
      </c>
      <c r="R10" s="17" t="s">
        <v>24</v>
      </c>
      <c r="S10" s="194"/>
      <c r="U10" s="236"/>
      <c r="V10" s="236"/>
      <c r="W10" s="236"/>
      <c r="X10" s="236"/>
    </row>
    <row r="11" spans="1:24" ht="8.25" customHeight="1" thickBot="1" x14ac:dyDescent="0.3">
      <c r="B11" s="33"/>
      <c r="C11" s="34"/>
      <c r="E11" s="35"/>
      <c r="F11" s="6"/>
      <c r="H11" s="3"/>
      <c r="I11" s="8"/>
      <c r="J11" s="8"/>
      <c r="K11" s="220"/>
      <c r="L11" s="220"/>
      <c r="M11" s="6"/>
      <c r="N11" s="225"/>
      <c r="O11" s="225"/>
      <c r="P11" s="36"/>
      <c r="Q11" s="36"/>
      <c r="R11" s="36"/>
      <c r="S11" s="36"/>
    </row>
    <row r="12" spans="1:24" s="34" customFormat="1" ht="15" x14ac:dyDescent="0.25">
      <c r="A12" s="37"/>
      <c r="B12" s="38" t="s">
        <v>25</v>
      </c>
      <c r="C12" s="37"/>
      <c r="D12" s="37"/>
      <c r="E12" s="37"/>
      <c r="F12" s="37"/>
      <c r="G12" s="37"/>
      <c r="H12" s="39"/>
      <c r="I12" s="37"/>
      <c r="J12" s="37"/>
      <c r="K12" s="40" t="s">
        <v>26</v>
      </c>
      <c r="L12" s="37"/>
      <c r="M12" s="37"/>
      <c r="N12" s="37"/>
      <c r="O12" s="37"/>
    </row>
    <row r="13" spans="1:24" ht="7.5" customHeight="1" x14ac:dyDescent="0.25">
      <c r="B13" s="33"/>
      <c r="C13" s="34"/>
      <c r="D13" s="41"/>
      <c r="E13" s="1"/>
      <c r="H13" s="3"/>
      <c r="I13"/>
      <c r="J13"/>
      <c r="K13" s="42"/>
      <c r="O13"/>
    </row>
    <row r="14" spans="1:24" ht="15" x14ac:dyDescent="0.25">
      <c r="B14" s="43" t="s">
        <v>27</v>
      </c>
      <c r="C14" s="221" t="str">
        <f>IF(V17=1,"Flat Rate",IF(V17=2,"Freight",IF(V17=3,"Lumpsum",)))</f>
        <v>Freight</v>
      </c>
      <c r="D14" s="221" t="str">
        <f>IF(C14="Flat Rate","WS","")</f>
        <v/>
      </c>
      <c r="E14" s="221" t="s">
        <v>28</v>
      </c>
      <c r="F14" s="221" t="s">
        <v>29</v>
      </c>
      <c r="G14" s="226" t="s">
        <v>5</v>
      </c>
      <c r="H14" s="221" t="s">
        <v>30</v>
      </c>
      <c r="I14" s="44" t="s">
        <v>31</v>
      </c>
      <c r="J14"/>
      <c r="K14" s="239" t="s">
        <v>25</v>
      </c>
      <c r="L14" s="240"/>
      <c r="M14" s="240"/>
      <c r="N14" s="227">
        <f>+I23</f>
        <v>308070</v>
      </c>
      <c r="O14" s="241" t="s">
        <v>32</v>
      </c>
      <c r="P14" s="242"/>
      <c r="Q14" s="243">
        <f>+Q15+S6+S7+S8</f>
        <v>5.7499242424242425</v>
      </c>
      <c r="R14" s="244"/>
      <c r="U14" s="213"/>
      <c r="V14" s="45" t="s">
        <v>33</v>
      </c>
    </row>
    <row r="15" spans="1:24" ht="15" x14ac:dyDescent="0.25">
      <c r="B15" s="46" t="s">
        <v>95</v>
      </c>
      <c r="C15" s="195">
        <v>22.82</v>
      </c>
      <c r="D15" s="47"/>
      <c r="E15" s="215">
        <v>13500</v>
      </c>
      <c r="F15" s="48" t="s">
        <v>34</v>
      </c>
      <c r="G15" s="216">
        <f t="shared" ref="G15:G22" si="0">IF(C15="","",IF($C$14="Flat Rate",C15*D15/100*E15,IF($C$14="Freight",C15*E15,IF($C$14="Lumpsum",C15,))))</f>
        <v>308070</v>
      </c>
      <c r="H15" s="196"/>
      <c r="I15" s="50">
        <f t="shared" ref="I15:I22" si="1">IF(G15="","",+G15*(1-H15))</f>
        <v>308070</v>
      </c>
      <c r="J15"/>
      <c r="K15" s="245" t="s">
        <v>35</v>
      </c>
      <c r="L15" s="231"/>
      <c r="M15" s="231"/>
      <c r="N15" s="51">
        <f>D46</f>
        <v>67000</v>
      </c>
      <c r="O15" s="246" t="s">
        <v>36</v>
      </c>
      <c r="P15" s="247"/>
      <c r="Q15" s="248">
        <f>+R35/24</f>
        <v>2.208257575757576</v>
      </c>
      <c r="R15" s="249"/>
      <c r="V15" s="45" t="s">
        <v>37</v>
      </c>
    </row>
    <row r="16" spans="1:24" ht="15" x14ac:dyDescent="0.25">
      <c r="B16" s="54"/>
      <c r="C16" s="195"/>
      <c r="D16" s="47"/>
      <c r="E16" s="215"/>
      <c r="F16" s="48"/>
      <c r="G16" s="216" t="str">
        <f t="shared" si="0"/>
        <v/>
      </c>
      <c r="H16" s="196"/>
      <c r="I16" s="50" t="str">
        <f t="shared" si="1"/>
        <v/>
      </c>
      <c r="J16"/>
      <c r="K16" s="245" t="s">
        <v>38</v>
      </c>
      <c r="L16" s="231"/>
      <c r="M16" s="231"/>
      <c r="N16" s="51">
        <f>+S46</f>
        <v>42275.73295227273</v>
      </c>
      <c r="O16" s="250" t="s">
        <v>39</v>
      </c>
      <c r="P16" s="251"/>
      <c r="Q16" s="252">
        <f>+S6+S7+S8</f>
        <v>3.5416666666666665</v>
      </c>
      <c r="R16" s="253"/>
      <c r="V16" s="45" t="s">
        <v>40</v>
      </c>
    </row>
    <row r="17" spans="1:22" ht="15" x14ac:dyDescent="0.25">
      <c r="B17" s="54"/>
      <c r="C17" s="52"/>
      <c r="D17" s="55"/>
      <c r="E17" s="56"/>
      <c r="F17" s="57"/>
      <c r="G17" s="49" t="str">
        <f t="shared" si="0"/>
        <v/>
      </c>
      <c r="H17" s="58"/>
      <c r="I17" s="53" t="str">
        <f t="shared" si="1"/>
        <v/>
      </c>
      <c r="J17"/>
      <c r="K17" s="254" t="s">
        <v>41</v>
      </c>
      <c r="L17" s="255"/>
      <c r="M17" s="255"/>
      <c r="N17" s="197">
        <f>+G59</f>
        <v>0</v>
      </c>
      <c r="O17" s="241" t="s">
        <v>42</v>
      </c>
      <c r="P17" s="242"/>
      <c r="Q17" s="256">
        <f>+N18/Q14</f>
        <v>34573.371520441637</v>
      </c>
      <c r="R17" s="257"/>
      <c r="U17" s="3"/>
      <c r="V17" s="59">
        <v>2</v>
      </c>
    </row>
    <row r="18" spans="1:22" ht="15" x14ac:dyDescent="0.25">
      <c r="B18" s="54"/>
      <c r="C18" s="52"/>
      <c r="D18" s="55"/>
      <c r="E18" s="56"/>
      <c r="F18" s="57"/>
      <c r="G18" s="49" t="str">
        <f t="shared" si="0"/>
        <v/>
      </c>
      <c r="H18" s="58"/>
      <c r="I18" s="53" t="str">
        <f t="shared" si="1"/>
        <v/>
      </c>
      <c r="J18"/>
      <c r="K18" s="258" t="s">
        <v>43</v>
      </c>
      <c r="L18" s="259"/>
      <c r="M18" s="259"/>
      <c r="N18" s="60">
        <f>+N14-N15-N16-N17</f>
        <v>198794.26704772728</v>
      </c>
      <c r="O18" s="260" t="s">
        <v>44</v>
      </c>
      <c r="P18" s="261"/>
      <c r="Q18" s="262">
        <v>15000</v>
      </c>
      <c r="R18" s="263"/>
      <c r="S18" s="198"/>
    </row>
    <row r="19" spans="1:22" ht="15" x14ac:dyDescent="0.25">
      <c r="B19" s="54"/>
      <c r="C19" s="52"/>
      <c r="D19" s="55"/>
      <c r="E19" s="56"/>
      <c r="F19" s="57"/>
      <c r="G19" s="49" t="str">
        <f t="shared" si="0"/>
        <v/>
      </c>
      <c r="H19" s="58"/>
      <c r="I19" s="53" t="str">
        <f t="shared" si="1"/>
        <v/>
      </c>
      <c r="J19"/>
      <c r="O19" s="17" t="s">
        <v>45</v>
      </c>
      <c r="P19" s="41"/>
      <c r="Q19" s="264">
        <f>Q17*30.42</f>
        <v>1051721.9616518347</v>
      </c>
      <c r="R19" s="265"/>
    </row>
    <row r="20" spans="1:22" ht="15" x14ac:dyDescent="0.25">
      <c r="B20" s="54"/>
      <c r="C20" s="52"/>
      <c r="D20" s="55"/>
      <c r="E20" s="56"/>
      <c r="F20" s="57"/>
      <c r="G20" s="49" t="str">
        <f t="shared" si="0"/>
        <v/>
      </c>
      <c r="H20" s="58"/>
      <c r="I20" s="53" t="str">
        <f t="shared" si="1"/>
        <v/>
      </c>
      <c r="J20"/>
      <c r="O20" s="61" t="s">
        <v>46</v>
      </c>
      <c r="P20" s="62"/>
      <c r="Q20" s="266">
        <f>+N18-Q18*Q14</f>
        <v>112545.40341136364</v>
      </c>
      <c r="R20" s="267"/>
      <c r="U20" s="3"/>
    </row>
    <row r="21" spans="1:22" ht="15" x14ac:dyDescent="0.25">
      <c r="B21" s="54"/>
      <c r="C21" s="52" t="s">
        <v>47</v>
      </c>
      <c r="D21" s="55"/>
      <c r="E21" s="56"/>
      <c r="F21" s="57"/>
      <c r="G21" s="49"/>
      <c r="H21" s="58"/>
      <c r="I21" s="53"/>
      <c r="J21"/>
      <c r="L21" s="199"/>
      <c r="Q21" s="63"/>
      <c r="R21" s="63"/>
    </row>
    <row r="22" spans="1:22" ht="15" x14ac:dyDescent="0.25">
      <c r="B22" s="64"/>
      <c r="C22" s="65"/>
      <c r="D22" s="66"/>
      <c r="E22" s="67"/>
      <c r="F22" s="68"/>
      <c r="G22" s="69" t="str">
        <f t="shared" si="0"/>
        <v/>
      </c>
      <c r="H22" s="70"/>
      <c r="I22" s="71" t="str">
        <f t="shared" si="1"/>
        <v/>
      </c>
      <c r="J22"/>
      <c r="K22" s="8"/>
      <c r="Q22" s="63"/>
      <c r="R22" s="63"/>
    </row>
    <row r="23" spans="1:22" ht="15" x14ac:dyDescent="0.25">
      <c r="B23" s="72"/>
      <c r="C23" s="73"/>
      <c r="D23" s="74"/>
      <c r="E23" s="75"/>
      <c r="F23" s="76"/>
      <c r="G23" s="77" t="s">
        <v>48</v>
      </c>
      <c r="H23" s="78"/>
      <c r="I23" s="79">
        <f>SUM(I15:I22)</f>
        <v>308070</v>
      </c>
      <c r="J23"/>
      <c r="Q23" s="63"/>
      <c r="R23" s="63"/>
    </row>
    <row r="24" spans="1:22" ht="7.5" customHeight="1" thickBot="1" x14ac:dyDescent="0.3">
      <c r="B24" s="34"/>
      <c r="D24" s="80"/>
      <c r="E24" s="81"/>
      <c r="F24" s="82"/>
      <c r="G24" s="81"/>
      <c r="H24"/>
      <c r="I24"/>
      <c r="J24"/>
      <c r="K24"/>
      <c r="L24"/>
      <c r="M24"/>
      <c r="N24"/>
    </row>
    <row r="25" spans="1:22" s="34" customFormat="1" ht="15" x14ac:dyDescent="0.25">
      <c r="A25" s="37"/>
      <c r="B25" s="38" t="s">
        <v>49</v>
      </c>
      <c r="C25" s="37"/>
      <c r="D25" s="37"/>
      <c r="E25" s="37"/>
      <c r="F25" s="37"/>
      <c r="G25" s="39"/>
      <c r="H25" s="37"/>
      <c r="I25" s="37"/>
      <c r="J25" s="83"/>
      <c r="K25" s="37"/>
      <c r="L25" s="37"/>
      <c r="M25" s="37"/>
      <c r="N25" s="37"/>
      <c r="O25" s="37"/>
      <c r="P25" s="37"/>
      <c r="Q25" s="37"/>
      <c r="R25" s="37"/>
      <c r="S25" s="37"/>
    </row>
    <row r="26" spans="1:22" ht="7.5" customHeight="1" x14ac:dyDescent="0.25">
      <c r="B26" s="33"/>
      <c r="C26" s="34"/>
      <c r="D26" s="41"/>
      <c r="E26" s="1"/>
      <c r="H26" s="3"/>
      <c r="I26"/>
      <c r="J26"/>
      <c r="K26" s="42"/>
      <c r="O26"/>
      <c r="P26" s="42"/>
      <c r="Q26"/>
      <c r="R26"/>
      <c r="S26"/>
    </row>
    <row r="27" spans="1:22" x14ac:dyDescent="0.2">
      <c r="B27" s="84" t="s">
        <v>50</v>
      </c>
      <c r="C27" s="85"/>
      <c r="D27" s="10" t="s">
        <v>51</v>
      </c>
      <c r="E27" s="86"/>
      <c r="F27" s="87"/>
      <c r="G27" s="228" t="s">
        <v>28</v>
      </c>
      <c r="H27" s="88" t="s">
        <v>52</v>
      </c>
      <c r="I27" s="89" t="s">
        <v>53</v>
      </c>
      <c r="J27" s="90" t="s">
        <v>54</v>
      </c>
      <c r="K27" s="91"/>
      <c r="L27" s="92"/>
      <c r="M27" s="92"/>
      <c r="N27" s="10" t="s">
        <v>55</v>
      </c>
      <c r="O27" s="86"/>
      <c r="P27" s="93" t="s">
        <v>13</v>
      </c>
      <c r="Q27" s="94"/>
      <c r="R27" s="92"/>
      <c r="S27" s="95" t="s">
        <v>56</v>
      </c>
    </row>
    <row r="28" spans="1:22" x14ac:dyDescent="0.2">
      <c r="B28" s="15"/>
      <c r="C28" s="96"/>
      <c r="D28" s="97" t="s">
        <v>57</v>
      </c>
      <c r="E28" s="98"/>
      <c r="F28" s="99" t="s">
        <v>58</v>
      </c>
      <c r="G28" s="100" t="s">
        <v>59</v>
      </c>
      <c r="H28" s="101" t="s">
        <v>60</v>
      </c>
      <c r="I28" s="102" t="s">
        <v>61</v>
      </c>
      <c r="J28" s="103" t="s">
        <v>62</v>
      </c>
      <c r="K28" s="104" t="s">
        <v>20</v>
      </c>
      <c r="L28" s="221" t="s">
        <v>21</v>
      </c>
      <c r="M28" s="105" t="s">
        <v>5</v>
      </c>
      <c r="N28" s="15" t="s">
        <v>57</v>
      </c>
      <c r="O28" s="98" t="s">
        <v>58</v>
      </c>
      <c r="P28" s="106" t="s">
        <v>63</v>
      </c>
      <c r="Q28" s="221" t="s">
        <v>64</v>
      </c>
      <c r="R28" s="221" t="s">
        <v>65</v>
      </c>
      <c r="S28" s="18" t="s">
        <v>66</v>
      </c>
    </row>
    <row r="29" spans="1:22" x14ac:dyDescent="0.2">
      <c r="B29" s="47" t="s">
        <v>67</v>
      </c>
      <c r="C29" s="217"/>
      <c r="D29" s="107"/>
      <c r="E29" s="108"/>
      <c r="F29" s="109"/>
      <c r="G29" s="110"/>
      <c r="H29" s="111"/>
      <c r="I29" s="111"/>
      <c r="J29" s="112">
        <v>1</v>
      </c>
      <c r="K29" s="113"/>
      <c r="L29" s="114"/>
      <c r="M29" s="115">
        <f t="shared" ref="M29:M34" si="2">IF(B29=0,"",SUM(J29:L29))</f>
        <v>1</v>
      </c>
      <c r="N29" s="116">
        <v>41061.5</v>
      </c>
      <c r="O29" s="117">
        <f t="shared" ref="O29:O34" si="3">IF(B29=0,"",HOUR(N29))</f>
        <v>12</v>
      </c>
      <c r="P29" s="118"/>
      <c r="Q29" s="119"/>
      <c r="R29" s="120"/>
      <c r="S29" s="121"/>
    </row>
    <row r="30" spans="1:22" x14ac:dyDescent="0.2">
      <c r="B30" s="222" t="s">
        <v>67</v>
      </c>
      <c r="C30" s="223"/>
      <c r="D30" s="122">
        <f>IF(B30=0,"",+J29/24+N29+((R30)/24))</f>
        <v>41062.64579545454</v>
      </c>
      <c r="E30" s="108"/>
      <c r="F30" s="109">
        <f t="shared" ref="F30:F34" si="4">IF(B30=0,"",HOUR(D30))</f>
        <v>15</v>
      </c>
      <c r="G30" s="123">
        <f>+E15</f>
        <v>13500</v>
      </c>
      <c r="H30" s="200">
        <v>500</v>
      </c>
      <c r="I30" s="124"/>
      <c r="J30" s="112">
        <v>6</v>
      </c>
      <c r="K30" s="113">
        <f t="shared" ref="K30:K34" si="5">IF(B30=0,"",IF(H30=0,IF(G30&gt;0,I30,0),IF(G30&gt;0,G30/H30,0)))</f>
        <v>27</v>
      </c>
      <c r="L30" s="125">
        <f t="shared" ref="L30:L34" si="6">IF(B30=0,"",IF(H30=0,IF(G30&lt;0,I30,0),IF(G30&lt;0,G30/H30,0)))</f>
        <v>0</v>
      </c>
      <c r="M30" s="115">
        <f t="shared" si="2"/>
        <v>33</v>
      </c>
      <c r="N30" s="126">
        <f t="shared" ref="N30:N34" si="7">IF(B30=0,"",(D30+(K30+L30+J30)/24))</f>
        <v>41064.02079545454</v>
      </c>
      <c r="O30" s="109">
        <f t="shared" si="3"/>
        <v>0</v>
      </c>
      <c r="P30" s="127">
        <v>283</v>
      </c>
      <c r="Q30" s="201">
        <v>11</v>
      </c>
      <c r="R30" s="120">
        <f t="shared" ref="R30:R34" si="8">IF(B30=0,"",IF(Q30=0,0,+P30*(1+S30)/Q30))</f>
        <v>26.49909090909091</v>
      </c>
      <c r="S30" s="128">
        <v>0.03</v>
      </c>
    </row>
    <row r="31" spans="1:22" x14ac:dyDescent="0.2">
      <c r="B31" s="222" t="s">
        <v>97</v>
      </c>
      <c r="C31" s="223"/>
      <c r="D31" s="122">
        <f t="shared" ref="D31" si="9">IF(B31=0,"",+J30/24+N30+((R31)/24))</f>
        <v>41065.374924242416</v>
      </c>
      <c r="E31" s="108"/>
      <c r="F31" s="109">
        <f t="shared" si="4"/>
        <v>8</v>
      </c>
      <c r="G31" s="123">
        <f>-E15</f>
        <v>-13500</v>
      </c>
      <c r="H31" s="200">
        <v>-300</v>
      </c>
      <c r="I31" s="124"/>
      <c r="J31" s="112">
        <v>6</v>
      </c>
      <c r="K31" s="113">
        <f t="shared" si="5"/>
        <v>0</v>
      </c>
      <c r="L31" s="125">
        <f t="shared" si="6"/>
        <v>45</v>
      </c>
      <c r="M31" s="115">
        <f t="shared" ref="M31" si="10">IF(B31=0,"",SUM(J31:L31))</f>
        <v>51</v>
      </c>
      <c r="N31" s="126">
        <f t="shared" si="7"/>
        <v>41067.499924242416</v>
      </c>
      <c r="O31" s="109">
        <f t="shared" si="3"/>
        <v>11</v>
      </c>
      <c r="P31" s="127">
        <v>283</v>
      </c>
      <c r="Q31" s="119">
        <f>IF(B31=0,"",Q30)</f>
        <v>11</v>
      </c>
      <c r="R31" s="120">
        <f t="shared" si="8"/>
        <v>26.49909090909091</v>
      </c>
      <c r="S31" s="128">
        <v>0.03</v>
      </c>
    </row>
    <row r="32" spans="1:22" x14ac:dyDescent="0.2">
      <c r="B32" s="222" t="s">
        <v>67</v>
      </c>
      <c r="C32" s="223"/>
      <c r="D32" s="122"/>
      <c r="E32" s="108"/>
      <c r="F32" s="109"/>
      <c r="G32" s="123"/>
      <c r="H32" s="200"/>
      <c r="I32" s="124"/>
      <c r="J32" s="112"/>
      <c r="K32" s="113"/>
      <c r="L32" s="125"/>
      <c r="M32" s="115"/>
      <c r="N32" s="126"/>
      <c r="O32" s="109"/>
      <c r="P32" s="127">
        <v>0</v>
      </c>
      <c r="Q32" s="119"/>
      <c r="R32" s="120"/>
      <c r="S32" s="128"/>
    </row>
    <row r="33" spans="1:19" x14ac:dyDescent="0.2">
      <c r="B33" s="222"/>
      <c r="C33" s="223"/>
      <c r="D33" s="122"/>
      <c r="E33" s="108"/>
      <c r="F33" s="109"/>
      <c r="G33" s="123"/>
      <c r="H33" s="200"/>
      <c r="I33" s="124"/>
      <c r="J33" s="112"/>
      <c r="K33" s="113"/>
      <c r="L33" s="125"/>
      <c r="M33" s="115"/>
      <c r="N33" s="126"/>
      <c r="O33" s="109"/>
      <c r="P33" s="127"/>
      <c r="Q33" s="119"/>
      <c r="R33" s="120"/>
      <c r="S33" s="128"/>
    </row>
    <row r="34" spans="1:19" x14ac:dyDescent="0.2">
      <c r="B34" s="222"/>
      <c r="C34" s="223"/>
      <c r="D34" s="122" t="str">
        <f>IF(B34=0,"",+#REF!+((R34)/24))</f>
        <v/>
      </c>
      <c r="E34" s="108"/>
      <c r="F34" s="109" t="str">
        <f t="shared" si="4"/>
        <v/>
      </c>
      <c r="G34" s="123"/>
      <c r="H34" s="124"/>
      <c r="I34" s="124"/>
      <c r="J34" s="112"/>
      <c r="K34" s="113" t="str">
        <f t="shared" si="5"/>
        <v/>
      </c>
      <c r="L34" s="125" t="str">
        <f t="shared" si="6"/>
        <v/>
      </c>
      <c r="M34" s="115" t="str">
        <f t="shared" si="2"/>
        <v/>
      </c>
      <c r="N34" s="126" t="str">
        <f t="shared" si="7"/>
        <v/>
      </c>
      <c r="O34" s="109" t="str">
        <f t="shared" si="3"/>
        <v/>
      </c>
      <c r="P34" s="127"/>
      <c r="Q34" s="119" t="str">
        <f>IF(B34=0,"",#REF!)</f>
        <v/>
      </c>
      <c r="R34" s="120" t="str">
        <f t="shared" si="8"/>
        <v/>
      </c>
      <c r="S34" s="128"/>
    </row>
    <row r="35" spans="1:19" x14ac:dyDescent="0.2">
      <c r="B35" s="61" t="s">
        <v>5</v>
      </c>
      <c r="C35" s="62"/>
      <c r="D35" s="61"/>
      <c r="E35" s="62"/>
      <c r="F35" s="129"/>
      <c r="G35" s="226">
        <f>SUM(G29:G34)</f>
        <v>0</v>
      </c>
      <c r="H35" s="226"/>
      <c r="I35" s="226">
        <f>SUM(I29:I34)</f>
        <v>0</v>
      </c>
      <c r="J35" s="106">
        <f>SUM(J29:J34)</f>
        <v>13</v>
      </c>
      <c r="K35" s="104">
        <f>SUM(K29:K34)</f>
        <v>27</v>
      </c>
      <c r="L35" s="226">
        <f>SUM(L29:L34)</f>
        <v>45</v>
      </c>
      <c r="M35" s="130">
        <f>SUM(M29:M34)</f>
        <v>85</v>
      </c>
      <c r="N35" s="131"/>
      <c r="O35" s="132"/>
      <c r="P35" s="43">
        <f>SUM(P29:P34)</f>
        <v>566</v>
      </c>
      <c r="Q35" s="133"/>
      <c r="R35" s="134">
        <f>SUM(R29:R34)</f>
        <v>52.99818181818182</v>
      </c>
      <c r="S35" s="135"/>
    </row>
    <row r="36" spans="1:19" ht="8.25" customHeight="1" thickBo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9" s="34" customFormat="1" ht="15" x14ac:dyDescent="0.25">
      <c r="A37" s="37"/>
      <c r="B37" s="38" t="s">
        <v>68</v>
      </c>
      <c r="C37" s="37"/>
      <c r="D37" s="37"/>
      <c r="E37" s="40" t="s">
        <v>69</v>
      </c>
      <c r="F37" s="37"/>
      <c r="G37" s="37"/>
      <c r="H37" s="39"/>
      <c r="I37" s="40"/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spans="1:19" ht="7.5" customHeight="1" x14ac:dyDescent="0.25">
      <c r="B38" s="33"/>
      <c r="C38" s="34"/>
      <c r="D38" s="41"/>
      <c r="E38" s="1"/>
      <c r="H38" s="3"/>
      <c r="I38"/>
      <c r="J38"/>
      <c r="K38" s="42"/>
      <c r="O38"/>
      <c r="P38" s="42"/>
      <c r="Q38"/>
      <c r="R38"/>
      <c r="S38"/>
    </row>
    <row r="39" spans="1:19" s="34" customFormat="1" ht="14.25" x14ac:dyDescent="0.2">
      <c r="B39" s="136" t="s">
        <v>50</v>
      </c>
      <c r="C39" s="85"/>
      <c r="D39" s="137" t="s">
        <v>70</v>
      </c>
      <c r="E39" s="268" t="s">
        <v>71</v>
      </c>
      <c r="F39" s="269"/>
      <c r="G39" s="268" t="s">
        <v>72</v>
      </c>
      <c r="H39" s="269"/>
      <c r="I39" s="268" t="s">
        <v>73</v>
      </c>
      <c r="J39" s="269"/>
      <c r="K39" s="268" t="s">
        <v>74</v>
      </c>
      <c r="L39" s="269"/>
      <c r="M39" s="268" t="s">
        <v>75</v>
      </c>
      <c r="N39" s="269"/>
      <c r="O39" s="268" t="s">
        <v>76</v>
      </c>
      <c r="P39" s="269"/>
      <c r="Q39" s="268" t="s">
        <v>77</v>
      </c>
      <c r="R39" s="269"/>
      <c r="S39" s="13" t="s">
        <v>78</v>
      </c>
    </row>
    <row r="40" spans="1:19" s="34" customFormat="1" ht="14.25" x14ac:dyDescent="0.2">
      <c r="B40" s="15"/>
      <c r="C40" s="99"/>
      <c r="D40" s="138"/>
      <c r="E40" s="15" t="s">
        <v>6</v>
      </c>
      <c r="F40" s="139" t="s">
        <v>7</v>
      </c>
      <c r="G40" s="138" t="s">
        <v>6</v>
      </c>
      <c r="H40" s="138" t="s">
        <v>7</v>
      </c>
      <c r="I40" s="15" t="s">
        <v>6</v>
      </c>
      <c r="J40" s="99" t="s">
        <v>7</v>
      </c>
      <c r="K40" s="15" t="s">
        <v>6</v>
      </c>
      <c r="L40" s="99" t="s">
        <v>7</v>
      </c>
      <c r="M40" s="219" t="s">
        <v>6</v>
      </c>
      <c r="N40" s="219" t="s">
        <v>7</v>
      </c>
      <c r="O40" s="15" t="s">
        <v>6</v>
      </c>
      <c r="P40" s="99" t="s">
        <v>7</v>
      </c>
      <c r="Q40" s="224" t="s">
        <v>6</v>
      </c>
      <c r="R40" s="99" t="s">
        <v>7</v>
      </c>
      <c r="S40" s="18" t="s">
        <v>79</v>
      </c>
    </row>
    <row r="41" spans="1:19" x14ac:dyDescent="0.2">
      <c r="B41" s="47" t="s">
        <v>67</v>
      </c>
      <c r="C41" s="217"/>
      <c r="D41" s="140"/>
      <c r="E41" s="141"/>
      <c r="F41" s="142"/>
      <c r="G41" s="143"/>
      <c r="H41" s="144"/>
      <c r="I41" s="145"/>
      <c r="J41" s="146"/>
      <c r="K41" s="211">
        <v>1000</v>
      </c>
      <c r="L41" s="211">
        <v>100</v>
      </c>
      <c r="M41" s="147">
        <f>IF(B29=0,"",+($P$6*J29+$P$7*K29+$P$8*L29)/24)</f>
        <v>0.14583333333333334</v>
      </c>
      <c r="N41" s="148">
        <f>IF(B30=0,"",(+$Q$6*J30+$Q$7*K30+$Q$8*L30)/24)</f>
        <v>0</v>
      </c>
      <c r="O41" s="142"/>
      <c r="P41" s="149"/>
      <c r="Q41" s="276">
        <v>895.14</v>
      </c>
      <c r="R41" s="150">
        <v>0</v>
      </c>
      <c r="S41" s="151">
        <f>IF(B30=0,"",(M41+O41)*Q41+(N41+P41)*R41)</f>
        <v>130.54125000000002</v>
      </c>
    </row>
    <row r="42" spans="1:19" x14ac:dyDescent="0.2">
      <c r="B42" s="222" t="s">
        <v>67</v>
      </c>
      <c r="C42" s="223"/>
      <c r="D42" s="229">
        <v>23000</v>
      </c>
      <c r="E42" s="115">
        <f>IF(B31=0,"",+K41-O42)</f>
        <v>983.99013257575757</v>
      </c>
      <c r="F42" s="152">
        <f>IF(B31=0,"",+L41-P42)</f>
        <v>100</v>
      </c>
      <c r="G42" s="153"/>
      <c r="H42" s="154"/>
      <c r="I42" s="155"/>
      <c r="J42" s="156"/>
      <c r="K42" s="212">
        <f>IF(B29=0,"",+E42+G42-M42)</f>
        <v>979.17763257575757</v>
      </c>
      <c r="L42" s="212">
        <f>IF(B29=0,"",+F42+H42-N42)</f>
        <v>100</v>
      </c>
      <c r="M42" s="115">
        <f>IF(B30=0,"",+($P$6*J30+$P$7*K30+$P$8*L30)/24)</f>
        <v>4.8125</v>
      </c>
      <c r="N42" s="157">
        <f>IF(B31=0,"",(+$Q$6*J31+$Q$7*K31+$Q$8*L31)/24)</f>
        <v>0</v>
      </c>
      <c r="O42" s="209">
        <f>IF(B30=0,"",(R30/24*$P$5))</f>
        <v>16.009867424242426</v>
      </c>
      <c r="P42" s="158">
        <f>IF(B29=0,"",+R29/24*$Q$5)</f>
        <v>0</v>
      </c>
      <c r="Q42" s="159">
        <f>IF(B31=0,"",+(E42*Q41+I42*G42)/(G42+E42))</f>
        <v>895.14</v>
      </c>
      <c r="R42" s="160">
        <f>IF(B31=0,"",+(J42*H42+L41*R41)/(H42+L41))</f>
        <v>0</v>
      </c>
      <c r="S42" s="151">
        <f>IF(B31=0,"",(M42+O42)*Q42+(N42+P42)*R42)</f>
        <v>18638.933976136366</v>
      </c>
    </row>
    <row r="43" spans="1:19" x14ac:dyDescent="0.2">
      <c r="B43" s="222" t="s">
        <v>97</v>
      </c>
      <c r="C43" s="223"/>
      <c r="D43" s="229">
        <v>44000</v>
      </c>
      <c r="E43" s="115">
        <f>IF(B32=0,"",+K42-O43)</f>
        <v>963.16776515151514</v>
      </c>
      <c r="F43" s="152">
        <f>IF(B32=0,"",+L42-P43)</f>
        <v>100</v>
      </c>
      <c r="G43" s="153"/>
      <c r="H43" s="154"/>
      <c r="I43" s="155"/>
      <c r="J43" s="156"/>
      <c r="K43" s="212">
        <f>IF(B30=0,"",+E43+G43-M43)</f>
        <v>952.91776515151514</v>
      </c>
      <c r="L43" s="212">
        <f>IF(B30=0,"",+F43+H43-N43)</f>
        <v>100</v>
      </c>
      <c r="M43" s="115">
        <f>IF(B31=0,"",+($P$6*J31+$P$7*K31+$P$8*L31)/24)</f>
        <v>10.25</v>
      </c>
      <c r="N43" s="157">
        <f>IF(B32=0,"",(+$Q$6*J32+$Q$7*K32+$Q$8*L32)/24)</f>
        <v>0</v>
      </c>
      <c r="O43" s="209">
        <f>IF(B31=0,"",(R31/24*$P$5))</f>
        <v>16.009867424242426</v>
      </c>
      <c r="P43" s="158">
        <f>IF(B30=0,"",+R30/24*$Q$5)</f>
        <v>0</v>
      </c>
      <c r="Q43" s="159">
        <f>IF(B32=0,"",+(E43*Q42+I43*G43)/(G43+E43))</f>
        <v>895.14</v>
      </c>
      <c r="R43" s="160">
        <f>IF(B32=0,"",+(J43*H43+L42*R42)/(H43+L42))</f>
        <v>0</v>
      </c>
      <c r="S43" s="151">
        <f>IF(B32=0,"",(M43+O43)*Q43+(N43+P43)*R43)</f>
        <v>23506.257726136366</v>
      </c>
    </row>
    <row r="44" spans="1:19" x14ac:dyDescent="0.2">
      <c r="B44" s="222" t="s">
        <v>67</v>
      </c>
      <c r="C44" s="223"/>
      <c r="D44" s="203"/>
      <c r="E44" s="115"/>
      <c r="F44" s="152"/>
      <c r="G44" s="153"/>
      <c r="H44" s="154"/>
      <c r="I44" s="155"/>
      <c r="J44" s="156"/>
      <c r="K44" s="212"/>
      <c r="L44" s="212"/>
      <c r="M44" s="115"/>
      <c r="N44" s="157"/>
      <c r="O44" s="209"/>
      <c r="P44" s="158"/>
      <c r="Q44" s="159"/>
      <c r="R44" s="160"/>
      <c r="S44" s="151"/>
    </row>
    <row r="45" spans="1:19" x14ac:dyDescent="0.2">
      <c r="B45" s="223"/>
      <c r="C45" s="223"/>
      <c r="D45" s="203"/>
      <c r="E45" s="115"/>
      <c r="F45" s="152"/>
      <c r="G45" s="153"/>
      <c r="H45" s="154"/>
      <c r="I45" s="155"/>
      <c r="J45" s="156"/>
      <c r="K45" s="212"/>
      <c r="L45" s="212"/>
      <c r="M45" s="115"/>
      <c r="N45" s="157"/>
      <c r="O45" s="209"/>
      <c r="P45" s="158"/>
      <c r="Q45" s="159"/>
      <c r="R45" s="160"/>
      <c r="S45" s="151"/>
    </row>
    <row r="46" spans="1:19" x14ac:dyDescent="0.2">
      <c r="B46" s="75" t="s">
        <v>80</v>
      </c>
      <c r="C46" s="161"/>
      <c r="D46" s="162">
        <f>SUM(D41:D45)</f>
        <v>67000</v>
      </c>
      <c r="E46" s="163"/>
      <c r="F46" s="164"/>
      <c r="G46" s="165"/>
      <c r="H46" s="166"/>
      <c r="I46" s="167"/>
      <c r="J46" s="168"/>
      <c r="K46" s="165"/>
      <c r="L46" s="165"/>
      <c r="M46" s="210">
        <f>SUM(M41:M45)</f>
        <v>15.208333333333332</v>
      </c>
      <c r="N46" s="210">
        <f>SUM(N41:N45)</f>
        <v>0</v>
      </c>
      <c r="O46" s="165">
        <f>SUM(O41:O45)</f>
        <v>32.019734848484852</v>
      </c>
      <c r="P46" s="166">
        <f>SUM(P41:P45)</f>
        <v>0</v>
      </c>
      <c r="Q46" s="169"/>
      <c r="R46" s="170" t="s">
        <v>81</v>
      </c>
      <c r="S46" s="171">
        <f>SUM(S41:S45)</f>
        <v>42275.73295227273</v>
      </c>
    </row>
    <row r="47" spans="1:19" x14ac:dyDescent="0.2">
      <c r="C47" s="3"/>
      <c r="E47" s="1"/>
      <c r="H47" s="43"/>
      <c r="I47" s="62"/>
      <c r="J47" s="62"/>
      <c r="K47" s="172"/>
      <c r="L47" s="173"/>
      <c r="M47" s="174" t="s">
        <v>82</v>
      </c>
      <c r="N47" s="134">
        <f>+O46+M46+C57+C58</f>
        <v>47.228068181818188</v>
      </c>
      <c r="O47" s="130">
        <f>+P46+N46+D57+D58</f>
        <v>0</v>
      </c>
      <c r="P47" s="80"/>
      <c r="Q47" s="80"/>
      <c r="R47" s="175"/>
    </row>
    <row r="48" spans="1:19" ht="7.5" customHeight="1" thickBot="1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s="34" customFormat="1" ht="15" x14ac:dyDescent="0.25">
      <c r="A49" s="37"/>
      <c r="B49" s="40" t="s">
        <v>83</v>
      </c>
      <c r="C49" s="37"/>
      <c r="D49" s="37"/>
      <c r="E49" s="37"/>
      <c r="F49" s="37"/>
      <c r="G49" s="37"/>
      <c r="H49" s="37"/>
      <c r="I49" s="40"/>
      <c r="J49" s="37"/>
      <c r="K49" s="37"/>
      <c r="L49" s="37"/>
      <c r="M49" s="37"/>
      <c r="N49" s="37"/>
      <c r="O49" s="40"/>
      <c r="P49" s="37"/>
      <c r="Q49" s="37"/>
      <c r="R49" s="37"/>
      <c r="S49" s="37"/>
    </row>
    <row r="50" spans="1:19" ht="7.5" customHeight="1" x14ac:dyDescent="0.25">
      <c r="B50" s="33"/>
      <c r="C50" s="34"/>
      <c r="D50" s="41"/>
      <c r="E50" s="1"/>
      <c r="H50" s="3"/>
      <c r="I50"/>
      <c r="J50"/>
      <c r="K50" s="42"/>
      <c r="O50"/>
      <c r="P50" s="42"/>
      <c r="Q50"/>
      <c r="R50"/>
      <c r="S50"/>
    </row>
    <row r="51" spans="1:19" x14ac:dyDescent="0.2">
      <c r="B51" s="61" t="s">
        <v>92</v>
      </c>
      <c r="C51" s="62"/>
      <c r="D51" s="221"/>
      <c r="E51" s="221"/>
      <c r="F51" s="207"/>
      <c r="G51" s="105" t="s">
        <v>5</v>
      </c>
      <c r="H51" s="1"/>
      <c r="J51" s="177"/>
      <c r="K51" s="178"/>
      <c r="L51" s="177"/>
      <c r="M51" s="178"/>
      <c r="P51" s="177"/>
      <c r="Q51" s="178"/>
      <c r="R51" s="177"/>
      <c r="S51" s="178"/>
    </row>
    <row r="52" spans="1:19" x14ac:dyDescent="0.2">
      <c r="B52" s="214"/>
      <c r="C52" s="204"/>
      <c r="D52" s="204"/>
      <c r="E52" s="204"/>
      <c r="F52" s="208"/>
      <c r="G52" s="205"/>
      <c r="H52" s="1"/>
      <c r="I52" s="179"/>
      <c r="J52" s="219"/>
      <c r="K52" s="219"/>
      <c r="L52" s="219"/>
      <c r="M52" s="219"/>
      <c r="O52" s="179"/>
      <c r="P52" s="219"/>
      <c r="Q52" s="219"/>
      <c r="R52" s="219"/>
      <c r="S52" s="219"/>
    </row>
    <row r="53" spans="1:19" x14ac:dyDescent="0.2">
      <c r="B53" s="270"/>
      <c r="C53" s="271"/>
      <c r="D53" s="271"/>
      <c r="E53" s="271"/>
      <c r="F53" s="272"/>
      <c r="G53" s="202"/>
      <c r="H53" s="1"/>
      <c r="I53" s="176"/>
      <c r="J53" s="7"/>
      <c r="K53" s="7"/>
      <c r="L53" s="7"/>
      <c r="M53" s="7"/>
      <c r="O53" s="176"/>
      <c r="P53" s="7"/>
      <c r="Q53" s="7"/>
      <c r="R53" s="7"/>
      <c r="S53" s="7"/>
    </row>
    <row r="54" spans="1:19" x14ac:dyDescent="0.2">
      <c r="B54" s="270"/>
      <c r="C54" s="271"/>
      <c r="D54" s="271"/>
      <c r="E54" s="271"/>
      <c r="F54" s="272"/>
      <c r="G54" s="202"/>
      <c r="H54" s="1"/>
      <c r="I54" s="176"/>
      <c r="J54" s="7"/>
      <c r="K54" s="7"/>
      <c r="L54" s="7"/>
      <c r="M54" s="7"/>
      <c r="O54" s="176"/>
      <c r="P54" s="7"/>
      <c r="Q54" s="7"/>
      <c r="R54" s="7"/>
      <c r="S54" s="7"/>
    </row>
    <row r="55" spans="1:19" x14ac:dyDescent="0.2">
      <c r="B55" s="273"/>
      <c r="C55" s="274"/>
      <c r="D55" s="274"/>
      <c r="E55" s="274"/>
      <c r="F55" s="275"/>
      <c r="G55" s="206"/>
      <c r="H55" s="1"/>
      <c r="I55" s="176"/>
      <c r="J55" s="7"/>
      <c r="K55" s="7"/>
      <c r="L55" s="180"/>
      <c r="M55" s="7"/>
      <c r="O55" s="176"/>
      <c r="P55" s="7"/>
      <c r="Q55" s="7"/>
      <c r="R55" s="180"/>
      <c r="S55" s="7"/>
    </row>
    <row r="56" spans="1:19" x14ac:dyDescent="0.2">
      <c r="B56" s="61" t="s">
        <v>84</v>
      </c>
      <c r="C56" s="221" t="s">
        <v>85</v>
      </c>
      <c r="D56" s="221" t="s">
        <v>86</v>
      </c>
      <c r="E56" s="221" t="s">
        <v>87</v>
      </c>
      <c r="F56" s="221" t="s">
        <v>88</v>
      </c>
      <c r="G56" s="135"/>
      <c r="H56" s="1"/>
      <c r="I56" s="176"/>
      <c r="J56" s="7"/>
      <c r="K56" s="7"/>
      <c r="L56" s="7"/>
      <c r="M56" s="7"/>
      <c r="O56" s="176"/>
      <c r="P56" s="7"/>
      <c r="Q56" s="7"/>
      <c r="R56" s="7"/>
      <c r="S56" s="7"/>
    </row>
    <row r="57" spans="1:19" x14ac:dyDescent="0.2">
      <c r="B57" s="181" t="s">
        <v>23</v>
      </c>
      <c r="C57" s="1">
        <f>+P9*S9</f>
        <v>0</v>
      </c>
      <c r="D57" s="1">
        <f>+Q9*S9</f>
        <v>0</v>
      </c>
      <c r="E57" s="1">
        <f>+Q41*C57</f>
        <v>0</v>
      </c>
      <c r="F57" s="1">
        <f>+D57*R41</f>
        <v>0</v>
      </c>
      <c r="G57" s="151">
        <f>SUM(E57:F57)</f>
        <v>0</v>
      </c>
      <c r="H57" s="1"/>
      <c r="I57" s="176"/>
      <c r="J57" s="7"/>
      <c r="K57" s="7"/>
      <c r="L57" s="7"/>
      <c r="M57" s="7"/>
      <c r="O57" s="176"/>
      <c r="P57" s="7"/>
      <c r="Q57" s="7"/>
      <c r="R57" s="7"/>
      <c r="S57" s="7"/>
    </row>
    <row r="58" spans="1:19" x14ac:dyDescent="0.2">
      <c r="B58" s="181" t="s">
        <v>24</v>
      </c>
      <c r="C58" s="1">
        <f>+P10*S10</f>
        <v>0</v>
      </c>
      <c r="D58" s="1">
        <f>+Q10*S10</f>
        <v>0</v>
      </c>
      <c r="E58" s="1">
        <f>+C58*Q41</f>
        <v>0</v>
      </c>
      <c r="F58" s="1">
        <f>+D58*R41</f>
        <v>0</v>
      </c>
      <c r="G58" s="151">
        <f>SUM(E58:F58)</f>
        <v>0</v>
      </c>
      <c r="H58" s="1"/>
    </row>
    <row r="59" spans="1:19" x14ac:dyDescent="0.2">
      <c r="B59" s="61"/>
      <c r="C59" s="182"/>
      <c r="D59" s="75"/>
      <c r="E59" s="76"/>
      <c r="F59" s="183" t="s">
        <v>89</v>
      </c>
      <c r="G59" s="171">
        <f>SUM(G52:G58)</f>
        <v>0</v>
      </c>
      <c r="H59" s="1"/>
    </row>
    <row r="60" spans="1:19" ht="15" x14ac:dyDescent="0.25">
      <c r="N60"/>
      <c r="O60"/>
      <c r="P60"/>
      <c r="Q60"/>
      <c r="R60"/>
    </row>
  </sheetData>
  <mergeCells count="42">
    <mergeCell ref="O39:P39"/>
    <mergeCell ref="Q39:R39"/>
    <mergeCell ref="B53:F53"/>
    <mergeCell ref="B54:F54"/>
    <mergeCell ref="B55:F55"/>
    <mergeCell ref="K18:M18"/>
    <mergeCell ref="O18:P18"/>
    <mergeCell ref="Q18:R18"/>
    <mergeCell ref="Q19:R19"/>
    <mergeCell ref="Q20:R20"/>
    <mergeCell ref="E39:F39"/>
    <mergeCell ref="G39:H39"/>
    <mergeCell ref="I39:J39"/>
    <mergeCell ref="K39:L39"/>
    <mergeCell ref="M39:N39"/>
    <mergeCell ref="K16:M16"/>
    <mergeCell ref="O16:P16"/>
    <mergeCell ref="Q16:R16"/>
    <mergeCell ref="K17:M17"/>
    <mergeCell ref="O17:P17"/>
    <mergeCell ref="Q17:R17"/>
    <mergeCell ref="K14:M14"/>
    <mergeCell ref="O14:P14"/>
    <mergeCell ref="Q14:R14"/>
    <mergeCell ref="K15:M15"/>
    <mergeCell ref="O15:P15"/>
    <mergeCell ref="Q15:R15"/>
    <mergeCell ref="C6:D6"/>
    <mergeCell ref="G6:H6"/>
    <mergeCell ref="K6:L6"/>
    <mergeCell ref="U6:X10"/>
    <mergeCell ref="C7:D7"/>
    <mergeCell ref="G7:H7"/>
    <mergeCell ref="K7:L7"/>
    <mergeCell ref="B9:C10"/>
    <mergeCell ref="K9:L9"/>
    <mergeCell ref="H1:I1"/>
    <mergeCell ref="M1:N1"/>
    <mergeCell ref="U4:X4"/>
    <mergeCell ref="C5:D5"/>
    <mergeCell ref="G5:H5"/>
    <mergeCell ref="K5:L5"/>
  </mergeCell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233" r:id="rId4" name="Drop Down 1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4" r:id="rId5" name="Drop Down 2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5" r:id="rId6" name="Drop Down 3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6" r:id="rId7" name="Drop Down 4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7" r:id="rId8" name="Drop Down 5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8" r:id="rId9" name="Drop Down 6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9" r:id="rId10" name="Drop Down 7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40" r:id="rId11" name="Drop Down 8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41" r:id="rId12" name="Drop Down 9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CA61-FDF5-4C72-A335-7E7CC8175C65}">
  <sheetPr>
    <pageSetUpPr fitToPage="1"/>
  </sheetPr>
  <dimension ref="A1:X60"/>
  <sheetViews>
    <sheetView topLeftCell="A13" workbookViewId="0">
      <selection activeCell="D18" sqref="D18"/>
    </sheetView>
  </sheetViews>
  <sheetFormatPr baseColWidth="10" defaultColWidth="7.28515625" defaultRowHeight="12.75" x14ac:dyDescent="0.2"/>
  <cols>
    <col min="1" max="1" width="1.5703125" style="1" customWidth="1"/>
    <col min="2" max="2" width="19.140625" style="1" customWidth="1"/>
    <col min="3" max="3" width="14.85546875" style="1" customWidth="1"/>
    <col min="4" max="4" width="12.42578125" style="1" customWidth="1"/>
    <col min="5" max="5" width="7.5703125" style="3" customWidth="1"/>
    <col min="6" max="6" width="6.5703125" style="1" customWidth="1"/>
    <col min="7" max="7" width="21.140625" style="1" customWidth="1"/>
    <col min="8" max="8" width="7.85546875" style="184" customWidth="1"/>
    <col min="9" max="9" width="13.28515625" style="1" customWidth="1"/>
    <col min="10" max="10" width="7.42578125" style="1" customWidth="1"/>
    <col min="11" max="11" width="9.28515625" style="1" bestFit="1" customWidth="1"/>
    <col min="12" max="12" width="9.7109375" style="1" customWidth="1"/>
    <col min="13" max="13" width="9.42578125" style="1" customWidth="1"/>
    <col min="14" max="14" width="18.5703125" style="1" customWidth="1"/>
    <col min="15" max="15" width="10" style="1" customWidth="1"/>
    <col min="16" max="16" width="7.42578125" style="1" customWidth="1"/>
    <col min="17" max="17" width="8.7109375" style="1" customWidth="1"/>
    <col min="18" max="18" width="8.85546875" style="1" customWidth="1"/>
    <col min="19" max="19" width="10.7109375" style="1" customWidth="1"/>
    <col min="20" max="20" width="4.85546875" style="1" customWidth="1"/>
    <col min="21" max="21" width="7.5703125" style="1" customWidth="1"/>
    <col min="22" max="22" width="27.140625" style="1" hidden="1" customWidth="1"/>
    <col min="23" max="24" width="7.5703125" style="1" customWidth="1"/>
    <col min="25" max="256" width="7.28515625" style="1"/>
    <col min="257" max="257" width="1.5703125" style="1" customWidth="1"/>
    <col min="258" max="258" width="16.7109375" style="1" customWidth="1"/>
    <col min="259" max="259" width="11.5703125" style="1" customWidth="1"/>
    <col min="260" max="260" width="9.140625" style="1" customWidth="1"/>
    <col min="261" max="261" width="8.140625" style="1" customWidth="1"/>
    <col min="262" max="262" width="6.5703125" style="1" customWidth="1"/>
    <col min="263" max="263" width="24.140625" style="1" customWidth="1"/>
    <col min="264" max="264" width="7.85546875" style="1" customWidth="1"/>
    <col min="265" max="265" width="13.28515625" style="1" customWidth="1"/>
    <col min="266" max="269" width="7.42578125" style="1" customWidth="1"/>
    <col min="270" max="270" width="18.5703125" style="1" customWidth="1"/>
    <col min="271" max="271" width="10" style="1" customWidth="1"/>
    <col min="272" max="274" width="7.42578125" style="1" customWidth="1"/>
    <col min="275" max="275" width="9.140625" style="1" bestFit="1" customWidth="1"/>
    <col min="276" max="276" width="4.85546875" style="1" customWidth="1"/>
    <col min="277" max="277" width="7.28515625" style="1"/>
    <col min="278" max="278" width="0" style="1" hidden="1" customWidth="1"/>
    <col min="279" max="512" width="7.28515625" style="1"/>
    <col min="513" max="513" width="1.5703125" style="1" customWidth="1"/>
    <col min="514" max="514" width="16.7109375" style="1" customWidth="1"/>
    <col min="515" max="515" width="11.5703125" style="1" customWidth="1"/>
    <col min="516" max="516" width="9.140625" style="1" customWidth="1"/>
    <col min="517" max="517" width="8.140625" style="1" customWidth="1"/>
    <col min="518" max="518" width="6.5703125" style="1" customWidth="1"/>
    <col min="519" max="519" width="24.140625" style="1" customWidth="1"/>
    <col min="520" max="520" width="7.85546875" style="1" customWidth="1"/>
    <col min="521" max="521" width="13.28515625" style="1" customWidth="1"/>
    <col min="522" max="525" width="7.42578125" style="1" customWidth="1"/>
    <col min="526" max="526" width="18.5703125" style="1" customWidth="1"/>
    <col min="527" max="527" width="10" style="1" customWidth="1"/>
    <col min="528" max="530" width="7.42578125" style="1" customWidth="1"/>
    <col min="531" max="531" width="9.140625" style="1" bestFit="1" customWidth="1"/>
    <col min="532" max="532" width="4.85546875" style="1" customWidth="1"/>
    <col min="533" max="533" width="7.28515625" style="1"/>
    <col min="534" max="534" width="0" style="1" hidden="1" customWidth="1"/>
    <col min="535" max="768" width="7.28515625" style="1"/>
    <col min="769" max="769" width="1.5703125" style="1" customWidth="1"/>
    <col min="770" max="770" width="16.7109375" style="1" customWidth="1"/>
    <col min="771" max="771" width="11.5703125" style="1" customWidth="1"/>
    <col min="772" max="772" width="9.140625" style="1" customWidth="1"/>
    <col min="773" max="773" width="8.140625" style="1" customWidth="1"/>
    <col min="774" max="774" width="6.5703125" style="1" customWidth="1"/>
    <col min="775" max="775" width="24.140625" style="1" customWidth="1"/>
    <col min="776" max="776" width="7.85546875" style="1" customWidth="1"/>
    <col min="777" max="777" width="13.28515625" style="1" customWidth="1"/>
    <col min="778" max="781" width="7.42578125" style="1" customWidth="1"/>
    <col min="782" max="782" width="18.5703125" style="1" customWidth="1"/>
    <col min="783" max="783" width="10" style="1" customWidth="1"/>
    <col min="784" max="786" width="7.42578125" style="1" customWidth="1"/>
    <col min="787" max="787" width="9.140625" style="1" bestFit="1" customWidth="1"/>
    <col min="788" max="788" width="4.85546875" style="1" customWidth="1"/>
    <col min="789" max="789" width="7.28515625" style="1"/>
    <col min="790" max="790" width="0" style="1" hidden="1" customWidth="1"/>
    <col min="791" max="1024" width="7.28515625" style="1"/>
    <col min="1025" max="1025" width="1.5703125" style="1" customWidth="1"/>
    <col min="1026" max="1026" width="16.7109375" style="1" customWidth="1"/>
    <col min="1027" max="1027" width="11.5703125" style="1" customWidth="1"/>
    <col min="1028" max="1028" width="9.140625" style="1" customWidth="1"/>
    <col min="1029" max="1029" width="8.140625" style="1" customWidth="1"/>
    <col min="1030" max="1030" width="6.5703125" style="1" customWidth="1"/>
    <col min="1031" max="1031" width="24.140625" style="1" customWidth="1"/>
    <col min="1032" max="1032" width="7.85546875" style="1" customWidth="1"/>
    <col min="1033" max="1033" width="13.28515625" style="1" customWidth="1"/>
    <col min="1034" max="1037" width="7.42578125" style="1" customWidth="1"/>
    <col min="1038" max="1038" width="18.5703125" style="1" customWidth="1"/>
    <col min="1039" max="1039" width="10" style="1" customWidth="1"/>
    <col min="1040" max="1042" width="7.42578125" style="1" customWidth="1"/>
    <col min="1043" max="1043" width="9.140625" style="1" bestFit="1" customWidth="1"/>
    <col min="1044" max="1044" width="4.85546875" style="1" customWidth="1"/>
    <col min="1045" max="1045" width="7.28515625" style="1"/>
    <col min="1046" max="1046" width="0" style="1" hidden="1" customWidth="1"/>
    <col min="1047" max="1280" width="7.28515625" style="1"/>
    <col min="1281" max="1281" width="1.5703125" style="1" customWidth="1"/>
    <col min="1282" max="1282" width="16.7109375" style="1" customWidth="1"/>
    <col min="1283" max="1283" width="11.5703125" style="1" customWidth="1"/>
    <col min="1284" max="1284" width="9.140625" style="1" customWidth="1"/>
    <col min="1285" max="1285" width="8.140625" style="1" customWidth="1"/>
    <col min="1286" max="1286" width="6.5703125" style="1" customWidth="1"/>
    <col min="1287" max="1287" width="24.140625" style="1" customWidth="1"/>
    <col min="1288" max="1288" width="7.85546875" style="1" customWidth="1"/>
    <col min="1289" max="1289" width="13.28515625" style="1" customWidth="1"/>
    <col min="1290" max="1293" width="7.42578125" style="1" customWidth="1"/>
    <col min="1294" max="1294" width="18.5703125" style="1" customWidth="1"/>
    <col min="1295" max="1295" width="10" style="1" customWidth="1"/>
    <col min="1296" max="1298" width="7.42578125" style="1" customWidth="1"/>
    <col min="1299" max="1299" width="9.140625" style="1" bestFit="1" customWidth="1"/>
    <col min="1300" max="1300" width="4.85546875" style="1" customWidth="1"/>
    <col min="1301" max="1301" width="7.28515625" style="1"/>
    <col min="1302" max="1302" width="0" style="1" hidden="1" customWidth="1"/>
    <col min="1303" max="1536" width="7.28515625" style="1"/>
    <col min="1537" max="1537" width="1.5703125" style="1" customWidth="1"/>
    <col min="1538" max="1538" width="16.7109375" style="1" customWidth="1"/>
    <col min="1539" max="1539" width="11.5703125" style="1" customWidth="1"/>
    <col min="1540" max="1540" width="9.140625" style="1" customWidth="1"/>
    <col min="1541" max="1541" width="8.140625" style="1" customWidth="1"/>
    <col min="1542" max="1542" width="6.5703125" style="1" customWidth="1"/>
    <col min="1543" max="1543" width="24.140625" style="1" customWidth="1"/>
    <col min="1544" max="1544" width="7.85546875" style="1" customWidth="1"/>
    <col min="1545" max="1545" width="13.28515625" style="1" customWidth="1"/>
    <col min="1546" max="1549" width="7.42578125" style="1" customWidth="1"/>
    <col min="1550" max="1550" width="18.5703125" style="1" customWidth="1"/>
    <col min="1551" max="1551" width="10" style="1" customWidth="1"/>
    <col min="1552" max="1554" width="7.42578125" style="1" customWidth="1"/>
    <col min="1555" max="1555" width="9.140625" style="1" bestFit="1" customWidth="1"/>
    <col min="1556" max="1556" width="4.85546875" style="1" customWidth="1"/>
    <col min="1557" max="1557" width="7.28515625" style="1"/>
    <col min="1558" max="1558" width="0" style="1" hidden="1" customWidth="1"/>
    <col min="1559" max="1792" width="7.28515625" style="1"/>
    <col min="1793" max="1793" width="1.5703125" style="1" customWidth="1"/>
    <col min="1794" max="1794" width="16.7109375" style="1" customWidth="1"/>
    <col min="1795" max="1795" width="11.5703125" style="1" customWidth="1"/>
    <col min="1796" max="1796" width="9.140625" style="1" customWidth="1"/>
    <col min="1797" max="1797" width="8.140625" style="1" customWidth="1"/>
    <col min="1798" max="1798" width="6.5703125" style="1" customWidth="1"/>
    <col min="1799" max="1799" width="24.140625" style="1" customWidth="1"/>
    <col min="1800" max="1800" width="7.85546875" style="1" customWidth="1"/>
    <col min="1801" max="1801" width="13.28515625" style="1" customWidth="1"/>
    <col min="1802" max="1805" width="7.42578125" style="1" customWidth="1"/>
    <col min="1806" max="1806" width="18.5703125" style="1" customWidth="1"/>
    <col min="1807" max="1807" width="10" style="1" customWidth="1"/>
    <col min="1808" max="1810" width="7.42578125" style="1" customWidth="1"/>
    <col min="1811" max="1811" width="9.140625" style="1" bestFit="1" customWidth="1"/>
    <col min="1812" max="1812" width="4.85546875" style="1" customWidth="1"/>
    <col min="1813" max="1813" width="7.28515625" style="1"/>
    <col min="1814" max="1814" width="0" style="1" hidden="1" customWidth="1"/>
    <col min="1815" max="2048" width="7.28515625" style="1"/>
    <col min="2049" max="2049" width="1.5703125" style="1" customWidth="1"/>
    <col min="2050" max="2050" width="16.7109375" style="1" customWidth="1"/>
    <col min="2051" max="2051" width="11.5703125" style="1" customWidth="1"/>
    <col min="2052" max="2052" width="9.140625" style="1" customWidth="1"/>
    <col min="2053" max="2053" width="8.140625" style="1" customWidth="1"/>
    <col min="2054" max="2054" width="6.5703125" style="1" customWidth="1"/>
    <col min="2055" max="2055" width="24.140625" style="1" customWidth="1"/>
    <col min="2056" max="2056" width="7.85546875" style="1" customWidth="1"/>
    <col min="2057" max="2057" width="13.28515625" style="1" customWidth="1"/>
    <col min="2058" max="2061" width="7.42578125" style="1" customWidth="1"/>
    <col min="2062" max="2062" width="18.5703125" style="1" customWidth="1"/>
    <col min="2063" max="2063" width="10" style="1" customWidth="1"/>
    <col min="2064" max="2066" width="7.42578125" style="1" customWidth="1"/>
    <col min="2067" max="2067" width="9.140625" style="1" bestFit="1" customWidth="1"/>
    <col min="2068" max="2068" width="4.85546875" style="1" customWidth="1"/>
    <col min="2069" max="2069" width="7.28515625" style="1"/>
    <col min="2070" max="2070" width="0" style="1" hidden="1" customWidth="1"/>
    <col min="2071" max="2304" width="7.28515625" style="1"/>
    <col min="2305" max="2305" width="1.5703125" style="1" customWidth="1"/>
    <col min="2306" max="2306" width="16.7109375" style="1" customWidth="1"/>
    <col min="2307" max="2307" width="11.5703125" style="1" customWidth="1"/>
    <col min="2308" max="2308" width="9.140625" style="1" customWidth="1"/>
    <col min="2309" max="2309" width="8.140625" style="1" customWidth="1"/>
    <col min="2310" max="2310" width="6.5703125" style="1" customWidth="1"/>
    <col min="2311" max="2311" width="24.140625" style="1" customWidth="1"/>
    <col min="2312" max="2312" width="7.85546875" style="1" customWidth="1"/>
    <col min="2313" max="2313" width="13.28515625" style="1" customWidth="1"/>
    <col min="2314" max="2317" width="7.42578125" style="1" customWidth="1"/>
    <col min="2318" max="2318" width="18.5703125" style="1" customWidth="1"/>
    <col min="2319" max="2319" width="10" style="1" customWidth="1"/>
    <col min="2320" max="2322" width="7.42578125" style="1" customWidth="1"/>
    <col min="2323" max="2323" width="9.140625" style="1" bestFit="1" customWidth="1"/>
    <col min="2324" max="2324" width="4.85546875" style="1" customWidth="1"/>
    <col min="2325" max="2325" width="7.28515625" style="1"/>
    <col min="2326" max="2326" width="0" style="1" hidden="1" customWidth="1"/>
    <col min="2327" max="2560" width="7.28515625" style="1"/>
    <col min="2561" max="2561" width="1.5703125" style="1" customWidth="1"/>
    <col min="2562" max="2562" width="16.7109375" style="1" customWidth="1"/>
    <col min="2563" max="2563" width="11.5703125" style="1" customWidth="1"/>
    <col min="2564" max="2564" width="9.140625" style="1" customWidth="1"/>
    <col min="2565" max="2565" width="8.140625" style="1" customWidth="1"/>
    <col min="2566" max="2566" width="6.5703125" style="1" customWidth="1"/>
    <col min="2567" max="2567" width="24.140625" style="1" customWidth="1"/>
    <col min="2568" max="2568" width="7.85546875" style="1" customWidth="1"/>
    <col min="2569" max="2569" width="13.28515625" style="1" customWidth="1"/>
    <col min="2570" max="2573" width="7.42578125" style="1" customWidth="1"/>
    <col min="2574" max="2574" width="18.5703125" style="1" customWidth="1"/>
    <col min="2575" max="2575" width="10" style="1" customWidth="1"/>
    <col min="2576" max="2578" width="7.42578125" style="1" customWidth="1"/>
    <col min="2579" max="2579" width="9.140625" style="1" bestFit="1" customWidth="1"/>
    <col min="2580" max="2580" width="4.85546875" style="1" customWidth="1"/>
    <col min="2581" max="2581" width="7.28515625" style="1"/>
    <col min="2582" max="2582" width="0" style="1" hidden="1" customWidth="1"/>
    <col min="2583" max="2816" width="7.28515625" style="1"/>
    <col min="2817" max="2817" width="1.5703125" style="1" customWidth="1"/>
    <col min="2818" max="2818" width="16.7109375" style="1" customWidth="1"/>
    <col min="2819" max="2819" width="11.5703125" style="1" customWidth="1"/>
    <col min="2820" max="2820" width="9.140625" style="1" customWidth="1"/>
    <col min="2821" max="2821" width="8.140625" style="1" customWidth="1"/>
    <col min="2822" max="2822" width="6.5703125" style="1" customWidth="1"/>
    <col min="2823" max="2823" width="24.140625" style="1" customWidth="1"/>
    <col min="2824" max="2824" width="7.85546875" style="1" customWidth="1"/>
    <col min="2825" max="2825" width="13.28515625" style="1" customWidth="1"/>
    <col min="2826" max="2829" width="7.42578125" style="1" customWidth="1"/>
    <col min="2830" max="2830" width="18.5703125" style="1" customWidth="1"/>
    <col min="2831" max="2831" width="10" style="1" customWidth="1"/>
    <col min="2832" max="2834" width="7.42578125" style="1" customWidth="1"/>
    <col min="2835" max="2835" width="9.140625" style="1" bestFit="1" customWidth="1"/>
    <col min="2836" max="2836" width="4.85546875" style="1" customWidth="1"/>
    <col min="2837" max="2837" width="7.28515625" style="1"/>
    <col min="2838" max="2838" width="0" style="1" hidden="1" customWidth="1"/>
    <col min="2839" max="3072" width="7.28515625" style="1"/>
    <col min="3073" max="3073" width="1.5703125" style="1" customWidth="1"/>
    <col min="3074" max="3074" width="16.7109375" style="1" customWidth="1"/>
    <col min="3075" max="3075" width="11.5703125" style="1" customWidth="1"/>
    <col min="3076" max="3076" width="9.140625" style="1" customWidth="1"/>
    <col min="3077" max="3077" width="8.140625" style="1" customWidth="1"/>
    <col min="3078" max="3078" width="6.5703125" style="1" customWidth="1"/>
    <col min="3079" max="3079" width="24.140625" style="1" customWidth="1"/>
    <col min="3080" max="3080" width="7.85546875" style="1" customWidth="1"/>
    <col min="3081" max="3081" width="13.28515625" style="1" customWidth="1"/>
    <col min="3082" max="3085" width="7.42578125" style="1" customWidth="1"/>
    <col min="3086" max="3086" width="18.5703125" style="1" customWidth="1"/>
    <col min="3087" max="3087" width="10" style="1" customWidth="1"/>
    <col min="3088" max="3090" width="7.42578125" style="1" customWidth="1"/>
    <col min="3091" max="3091" width="9.140625" style="1" bestFit="1" customWidth="1"/>
    <col min="3092" max="3092" width="4.85546875" style="1" customWidth="1"/>
    <col min="3093" max="3093" width="7.28515625" style="1"/>
    <col min="3094" max="3094" width="0" style="1" hidden="1" customWidth="1"/>
    <col min="3095" max="3328" width="7.28515625" style="1"/>
    <col min="3329" max="3329" width="1.5703125" style="1" customWidth="1"/>
    <col min="3330" max="3330" width="16.7109375" style="1" customWidth="1"/>
    <col min="3331" max="3331" width="11.5703125" style="1" customWidth="1"/>
    <col min="3332" max="3332" width="9.140625" style="1" customWidth="1"/>
    <col min="3333" max="3333" width="8.140625" style="1" customWidth="1"/>
    <col min="3334" max="3334" width="6.5703125" style="1" customWidth="1"/>
    <col min="3335" max="3335" width="24.140625" style="1" customWidth="1"/>
    <col min="3336" max="3336" width="7.85546875" style="1" customWidth="1"/>
    <col min="3337" max="3337" width="13.28515625" style="1" customWidth="1"/>
    <col min="3338" max="3341" width="7.42578125" style="1" customWidth="1"/>
    <col min="3342" max="3342" width="18.5703125" style="1" customWidth="1"/>
    <col min="3343" max="3343" width="10" style="1" customWidth="1"/>
    <col min="3344" max="3346" width="7.42578125" style="1" customWidth="1"/>
    <col min="3347" max="3347" width="9.140625" style="1" bestFit="1" customWidth="1"/>
    <col min="3348" max="3348" width="4.85546875" style="1" customWidth="1"/>
    <col min="3349" max="3349" width="7.28515625" style="1"/>
    <col min="3350" max="3350" width="0" style="1" hidden="1" customWidth="1"/>
    <col min="3351" max="3584" width="7.28515625" style="1"/>
    <col min="3585" max="3585" width="1.5703125" style="1" customWidth="1"/>
    <col min="3586" max="3586" width="16.7109375" style="1" customWidth="1"/>
    <col min="3587" max="3587" width="11.5703125" style="1" customWidth="1"/>
    <col min="3588" max="3588" width="9.140625" style="1" customWidth="1"/>
    <col min="3589" max="3589" width="8.140625" style="1" customWidth="1"/>
    <col min="3590" max="3590" width="6.5703125" style="1" customWidth="1"/>
    <col min="3591" max="3591" width="24.140625" style="1" customWidth="1"/>
    <col min="3592" max="3592" width="7.85546875" style="1" customWidth="1"/>
    <col min="3593" max="3593" width="13.28515625" style="1" customWidth="1"/>
    <col min="3594" max="3597" width="7.42578125" style="1" customWidth="1"/>
    <col min="3598" max="3598" width="18.5703125" style="1" customWidth="1"/>
    <col min="3599" max="3599" width="10" style="1" customWidth="1"/>
    <col min="3600" max="3602" width="7.42578125" style="1" customWidth="1"/>
    <col min="3603" max="3603" width="9.140625" style="1" bestFit="1" customWidth="1"/>
    <col min="3604" max="3604" width="4.85546875" style="1" customWidth="1"/>
    <col min="3605" max="3605" width="7.28515625" style="1"/>
    <col min="3606" max="3606" width="0" style="1" hidden="1" customWidth="1"/>
    <col min="3607" max="3840" width="7.28515625" style="1"/>
    <col min="3841" max="3841" width="1.5703125" style="1" customWidth="1"/>
    <col min="3842" max="3842" width="16.7109375" style="1" customWidth="1"/>
    <col min="3843" max="3843" width="11.5703125" style="1" customWidth="1"/>
    <col min="3844" max="3844" width="9.140625" style="1" customWidth="1"/>
    <col min="3845" max="3845" width="8.140625" style="1" customWidth="1"/>
    <col min="3846" max="3846" width="6.5703125" style="1" customWidth="1"/>
    <col min="3847" max="3847" width="24.140625" style="1" customWidth="1"/>
    <col min="3848" max="3848" width="7.85546875" style="1" customWidth="1"/>
    <col min="3849" max="3849" width="13.28515625" style="1" customWidth="1"/>
    <col min="3850" max="3853" width="7.42578125" style="1" customWidth="1"/>
    <col min="3854" max="3854" width="18.5703125" style="1" customWidth="1"/>
    <col min="3855" max="3855" width="10" style="1" customWidth="1"/>
    <col min="3856" max="3858" width="7.42578125" style="1" customWidth="1"/>
    <col min="3859" max="3859" width="9.140625" style="1" bestFit="1" customWidth="1"/>
    <col min="3860" max="3860" width="4.85546875" style="1" customWidth="1"/>
    <col min="3861" max="3861" width="7.28515625" style="1"/>
    <col min="3862" max="3862" width="0" style="1" hidden="1" customWidth="1"/>
    <col min="3863" max="4096" width="7.28515625" style="1"/>
    <col min="4097" max="4097" width="1.5703125" style="1" customWidth="1"/>
    <col min="4098" max="4098" width="16.7109375" style="1" customWidth="1"/>
    <col min="4099" max="4099" width="11.5703125" style="1" customWidth="1"/>
    <col min="4100" max="4100" width="9.140625" style="1" customWidth="1"/>
    <col min="4101" max="4101" width="8.140625" style="1" customWidth="1"/>
    <col min="4102" max="4102" width="6.5703125" style="1" customWidth="1"/>
    <col min="4103" max="4103" width="24.140625" style="1" customWidth="1"/>
    <col min="4104" max="4104" width="7.85546875" style="1" customWidth="1"/>
    <col min="4105" max="4105" width="13.28515625" style="1" customWidth="1"/>
    <col min="4106" max="4109" width="7.42578125" style="1" customWidth="1"/>
    <col min="4110" max="4110" width="18.5703125" style="1" customWidth="1"/>
    <col min="4111" max="4111" width="10" style="1" customWidth="1"/>
    <col min="4112" max="4114" width="7.42578125" style="1" customWidth="1"/>
    <col min="4115" max="4115" width="9.140625" style="1" bestFit="1" customWidth="1"/>
    <col min="4116" max="4116" width="4.85546875" style="1" customWidth="1"/>
    <col min="4117" max="4117" width="7.28515625" style="1"/>
    <col min="4118" max="4118" width="0" style="1" hidden="1" customWidth="1"/>
    <col min="4119" max="4352" width="7.28515625" style="1"/>
    <col min="4353" max="4353" width="1.5703125" style="1" customWidth="1"/>
    <col min="4354" max="4354" width="16.7109375" style="1" customWidth="1"/>
    <col min="4355" max="4355" width="11.5703125" style="1" customWidth="1"/>
    <col min="4356" max="4356" width="9.140625" style="1" customWidth="1"/>
    <col min="4357" max="4357" width="8.140625" style="1" customWidth="1"/>
    <col min="4358" max="4358" width="6.5703125" style="1" customWidth="1"/>
    <col min="4359" max="4359" width="24.140625" style="1" customWidth="1"/>
    <col min="4360" max="4360" width="7.85546875" style="1" customWidth="1"/>
    <col min="4361" max="4361" width="13.28515625" style="1" customWidth="1"/>
    <col min="4362" max="4365" width="7.42578125" style="1" customWidth="1"/>
    <col min="4366" max="4366" width="18.5703125" style="1" customWidth="1"/>
    <col min="4367" max="4367" width="10" style="1" customWidth="1"/>
    <col min="4368" max="4370" width="7.42578125" style="1" customWidth="1"/>
    <col min="4371" max="4371" width="9.140625" style="1" bestFit="1" customWidth="1"/>
    <col min="4372" max="4372" width="4.85546875" style="1" customWidth="1"/>
    <col min="4373" max="4373" width="7.28515625" style="1"/>
    <col min="4374" max="4374" width="0" style="1" hidden="1" customWidth="1"/>
    <col min="4375" max="4608" width="7.28515625" style="1"/>
    <col min="4609" max="4609" width="1.5703125" style="1" customWidth="1"/>
    <col min="4610" max="4610" width="16.7109375" style="1" customWidth="1"/>
    <col min="4611" max="4611" width="11.5703125" style="1" customWidth="1"/>
    <col min="4612" max="4612" width="9.140625" style="1" customWidth="1"/>
    <col min="4613" max="4613" width="8.140625" style="1" customWidth="1"/>
    <col min="4614" max="4614" width="6.5703125" style="1" customWidth="1"/>
    <col min="4615" max="4615" width="24.140625" style="1" customWidth="1"/>
    <col min="4616" max="4616" width="7.85546875" style="1" customWidth="1"/>
    <col min="4617" max="4617" width="13.28515625" style="1" customWidth="1"/>
    <col min="4618" max="4621" width="7.42578125" style="1" customWidth="1"/>
    <col min="4622" max="4622" width="18.5703125" style="1" customWidth="1"/>
    <col min="4623" max="4623" width="10" style="1" customWidth="1"/>
    <col min="4624" max="4626" width="7.42578125" style="1" customWidth="1"/>
    <col min="4627" max="4627" width="9.140625" style="1" bestFit="1" customWidth="1"/>
    <col min="4628" max="4628" width="4.85546875" style="1" customWidth="1"/>
    <col min="4629" max="4629" width="7.28515625" style="1"/>
    <col min="4630" max="4630" width="0" style="1" hidden="1" customWidth="1"/>
    <col min="4631" max="4864" width="7.28515625" style="1"/>
    <col min="4865" max="4865" width="1.5703125" style="1" customWidth="1"/>
    <col min="4866" max="4866" width="16.7109375" style="1" customWidth="1"/>
    <col min="4867" max="4867" width="11.5703125" style="1" customWidth="1"/>
    <col min="4868" max="4868" width="9.140625" style="1" customWidth="1"/>
    <col min="4869" max="4869" width="8.140625" style="1" customWidth="1"/>
    <col min="4870" max="4870" width="6.5703125" style="1" customWidth="1"/>
    <col min="4871" max="4871" width="24.140625" style="1" customWidth="1"/>
    <col min="4872" max="4872" width="7.85546875" style="1" customWidth="1"/>
    <col min="4873" max="4873" width="13.28515625" style="1" customWidth="1"/>
    <col min="4874" max="4877" width="7.42578125" style="1" customWidth="1"/>
    <col min="4878" max="4878" width="18.5703125" style="1" customWidth="1"/>
    <col min="4879" max="4879" width="10" style="1" customWidth="1"/>
    <col min="4880" max="4882" width="7.42578125" style="1" customWidth="1"/>
    <col min="4883" max="4883" width="9.140625" style="1" bestFit="1" customWidth="1"/>
    <col min="4884" max="4884" width="4.85546875" style="1" customWidth="1"/>
    <col min="4885" max="4885" width="7.28515625" style="1"/>
    <col min="4886" max="4886" width="0" style="1" hidden="1" customWidth="1"/>
    <col min="4887" max="5120" width="7.28515625" style="1"/>
    <col min="5121" max="5121" width="1.5703125" style="1" customWidth="1"/>
    <col min="5122" max="5122" width="16.7109375" style="1" customWidth="1"/>
    <col min="5123" max="5123" width="11.5703125" style="1" customWidth="1"/>
    <col min="5124" max="5124" width="9.140625" style="1" customWidth="1"/>
    <col min="5125" max="5125" width="8.140625" style="1" customWidth="1"/>
    <col min="5126" max="5126" width="6.5703125" style="1" customWidth="1"/>
    <col min="5127" max="5127" width="24.140625" style="1" customWidth="1"/>
    <col min="5128" max="5128" width="7.85546875" style="1" customWidth="1"/>
    <col min="5129" max="5129" width="13.28515625" style="1" customWidth="1"/>
    <col min="5130" max="5133" width="7.42578125" style="1" customWidth="1"/>
    <col min="5134" max="5134" width="18.5703125" style="1" customWidth="1"/>
    <col min="5135" max="5135" width="10" style="1" customWidth="1"/>
    <col min="5136" max="5138" width="7.42578125" style="1" customWidth="1"/>
    <col min="5139" max="5139" width="9.140625" style="1" bestFit="1" customWidth="1"/>
    <col min="5140" max="5140" width="4.85546875" style="1" customWidth="1"/>
    <col min="5141" max="5141" width="7.28515625" style="1"/>
    <col min="5142" max="5142" width="0" style="1" hidden="1" customWidth="1"/>
    <col min="5143" max="5376" width="7.28515625" style="1"/>
    <col min="5377" max="5377" width="1.5703125" style="1" customWidth="1"/>
    <col min="5378" max="5378" width="16.7109375" style="1" customWidth="1"/>
    <col min="5379" max="5379" width="11.5703125" style="1" customWidth="1"/>
    <col min="5380" max="5380" width="9.140625" style="1" customWidth="1"/>
    <col min="5381" max="5381" width="8.140625" style="1" customWidth="1"/>
    <col min="5382" max="5382" width="6.5703125" style="1" customWidth="1"/>
    <col min="5383" max="5383" width="24.140625" style="1" customWidth="1"/>
    <col min="5384" max="5384" width="7.85546875" style="1" customWidth="1"/>
    <col min="5385" max="5385" width="13.28515625" style="1" customWidth="1"/>
    <col min="5386" max="5389" width="7.42578125" style="1" customWidth="1"/>
    <col min="5390" max="5390" width="18.5703125" style="1" customWidth="1"/>
    <col min="5391" max="5391" width="10" style="1" customWidth="1"/>
    <col min="5392" max="5394" width="7.42578125" style="1" customWidth="1"/>
    <col min="5395" max="5395" width="9.140625" style="1" bestFit="1" customWidth="1"/>
    <col min="5396" max="5396" width="4.85546875" style="1" customWidth="1"/>
    <col min="5397" max="5397" width="7.28515625" style="1"/>
    <col min="5398" max="5398" width="0" style="1" hidden="1" customWidth="1"/>
    <col min="5399" max="5632" width="7.28515625" style="1"/>
    <col min="5633" max="5633" width="1.5703125" style="1" customWidth="1"/>
    <col min="5634" max="5634" width="16.7109375" style="1" customWidth="1"/>
    <col min="5635" max="5635" width="11.5703125" style="1" customWidth="1"/>
    <col min="5636" max="5636" width="9.140625" style="1" customWidth="1"/>
    <col min="5637" max="5637" width="8.140625" style="1" customWidth="1"/>
    <col min="5638" max="5638" width="6.5703125" style="1" customWidth="1"/>
    <col min="5639" max="5639" width="24.140625" style="1" customWidth="1"/>
    <col min="5640" max="5640" width="7.85546875" style="1" customWidth="1"/>
    <col min="5641" max="5641" width="13.28515625" style="1" customWidth="1"/>
    <col min="5642" max="5645" width="7.42578125" style="1" customWidth="1"/>
    <col min="5646" max="5646" width="18.5703125" style="1" customWidth="1"/>
    <col min="5647" max="5647" width="10" style="1" customWidth="1"/>
    <col min="5648" max="5650" width="7.42578125" style="1" customWidth="1"/>
    <col min="5651" max="5651" width="9.140625" style="1" bestFit="1" customWidth="1"/>
    <col min="5652" max="5652" width="4.85546875" style="1" customWidth="1"/>
    <col min="5653" max="5653" width="7.28515625" style="1"/>
    <col min="5654" max="5654" width="0" style="1" hidden="1" customWidth="1"/>
    <col min="5655" max="5888" width="7.28515625" style="1"/>
    <col min="5889" max="5889" width="1.5703125" style="1" customWidth="1"/>
    <col min="5890" max="5890" width="16.7109375" style="1" customWidth="1"/>
    <col min="5891" max="5891" width="11.5703125" style="1" customWidth="1"/>
    <col min="5892" max="5892" width="9.140625" style="1" customWidth="1"/>
    <col min="5893" max="5893" width="8.140625" style="1" customWidth="1"/>
    <col min="5894" max="5894" width="6.5703125" style="1" customWidth="1"/>
    <col min="5895" max="5895" width="24.140625" style="1" customWidth="1"/>
    <col min="5896" max="5896" width="7.85546875" style="1" customWidth="1"/>
    <col min="5897" max="5897" width="13.28515625" style="1" customWidth="1"/>
    <col min="5898" max="5901" width="7.42578125" style="1" customWidth="1"/>
    <col min="5902" max="5902" width="18.5703125" style="1" customWidth="1"/>
    <col min="5903" max="5903" width="10" style="1" customWidth="1"/>
    <col min="5904" max="5906" width="7.42578125" style="1" customWidth="1"/>
    <col min="5907" max="5907" width="9.140625" style="1" bestFit="1" customWidth="1"/>
    <col min="5908" max="5908" width="4.85546875" style="1" customWidth="1"/>
    <col min="5909" max="5909" width="7.28515625" style="1"/>
    <col min="5910" max="5910" width="0" style="1" hidden="1" customWidth="1"/>
    <col min="5911" max="6144" width="7.28515625" style="1"/>
    <col min="6145" max="6145" width="1.5703125" style="1" customWidth="1"/>
    <col min="6146" max="6146" width="16.7109375" style="1" customWidth="1"/>
    <col min="6147" max="6147" width="11.5703125" style="1" customWidth="1"/>
    <col min="6148" max="6148" width="9.140625" style="1" customWidth="1"/>
    <col min="6149" max="6149" width="8.140625" style="1" customWidth="1"/>
    <col min="6150" max="6150" width="6.5703125" style="1" customWidth="1"/>
    <col min="6151" max="6151" width="24.140625" style="1" customWidth="1"/>
    <col min="6152" max="6152" width="7.85546875" style="1" customWidth="1"/>
    <col min="6153" max="6153" width="13.28515625" style="1" customWidth="1"/>
    <col min="6154" max="6157" width="7.42578125" style="1" customWidth="1"/>
    <col min="6158" max="6158" width="18.5703125" style="1" customWidth="1"/>
    <col min="6159" max="6159" width="10" style="1" customWidth="1"/>
    <col min="6160" max="6162" width="7.42578125" style="1" customWidth="1"/>
    <col min="6163" max="6163" width="9.140625" style="1" bestFit="1" customWidth="1"/>
    <col min="6164" max="6164" width="4.85546875" style="1" customWidth="1"/>
    <col min="6165" max="6165" width="7.28515625" style="1"/>
    <col min="6166" max="6166" width="0" style="1" hidden="1" customWidth="1"/>
    <col min="6167" max="6400" width="7.28515625" style="1"/>
    <col min="6401" max="6401" width="1.5703125" style="1" customWidth="1"/>
    <col min="6402" max="6402" width="16.7109375" style="1" customWidth="1"/>
    <col min="6403" max="6403" width="11.5703125" style="1" customWidth="1"/>
    <col min="6404" max="6404" width="9.140625" style="1" customWidth="1"/>
    <col min="6405" max="6405" width="8.140625" style="1" customWidth="1"/>
    <col min="6406" max="6406" width="6.5703125" style="1" customWidth="1"/>
    <col min="6407" max="6407" width="24.140625" style="1" customWidth="1"/>
    <col min="6408" max="6408" width="7.85546875" style="1" customWidth="1"/>
    <col min="6409" max="6409" width="13.28515625" style="1" customWidth="1"/>
    <col min="6410" max="6413" width="7.42578125" style="1" customWidth="1"/>
    <col min="6414" max="6414" width="18.5703125" style="1" customWidth="1"/>
    <col min="6415" max="6415" width="10" style="1" customWidth="1"/>
    <col min="6416" max="6418" width="7.42578125" style="1" customWidth="1"/>
    <col min="6419" max="6419" width="9.140625" style="1" bestFit="1" customWidth="1"/>
    <col min="6420" max="6420" width="4.85546875" style="1" customWidth="1"/>
    <col min="6421" max="6421" width="7.28515625" style="1"/>
    <col min="6422" max="6422" width="0" style="1" hidden="1" customWidth="1"/>
    <col min="6423" max="6656" width="7.28515625" style="1"/>
    <col min="6657" max="6657" width="1.5703125" style="1" customWidth="1"/>
    <col min="6658" max="6658" width="16.7109375" style="1" customWidth="1"/>
    <col min="6659" max="6659" width="11.5703125" style="1" customWidth="1"/>
    <col min="6660" max="6660" width="9.140625" style="1" customWidth="1"/>
    <col min="6661" max="6661" width="8.140625" style="1" customWidth="1"/>
    <col min="6662" max="6662" width="6.5703125" style="1" customWidth="1"/>
    <col min="6663" max="6663" width="24.140625" style="1" customWidth="1"/>
    <col min="6664" max="6664" width="7.85546875" style="1" customWidth="1"/>
    <col min="6665" max="6665" width="13.28515625" style="1" customWidth="1"/>
    <col min="6666" max="6669" width="7.42578125" style="1" customWidth="1"/>
    <col min="6670" max="6670" width="18.5703125" style="1" customWidth="1"/>
    <col min="6671" max="6671" width="10" style="1" customWidth="1"/>
    <col min="6672" max="6674" width="7.42578125" style="1" customWidth="1"/>
    <col min="6675" max="6675" width="9.140625" style="1" bestFit="1" customWidth="1"/>
    <col min="6676" max="6676" width="4.85546875" style="1" customWidth="1"/>
    <col min="6677" max="6677" width="7.28515625" style="1"/>
    <col min="6678" max="6678" width="0" style="1" hidden="1" customWidth="1"/>
    <col min="6679" max="6912" width="7.28515625" style="1"/>
    <col min="6913" max="6913" width="1.5703125" style="1" customWidth="1"/>
    <col min="6914" max="6914" width="16.7109375" style="1" customWidth="1"/>
    <col min="6915" max="6915" width="11.5703125" style="1" customWidth="1"/>
    <col min="6916" max="6916" width="9.140625" style="1" customWidth="1"/>
    <col min="6917" max="6917" width="8.140625" style="1" customWidth="1"/>
    <col min="6918" max="6918" width="6.5703125" style="1" customWidth="1"/>
    <col min="6919" max="6919" width="24.140625" style="1" customWidth="1"/>
    <col min="6920" max="6920" width="7.85546875" style="1" customWidth="1"/>
    <col min="6921" max="6921" width="13.28515625" style="1" customWidth="1"/>
    <col min="6922" max="6925" width="7.42578125" style="1" customWidth="1"/>
    <col min="6926" max="6926" width="18.5703125" style="1" customWidth="1"/>
    <col min="6927" max="6927" width="10" style="1" customWidth="1"/>
    <col min="6928" max="6930" width="7.42578125" style="1" customWidth="1"/>
    <col min="6931" max="6931" width="9.140625" style="1" bestFit="1" customWidth="1"/>
    <col min="6932" max="6932" width="4.85546875" style="1" customWidth="1"/>
    <col min="6933" max="6933" width="7.28515625" style="1"/>
    <col min="6934" max="6934" width="0" style="1" hidden="1" customWidth="1"/>
    <col min="6935" max="7168" width="7.28515625" style="1"/>
    <col min="7169" max="7169" width="1.5703125" style="1" customWidth="1"/>
    <col min="7170" max="7170" width="16.7109375" style="1" customWidth="1"/>
    <col min="7171" max="7171" width="11.5703125" style="1" customWidth="1"/>
    <col min="7172" max="7172" width="9.140625" style="1" customWidth="1"/>
    <col min="7173" max="7173" width="8.140625" style="1" customWidth="1"/>
    <col min="7174" max="7174" width="6.5703125" style="1" customWidth="1"/>
    <col min="7175" max="7175" width="24.140625" style="1" customWidth="1"/>
    <col min="7176" max="7176" width="7.85546875" style="1" customWidth="1"/>
    <col min="7177" max="7177" width="13.28515625" style="1" customWidth="1"/>
    <col min="7178" max="7181" width="7.42578125" style="1" customWidth="1"/>
    <col min="7182" max="7182" width="18.5703125" style="1" customWidth="1"/>
    <col min="7183" max="7183" width="10" style="1" customWidth="1"/>
    <col min="7184" max="7186" width="7.42578125" style="1" customWidth="1"/>
    <col min="7187" max="7187" width="9.140625" style="1" bestFit="1" customWidth="1"/>
    <col min="7188" max="7188" width="4.85546875" style="1" customWidth="1"/>
    <col min="7189" max="7189" width="7.28515625" style="1"/>
    <col min="7190" max="7190" width="0" style="1" hidden="1" customWidth="1"/>
    <col min="7191" max="7424" width="7.28515625" style="1"/>
    <col min="7425" max="7425" width="1.5703125" style="1" customWidth="1"/>
    <col min="7426" max="7426" width="16.7109375" style="1" customWidth="1"/>
    <col min="7427" max="7427" width="11.5703125" style="1" customWidth="1"/>
    <col min="7428" max="7428" width="9.140625" style="1" customWidth="1"/>
    <col min="7429" max="7429" width="8.140625" style="1" customWidth="1"/>
    <col min="7430" max="7430" width="6.5703125" style="1" customWidth="1"/>
    <col min="7431" max="7431" width="24.140625" style="1" customWidth="1"/>
    <col min="7432" max="7432" width="7.85546875" style="1" customWidth="1"/>
    <col min="7433" max="7433" width="13.28515625" style="1" customWidth="1"/>
    <col min="7434" max="7437" width="7.42578125" style="1" customWidth="1"/>
    <col min="7438" max="7438" width="18.5703125" style="1" customWidth="1"/>
    <col min="7439" max="7439" width="10" style="1" customWidth="1"/>
    <col min="7440" max="7442" width="7.42578125" style="1" customWidth="1"/>
    <col min="7443" max="7443" width="9.140625" style="1" bestFit="1" customWidth="1"/>
    <col min="7444" max="7444" width="4.85546875" style="1" customWidth="1"/>
    <col min="7445" max="7445" width="7.28515625" style="1"/>
    <col min="7446" max="7446" width="0" style="1" hidden="1" customWidth="1"/>
    <col min="7447" max="7680" width="7.28515625" style="1"/>
    <col min="7681" max="7681" width="1.5703125" style="1" customWidth="1"/>
    <col min="7682" max="7682" width="16.7109375" style="1" customWidth="1"/>
    <col min="7683" max="7683" width="11.5703125" style="1" customWidth="1"/>
    <col min="7684" max="7684" width="9.140625" style="1" customWidth="1"/>
    <col min="7685" max="7685" width="8.140625" style="1" customWidth="1"/>
    <col min="7686" max="7686" width="6.5703125" style="1" customWidth="1"/>
    <col min="7687" max="7687" width="24.140625" style="1" customWidth="1"/>
    <col min="7688" max="7688" width="7.85546875" style="1" customWidth="1"/>
    <col min="7689" max="7689" width="13.28515625" style="1" customWidth="1"/>
    <col min="7690" max="7693" width="7.42578125" style="1" customWidth="1"/>
    <col min="7694" max="7694" width="18.5703125" style="1" customWidth="1"/>
    <col min="7695" max="7695" width="10" style="1" customWidth="1"/>
    <col min="7696" max="7698" width="7.42578125" style="1" customWidth="1"/>
    <col min="7699" max="7699" width="9.140625" style="1" bestFit="1" customWidth="1"/>
    <col min="7700" max="7700" width="4.85546875" style="1" customWidth="1"/>
    <col min="7701" max="7701" width="7.28515625" style="1"/>
    <col min="7702" max="7702" width="0" style="1" hidden="1" customWidth="1"/>
    <col min="7703" max="7936" width="7.28515625" style="1"/>
    <col min="7937" max="7937" width="1.5703125" style="1" customWidth="1"/>
    <col min="7938" max="7938" width="16.7109375" style="1" customWidth="1"/>
    <col min="7939" max="7939" width="11.5703125" style="1" customWidth="1"/>
    <col min="7940" max="7940" width="9.140625" style="1" customWidth="1"/>
    <col min="7941" max="7941" width="8.140625" style="1" customWidth="1"/>
    <col min="7942" max="7942" width="6.5703125" style="1" customWidth="1"/>
    <col min="7943" max="7943" width="24.140625" style="1" customWidth="1"/>
    <col min="7944" max="7944" width="7.85546875" style="1" customWidth="1"/>
    <col min="7945" max="7945" width="13.28515625" style="1" customWidth="1"/>
    <col min="7946" max="7949" width="7.42578125" style="1" customWidth="1"/>
    <col min="7950" max="7950" width="18.5703125" style="1" customWidth="1"/>
    <col min="7951" max="7951" width="10" style="1" customWidth="1"/>
    <col min="7952" max="7954" width="7.42578125" style="1" customWidth="1"/>
    <col min="7955" max="7955" width="9.140625" style="1" bestFit="1" customWidth="1"/>
    <col min="7956" max="7956" width="4.85546875" style="1" customWidth="1"/>
    <col min="7957" max="7957" width="7.28515625" style="1"/>
    <col min="7958" max="7958" width="0" style="1" hidden="1" customWidth="1"/>
    <col min="7959" max="8192" width="7.28515625" style="1"/>
    <col min="8193" max="8193" width="1.5703125" style="1" customWidth="1"/>
    <col min="8194" max="8194" width="16.7109375" style="1" customWidth="1"/>
    <col min="8195" max="8195" width="11.5703125" style="1" customWidth="1"/>
    <col min="8196" max="8196" width="9.140625" style="1" customWidth="1"/>
    <col min="8197" max="8197" width="8.140625" style="1" customWidth="1"/>
    <col min="8198" max="8198" width="6.5703125" style="1" customWidth="1"/>
    <col min="8199" max="8199" width="24.140625" style="1" customWidth="1"/>
    <col min="8200" max="8200" width="7.85546875" style="1" customWidth="1"/>
    <col min="8201" max="8201" width="13.28515625" style="1" customWidth="1"/>
    <col min="8202" max="8205" width="7.42578125" style="1" customWidth="1"/>
    <col min="8206" max="8206" width="18.5703125" style="1" customWidth="1"/>
    <col min="8207" max="8207" width="10" style="1" customWidth="1"/>
    <col min="8208" max="8210" width="7.42578125" style="1" customWidth="1"/>
    <col min="8211" max="8211" width="9.140625" style="1" bestFit="1" customWidth="1"/>
    <col min="8212" max="8212" width="4.85546875" style="1" customWidth="1"/>
    <col min="8213" max="8213" width="7.28515625" style="1"/>
    <col min="8214" max="8214" width="0" style="1" hidden="1" customWidth="1"/>
    <col min="8215" max="8448" width="7.28515625" style="1"/>
    <col min="8449" max="8449" width="1.5703125" style="1" customWidth="1"/>
    <col min="8450" max="8450" width="16.7109375" style="1" customWidth="1"/>
    <col min="8451" max="8451" width="11.5703125" style="1" customWidth="1"/>
    <col min="8452" max="8452" width="9.140625" style="1" customWidth="1"/>
    <col min="8453" max="8453" width="8.140625" style="1" customWidth="1"/>
    <col min="8454" max="8454" width="6.5703125" style="1" customWidth="1"/>
    <col min="8455" max="8455" width="24.140625" style="1" customWidth="1"/>
    <col min="8456" max="8456" width="7.85546875" style="1" customWidth="1"/>
    <col min="8457" max="8457" width="13.28515625" style="1" customWidth="1"/>
    <col min="8458" max="8461" width="7.42578125" style="1" customWidth="1"/>
    <col min="8462" max="8462" width="18.5703125" style="1" customWidth="1"/>
    <col min="8463" max="8463" width="10" style="1" customWidth="1"/>
    <col min="8464" max="8466" width="7.42578125" style="1" customWidth="1"/>
    <col min="8467" max="8467" width="9.140625" style="1" bestFit="1" customWidth="1"/>
    <col min="8468" max="8468" width="4.85546875" style="1" customWidth="1"/>
    <col min="8469" max="8469" width="7.28515625" style="1"/>
    <col min="8470" max="8470" width="0" style="1" hidden="1" customWidth="1"/>
    <col min="8471" max="8704" width="7.28515625" style="1"/>
    <col min="8705" max="8705" width="1.5703125" style="1" customWidth="1"/>
    <col min="8706" max="8706" width="16.7109375" style="1" customWidth="1"/>
    <col min="8707" max="8707" width="11.5703125" style="1" customWidth="1"/>
    <col min="8708" max="8708" width="9.140625" style="1" customWidth="1"/>
    <col min="8709" max="8709" width="8.140625" style="1" customWidth="1"/>
    <col min="8710" max="8710" width="6.5703125" style="1" customWidth="1"/>
    <col min="8711" max="8711" width="24.140625" style="1" customWidth="1"/>
    <col min="8712" max="8712" width="7.85546875" style="1" customWidth="1"/>
    <col min="8713" max="8713" width="13.28515625" style="1" customWidth="1"/>
    <col min="8714" max="8717" width="7.42578125" style="1" customWidth="1"/>
    <col min="8718" max="8718" width="18.5703125" style="1" customWidth="1"/>
    <col min="8719" max="8719" width="10" style="1" customWidth="1"/>
    <col min="8720" max="8722" width="7.42578125" style="1" customWidth="1"/>
    <col min="8723" max="8723" width="9.140625" style="1" bestFit="1" customWidth="1"/>
    <col min="8724" max="8724" width="4.85546875" style="1" customWidth="1"/>
    <col min="8725" max="8725" width="7.28515625" style="1"/>
    <col min="8726" max="8726" width="0" style="1" hidden="1" customWidth="1"/>
    <col min="8727" max="8960" width="7.28515625" style="1"/>
    <col min="8961" max="8961" width="1.5703125" style="1" customWidth="1"/>
    <col min="8962" max="8962" width="16.7109375" style="1" customWidth="1"/>
    <col min="8963" max="8963" width="11.5703125" style="1" customWidth="1"/>
    <col min="8964" max="8964" width="9.140625" style="1" customWidth="1"/>
    <col min="8965" max="8965" width="8.140625" style="1" customWidth="1"/>
    <col min="8966" max="8966" width="6.5703125" style="1" customWidth="1"/>
    <col min="8967" max="8967" width="24.140625" style="1" customWidth="1"/>
    <col min="8968" max="8968" width="7.85546875" style="1" customWidth="1"/>
    <col min="8969" max="8969" width="13.28515625" style="1" customWidth="1"/>
    <col min="8970" max="8973" width="7.42578125" style="1" customWidth="1"/>
    <col min="8974" max="8974" width="18.5703125" style="1" customWidth="1"/>
    <col min="8975" max="8975" width="10" style="1" customWidth="1"/>
    <col min="8976" max="8978" width="7.42578125" style="1" customWidth="1"/>
    <col min="8979" max="8979" width="9.140625" style="1" bestFit="1" customWidth="1"/>
    <col min="8980" max="8980" width="4.85546875" style="1" customWidth="1"/>
    <col min="8981" max="8981" width="7.28515625" style="1"/>
    <col min="8982" max="8982" width="0" style="1" hidden="1" customWidth="1"/>
    <col min="8983" max="9216" width="7.28515625" style="1"/>
    <col min="9217" max="9217" width="1.5703125" style="1" customWidth="1"/>
    <col min="9218" max="9218" width="16.7109375" style="1" customWidth="1"/>
    <col min="9219" max="9219" width="11.5703125" style="1" customWidth="1"/>
    <col min="9220" max="9220" width="9.140625" style="1" customWidth="1"/>
    <col min="9221" max="9221" width="8.140625" style="1" customWidth="1"/>
    <col min="9222" max="9222" width="6.5703125" style="1" customWidth="1"/>
    <col min="9223" max="9223" width="24.140625" style="1" customWidth="1"/>
    <col min="9224" max="9224" width="7.85546875" style="1" customWidth="1"/>
    <col min="9225" max="9225" width="13.28515625" style="1" customWidth="1"/>
    <col min="9226" max="9229" width="7.42578125" style="1" customWidth="1"/>
    <col min="9230" max="9230" width="18.5703125" style="1" customWidth="1"/>
    <col min="9231" max="9231" width="10" style="1" customWidth="1"/>
    <col min="9232" max="9234" width="7.42578125" style="1" customWidth="1"/>
    <col min="9235" max="9235" width="9.140625" style="1" bestFit="1" customWidth="1"/>
    <col min="9236" max="9236" width="4.85546875" style="1" customWidth="1"/>
    <col min="9237" max="9237" width="7.28515625" style="1"/>
    <col min="9238" max="9238" width="0" style="1" hidden="1" customWidth="1"/>
    <col min="9239" max="9472" width="7.28515625" style="1"/>
    <col min="9473" max="9473" width="1.5703125" style="1" customWidth="1"/>
    <col min="9474" max="9474" width="16.7109375" style="1" customWidth="1"/>
    <col min="9475" max="9475" width="11.5703125" style="1" customWidth="1"/>
    <col min="9476" max="9476" width="9.140625" style="1" customWidth="1"/>
    <col min="9477" max="9477" width="8.140625" style="1" customWidth="1"/>
    <col min="9478" max="9478" width="6.5703125" style="1" customWidth="1"/>
    <col min="9479" max="9479" width="24.140625" style="1" customWidth="1"/>
    <col min="9480" max="9480" width="7.85546875" style="1" customWidth="1"/>
    <col min="9481" max="9481" width="13.28515625" style="1" customWidth="1"/>
    <col min="9482" max="9485" width="7.42578125" style="1" customWidth="1"/>
    <col min="9486" max="9486" width="18.5703125" style="1" customWidth="1"/>
    <col min="9487" max="9487" width="10" style="1" customWidth="1"/>
    <col min="9488" max="9490" width="7.42578125" style="1" customWidth="1"/>
    <col min="9491" max="9491" width="9.140625" style="1" bestFit="1" customWidth="1"/>
    <col min="9492" max="9492" width="4.85546875" style="1" customWidth="1"/>
    <col min="9493" max="9493" width="7.28515625" style="1"/>
    <col min="9494" max="9494" width="0" style="1" hidden="1" customWidth="1"/>
    <col min="9495" max="9728" width="7.28515625" style="1"/>
    <col min="9729" max="9729" width="1.5703125" style="1" customWidth="1"/>
    <col min="9730" max="9730" width="16.7109375" style="1" customWidth="1"/>
    <col min="9731" max="9731" width="11.5703125" style="1" customWidth="1"/>
    <col min="9732" max="9732" width="9.140625" style="1" customWidth="1"/>
    <col min="9733" max="9733" width="8.140625" style="1" customWidth="1"/>
    <col min="9734" max="9734" width="6.5703125" style="1" customWidth="1"/>
    <col min="9735" max="9735" width="24.140625" style="1" customWidth="1"/>
    <col min="9736" max="9736" width="7.85546875" style="1" customWidth="1"/>
    <col min="9737" max="9737" width="13.28515625" style="1" customWidth="1"/>
    <col min="9738" max="9741" width="7.42578125" style="1" customWidth="1"/>
    <col min="9742" max="9742" width="18.5703125" style="1" customWidth="1"/>
    <col min="9743" max="9743" width="10" style="1" customWidth="1"/>
    <col min="9744" max="9746" width="7.42578125" style="1" customWidth="1"/>
    <col min="9747" max="9747" width="9.140625" style="1" bestFit="1" customWidth="1"/>
    <col min="9748" max="9748" width="4.85546875" style="1" customWidth="1"/>
    <col min="9749" max="9749" width="7.28515625" style="1"/>
    <col min="9750" max="9750" width="0" style="1" hidden="1" customWidth="1"/>
    <col min="9751" max="9984" width="7.28515625" style="1"/>
    <col min="9985" max="9985" width="1.5703125" style="1" customWidth="1"/>
    <col min="9986" max="9986" width="16.7109375" style="1" customWidth="1"/>
    <col min="9987" max="9987" width="11.5703125" style="1" customWidth="1"/>
    <col min="9988" max="9988" width="9.140625" style="1" customWidth="1"/>
    <col min="9989" max="9989" width="8.140625" style="1" customWidth="1"/>
    <col min="9990" max="9990" width="6.5703125" style="1" customWidth="1"/>
    <col min="9991" max="9991" width="24.140625" style="1" customWidth="1"/>
    <col min="9992" max="9992" width="7.85546875" style="1" customWidth="1"/>
    <col min="9993" max="9993" width="13.28515625" style="1" customWidth="1"/>
    <col min="9994" max="9997" width="7.42578125" style="1" customWidth="1"/>
    <col min="9998" max="9998" width="18.5703125" style="1" customWidth="1"/>
    <col min="9999" max="9999" width="10" style="1" customWidth="1"/>
    <col min="10000" max="10002" width="7.42578125" style="1" customWidth="1"/>
    <col min="10003" max="10003" width="9.140625" style="1" bestFit="1" customWidth="1"/>
    <col min="10004" max="10004" width="4.85546875" style="1" customWidth="1"/>
    <col min="10005" max="10005" width="7.28515625" style="1"/>
    <col min="10006" max="10006" width="0" style="1" hidden="1" customWidth="1"/>
    <col min="10007" max="10240" width="7.28515625" style="1"/>
    <col min="10241" max="10241" width="1.5703125" style="1" customWidth="1"/>
    <col min="10242" max="10242" width="16.7109375" style="1" customWidth="1"/>
    <col min="10243" max="10243" width="11.5703125" style="1" customWidth="1"/>
    <col min="10244" max="10244" width="9.140625" style="1" customWidth="1"/>
    <col min="10245" max="10245" width="8.140625" style="1" customWidth="1"/>
    <col min="10246" max="10246" width="6.5703125" style="1" customWidth="1"/>
    <col min="10247" max="10247" width="24.140625" style="1" customWidth="1"/>
    <col min="10248" max="10248" width="7.85546875" style="1" customWidth="1"/>
    <col min="10249" max="10249" width="13.28515625" style="1" customWidth="1"/>
    <col min="10250" max="10253" width="7.42578125" style="1" customWidth="1"/>
    <col min="10254" max="10254" width="18.5703125" style="1" customWidth="1"/>
    <col min="10255" max="10255" width="10" style="1" customWidth="1"/>
    <col min="10256" max="10258" width="7.42578125" style="1" customWidth="1"/>
    <col min="10259" max="10259" width="9.140625" style="1" bestFit="1" customWidth="1"/>
    <col min="10260" max="10260" width="4.85546875" style="1" customWidth="1"/>
    <col min="10261" max="10261" width="7.28515625" style="1"/>
    <col min="10262" max="10262" width="0" style="1" hidden="1" customWidth="1"/>
    <col min="10263" max="10496" width="7.28515625" style="1"/>
    <col min="10497" max="10497" width="1.5703125" style="1" customWidth="1"/>
    <col min="10498" max="10498" width="16.7109375" style="1" customWidth="1"/>
    <col min="10499" max="10499" width="11.5703125" style="1" customWidth="1"/>
    <col min="10500" max="10500" width="9.140625" style="1" customWidth="1"/>
    <col min="10501" max="10501" width="8.140625" style="1" customWidth="1"/>
    <col min="10502" max="10502" width="6.5703125" style="1" customWidth="1"/>
    <col min="10503" max="10503" width="24.140625" style="1" customWidth="1"/>
    <col min="10504" max="10504" width="7.85546875" style="1" customWidth="1"/>
    <col min="10505" max="10505" width="13.28515625" style="1" customWidth="1"/>
    <col min="10506" max="10509" width="7.42578125" style="1" customWidth="1"/>
    <col min="10510" max="10510" width="18.5703125" style="1" customWidth="1"/>
    <col min="10511" max="10511" width="10" style="1" customWidth="1"/>
    <col min="10512" max="10514" width="7.42578125" style="1" customWidth="1"/>
    <col min="10515" max="10515" width="9.140625" style="1" bestFit="1" customWidth="1"/>
    <col min="10516" max="10516" width="4.85546875" style="1" customWidth="1"/>
    <col min="10517" max="10517" width="7.28515625" style="1"/>
    <col min="10518" max="10518" width="0" style="1" hidden="1" customWidth="1"/>
    <col min="10519" max="10752" width="7.28515625" style="1"/>
    <col min="10753" max="10753" width="1.5703125" style="1" customWidth="1"/>
    <col min="10754" max="10754" width="16.7109375" style="1" customWidth="1"/>
    <col min="10755" max="10755" width="11.5703125" style="1" customWidth="1"/>
    <col min="10756" max="10756" width="9.140625" style="1" customWidth="1"/>
    <col min="10757" max="10757" width="8.140625" style="1" customWidth="1"/>
    <col min="10758" max="10758" width="6.5703125" style="1" customWidth="1"/>
    <col min="10759" max="10759" width="24.140625" style="1" customWidth="1"/>
    <col min="10760" max="10760" width="7.85546875" style="1" customWidth="1"/>
    <col min="10761" max="10761" width="13.28515625" style="1" customWidth="1"/>
    <col min="10762" max="10765" width="7.42578125" style="1" customWidth="1"/>
    <col min="10766" max="10766" width="18.5703125" style="1" customWidth="1"/>
    <col min="10767" max="10767" width="10" style="1" customWidth="1"/>
    <col min="10768" max="10770" width="7.42578125" style="1" customWidth="1"/>
    <col min="10771" max="10771" width="9.140625" style="1" bestFit="1" customWidth="1"/>
    <col min="10772" max="10772" width="4.85546875" style="1" customWidth="1"/>
    <col min="10773" max="10773" width="7.28515625" style="1"/>
    <col min="10774" max="10774" width="0" style="1" hidden="1" customWidth="1"/>
    <col min="10775" max="11008" width="7.28515625" style="1"/>
    <col min="11009" max="11009" width="1.5703125" style="1" customWidth="1"/>
    <col min="11010" max="11010" width="16.7109375" style="1" customWidth="1"/>
    <col min="11011" max="11011" width="11.5703125" style="1" customWidth="1"/>
    <col min="11012" max="11012" width="9.140625" style="1" customWidth="1"/>
    <col min="11013" max="11013" width="8.140625" style="1" customWidth="1"/>
    <col min="11014" max="11014" width="6.5703125" style="1" customWidth="1"/>
    <col min="11015" max="11015" width="24.140625" style="1" customWidth="1"/>
    <col min="11016" max="11016" width="7.85546875" style="1" customWidth="1"/>
    <col min="11017" max="11017" width="13.28515625" style="1" customWidth="1"/>
    <col min="11018" max="11021" width="7.42578125" style="1" customWidth="1"/>
    <col min="11022" max="11022" width="18.5703125" style="1" customWidth="1"/>
    <col min="11023" max="11023" width="10" style="1" customWidth="1"/>
    <col min="11024" max="11026" width="7.42578125" style="1" customWidth="1"/>
    <col min="11027" max="11027" width="9.140625" style="1" bestFit="1" customWidth="1"/>
    <col min="11028" max="11028" width="4.85546875" style="1" customWidth="1"/>
    <col min="11029" max="11029" width="7.28515625" style="1"/>
    <col min="11030" max="11030" width="0" style="1" hidden="1" customWidth="1"/>
    <col min="11031" max="11264" width="7.28515625" style="1"/>
    <col min="11265" max="11265" width="1.5703125" style="1" customWidth="1"/>
    <col min="11266" max="11266" width="16.7109375" style="1" customWidth="1"/>
    <col min="11267" max="11267" width="11.5703125" style="1" customWidth="1"/>
    <col min="11268" max="11268" width="9.140625" style="1" customWidth="1"/>
    <col min="11269" max="11269" width="8.140625" style="1" customWidth="1"/>
    <col min="11270" max="11270" width="6.5703125" style="1" customWidth="1"/>
    <col min="11271" max="11271" width="24.140625" style="1" customWidth="1"/>
    <col min="11272" max="11272" width="7.85546875" style="1" customWidth="1"/>
    <col min="11273" max="11273" width="13.28515625" style="1" customWidth="1"/>
    <col min="11274" max="11277" width="7.42578125" style="1" customWidth="1"/>
    <col min="11278" max="11278" width="18.5703125" style="1" customWidth="1"/>
    <col min="11279" max="11279" width="10" style="1" customWidth="1"/>
    <col min="11280" max="11282" width="7.42578125" style="1" customWidth="1"/>
    <col min="11283" max="11283" width="9.140625" style="1" bestFit="1" customWidth="1"/>
    <col min="11284" max="11284" width="4.85546875" style="1" customWidth="1"/>
    <col min="11285" max="11285" width="7.28515625" style="1"/>
    <col min="11286" max="11286" width="0" style="1" hidden="1" customWidth="1"/>
    <col min="11287" max="11520" width="7.28515625" style="1"/>
    <col min="11521" max="11521" width="1.5703125" style="1" customWidth="1"/>
    <col min="11522" max="11522" width="16.7109375" style="1" customWidth="1"/>
    <col min="11523" max="11523" width="11.5703125" style="1" customWidth="1"/>
    <col min="11524" max="11524" width="9.140625" style="1" customWidth="1"/>
    <col min="11525" max="11525" width="8.140625" style="1" customWidth="1"/>
    <col min="11526" max="11526" width="6.5703125" style="1" customWidth="1"/>
    <col min="11527" max="11527" width="24.140625" style="1" customWidth="1"/>
    <col min="11528" max="11528" width="7.85546875" style="1" customWidth="1"/>
    <col min="11529" max="11529" width="13.28515625" style="1" customWidth="1"/>
    <col min="11530" max="11533" width="7.42578125" style="1" customWidth="1"/>
    <col min="11534" max="11534" width="18.5703125" style="1" customWidth="1"/>
    <col min="11535" max="11535" width="10" style="1" customWidth="1"/>
    <col min="11536" max="11538" width="7.42578125" style="1" customWidth="1"/>
    <col min="11539" max="11539" width="9.140625" style="1" bestFit="1" customWidth="1"/>
    <col min="11540" max="11540" width="4.85546875" style="1" customWidth="1"/>
    <col min="11541" max="11541" width="7.28515625" style="1"/>
    <col min="11542" max="11542" width="0" style="1" hidden="1" customWidth="1"/>
    <col min="11543" max="11776" width="7.28515625" style="1"/>
    <col min="11777" max="11777" width="1.5703125" style="1" customWidth="1"/>
    <col min="11778" max="11778" width="16.7109375" style="1" customWidth="1"/>
    <col min="11779" max="11779" width="11.5703125" style="1" customWidth="1"/>
    <col min="11780" max="11780" width="9.140625" style="1" customWidth="1"/>
    <col min="11781" max="11781" width="8.140625" style="1" customWidth="1"/>
    <col min="11782" max="11782" width="6.5703125" style="1" customWidth="1"/>
    <col min="11783" max="11783" width="24.140625" style="1" customWidth="1"/>
    <col min="11784" max="11784" width="7.85546875" style="1" customWidth="1"/>
    <col min="11785" max="11785" width="13.28515625" style="1" customWidth="1"/>
    <col min="11786" max="11789" width="7.42578125" style="1" customWidth="1"/>
    <col min="11790" max="11790" width="18.5703125" style="1" customWidth="1"/>
    <col min="11791" max="11791" width="10" style="1" customWidth="1"/>
    <col min="11792" max="11794" width="7.42578125" style="1" customWidth="1"/>
    <col min="11795" max="11795" width="9.140625" style="1" bestFit="1" customWidth="1"/>
    <col min="11796" max="11796" width="4.85546875" style="1" customWidth="1"/>
    <col min="11797" max="11797" width="7.28515625" style="1"/>
    <col min="11798" max="11798" width="0" style="1" hidden="1" customWidth="1"/>
    <col min="11799" max="12032" width="7.28515625" style="1"/>
    <col min="12033" max="12033" width="1.5703125" style="1" customWidth="1"/>
    <col min="12034" max="12034" width="16.7109375" style="1" customWidth="1"/>
    <col min="12035" max="12035" width="11.5703125" style="1" customWidth="1"/>
    <col min="12036" max="12036" width="9.140625" style="1" customWidth="1"/>
    <col min="12037" max="12037" width="8.140625" style="1" customWidth="1"/>
    <col min="12038" max="12038" width="6.5703125" style="1" customWidth="1"/>
    <col min="12039" max="12039" width="24.140625" style="1" customWidth="1"/>
    <col min="12040" max="12040" width="7.85546875" style="1" customWidth="1"/>
    <col min="12041" max="12041" width="13.28515625" style="1" customWidth="1"/>
    <col min="12042" max="12045" width="7.42578125" style="1" customWidth="1"/>
    <col min="12046" max="12046" width="18.5703125" style="1" customWidth="1"/>
    <col min="12047" max="12047" width="10" style="1" customWidth="1"/>
    <col min="12048" max="12050" width="7.42578125" style="1" customWidth="1"/>
    <col min="12051" max="12051" width="9.140625" style="1" bestFit="1" customWidth="1"/>
    <col min="12052" max="12052" width="4.85546875" style="1" customWidth="1"/>
    <col min="12053" max="12053" width="7.28515625" style="1"/>
    <col min="12054" max="12054" width="0" style="1" hidden="1" customWidth="1"/>
    <col min="12055" max="12288" width="7.28515625" style="1"/>
    <col min="12289" max="12289" width="1.5703125" style="1" customWidth="1"/>
    <col min="12290" max="12290" width="16.7109375" style="1" customWidth="1"/>
    <col min="12291" max="12291" width="11.5703125" style="1" customWidth="1"/>
    <col min="12292" max="12292" width="9.140625" style="1" customWidth="1"/>
    <col min="12293" max="12293" width="8.140625" style="1" customWidth="1"/>
    <col min="12294" max="12294" width="6.5703125" style="1" customWidth="1"/>
    <col min="12295" max="12295" width="24.140625" style="1" customWidth="1"/>
    <col min="12296" max="12296" width="7.85546875" style="1" customWidth="1"/>
    <col min="12297" max="12297" width="13.28515625" style="1" customWidth="1"/>
    <col min="12298" max="12301" width="7.42578125" style="1" customWidth="1"/>
    <col min="12302" max="12302" width="18.5703125" style="1" customWidth="1"/>
    <col min="12303" max="12303" width="10" style="1" customWidth="1"/>
    <col min="12304" max="12306" width="7.42578125" style="1" customWidth="1"/>
    <col min="12307" max="12307" width="9.140625" style="1" bestFit="1" customWidth="1"/>
    <col min="12308" max="12308" width="4.85546875" style="1" customWidth="1"/>
    <col min="12309" max="12309" width="7.28515625" style="1"/>
    <col min="12310" max="12310" width="0" style="1" hidden="1" customWidth="1"/>
    <col min="12311" max="12544" width="7.28515625" style="1"/>
    <col min="12545" max="12545" width="1.5703125" style="1" customWidth="1"/>
    <col min="12546" max="12546" width="16.7109375" style="1" customWidth="1"/>
    <col min="12547" max="12547" width="11.5703125" style="1" customWidth="1"/>
    <col min="12548" max="12548" width="9.140625" style="1" customWidth="1"/>
    <col min="12549" max="12549" width="8.140625" style="1" customWidth="1"/>
    <col min="12550" max="12550" width="6.5703125" style="1" customWidth="1"/>
    <col min="12551" max="12551" width="24.140625" style="1" customWidth="1"/>
    <col min="12552" max="12552" width="7.85546875" style="1" customWidth="1"/>
    <col min="12553" max="12553" width="13.28515625" style="1" customWidth="1"/>
    <col min="12554" max="12557" width="7.42578125" style="1" customWidth="1"/>
    <col min="12558" max="12558" width="18.5703125" style="1" customWidth="1"/>
    <col min="12559" max="12559" width="10" style="1" customWidth="1"/>
    <col min="12560" max="12562" width="7.42578125" style="1" customWidth="1"/>
    <col min="12563" max="12563" width="9.140625" style="1" bestFit="1" customWidth="1"/>
    <col min="12564" max="12564" width="4.85546875" style="1" customWidth="1"/>
    <col min="12565" max="12565" width="7.28515625" style="1"/>
    <col min="12566" max="12566" width="0" style="1" hidden="1" customWidth="1"/>
    <col min="12567" max="12800" width="7.28515625" style="1"/>
    <col min="12801" max="12801" width="1.5703125" style="1" customWidth="1"/>
    <col min="12802" max="12802" width="16.7109375" style="1" customWidth="1"/>
    <col min="12803" max="12803" width="11.5703125" style="1" customWidth="1"/>
    <col min="12804" max="12804" width="9.140625" style="1" customWidth="1"/>
    <col min="12805" max="12805" width="8.140625" style="1" customWidth="1"/>
    <col min="12806" max="12806" width="6.5703125" style="1" customWidth="1"/>
    <col min="12807" max="12807" width="24.140625" style="1" customWidth="1"/>
    <col min="12808" max="12808" width="7.85546875" style="1" customWidth="1"/>
    <col min="12809" max="12809" width="13.28515625" style="1" customWidth="1"/>
    <col min="12810" max="12813" width="7.42578125" style="1" customWidth="1"/>
    <col min="12814" max="12814" width="18.5703125" style="1" customWidth="1"/>
    <col min="12815" max="12815" width="10" style="1" customWidth="1"/>
    <col min="12816" max="12818" width="7.42578125" style="1" customWidth="1"/>
    <col min="12819" max="12819" width="9.140625" style="1" bestFit="1" customWidth="1"/>
    <col min="12820" max="12820" width="4.85546875" style="1" customWidth="1"/>
    <col min="12821" max="12821" width="7.28515625" style="1"/>
    <col min="12822" max="12822" width="0" style="1" hidden="1" customWidth="1"/>
    <col min="12823" max="13056" width="7.28515625" style="1"/>
    <col min="13057" max="13057" width="1.5703125" style="1" customWidth="1"/>
    <col min="13058" max="13058" width="16.7109375" style="1" customWidth="1"/>
    <col min="13059" max="13059" width="11.5703125" style="1" customWidth="1"/>
    <col min="13060" max="13060" width="9.140625" style="1" customWidth="1"/>
    <col min="13061" max="13061" width="8.140625" style="1" customWidth="1"/>
    <col min="13062" max="13062" width="6.5703125" style="1" customWidth="1"/>
    <col min="13063" max="13063" width="24.140625" style="1" customWidth="1"/>
    <col min="13064" max="13064" width="7.85546875" style="1" customWidth="1"/>
    <col min="13065" max="13065" width="13.28515625" style="1" customWidth="1"/>
    <col min="13066" max="13069" width="7.42578125" style="1" customWidth="1"/>
    <col min="13070" max="13070" width="18.5703125" style="1" customWidth="1"/>
    <col min="13071" max="13071" width="10" style="1" customWidth="1"/>
    <col min="13072" max="13074" width="7.42578125" style="1" customWidth="1"/>
    <col min="13075" max="13075" width="9.140625" style="1" bestFit="1" customWidth="1"/>
    <col min="13076" max="13076" width="4.85546875" style="1" customWidth="1"/>
    <col min="13077" max="13077" width="7.28515625" style="1"/>
    <col min="13078" max="13078" width="0" style="1" hidden="1" customWidth="1"/>
    <col min="13079" max="13312" width="7.28515625" style="1"/>
    <col min="13313" max="13313" width="1.5703125" style="1" customWidth="1"/>
    <col min="13314" max="13314" width="16.7109375" style="1" customWidth="1"/>
    <col min="13315" max="13315" width="11.5703125" style="1" customWidth="1"/>
    <col min="13316" max="13316" width="9.140625" style="1" customWidth="1"/>
    <col min="13317" max="13317" width="8.140625" style="1" customWidth="1"/>
    <col min="13318" max="13318" width="6.5703125" style="1" customWidth="1"/>
    <col min="13319" max="13319" width="24.140625" style="1" customWidth="1"/>
    <col min="13320" max="13320" width="7.85546875" style="1" customWidth="1"/>
    <col min="13321" max="13321" width="13.28515625" style="1" customWidth="1"/>
    <col min="13322" max="13325" width="7.42578125" style="1" customWidth="1"/>
    <col min="13326" max="13326" width="18.5703125" style="1" customWidth="1"/>
    <col min="13327" max="13327" width="10" style="1" customWidth="1"/>
    <col min="13328" max="13330" width="7.42578125" style="1" customWidth="1"/>
    <col min="13331" max="13331" width="9.140625" style="1" bestFit="1" customWidth="1"/>
    <col min="13332" max="13332" width="4.85546875" style="1" customWidth="1"/>
    <col min="13333" max="13333" width="7.28515625" style="1"/>
    <col min="13334" max="13334" width="0" style="1" hidden="1" customWidth="1"/>
    <col min="13335" max="13568" width="7.28515625" style="1"/>
    <col min="13569" max="13569" width="1.5703125" style="1" customWidth="1"/>
    <col min="13570" max="13570" width="16.7109375" style="1" customWidth="1"/>
    <col min="13571" max="13571" width="11.5703125" style="1" customWidth="1"/>
    <col min="13572" max="13572" width="9.140625" style="1" customWidth="1"/>
    <col min="13573" max="13573" width="8.140625" style="1" customWidth="1"/>
    <col min="13574" max="13574" width="6.5703125" style="1" customWidth="1"/>
    <col min="13575" max="13575" width="24.140625" style="1" customWidth="1"/>
    <col min="13576" max="13576" width="7.85546875" style="1" customWidth="1"/>
    <col min="13577" max="13577" width="13.28515625" style="1" customWidth="1"/>
    <col min="13578" max="13581" width="7.42578125" style="1" customWidth="1"/>
    <col min="13582" max="13582" width="18.5703125" style="1" customWidth="1"/>
    <col min="13583" max="13583" width="10" style="1" customWidth="1"/>
    <col min="13584" max="13586" width="7.42578125" style="1" customWidth="1"/>
    <col min="13587" max="13587" width="9.140625" style="1" bestFit="1" customWidth="1"/>
    <col min="13588" max="13588" width="4.85546875" style="1" customWidth="1"/>
    <col min="13589" max="13589" width="7.28515625" style="1"/>
    <col min="13590" max="13590" width="0" style="1" hidden="1" customWidth="1"/>
    <col min="13591" max="13824" width="7.28515625" style="1"/>
    <col min="13825" max="13825" width="1.5703125" style="1" customWidth="1"/>
    <col min="13826" max="13826" width="16.7109375" style="1" customWidth="1"/>
    <col min="13827" max="13827" width="11.5703125" style="1" customWidth="1"/>
    <col min="13828" max="13828" width="9.140625" style="1" customWidth="1"/>
    <col min="13829" max="13829" width="8.140625" style="1" customWidth="1"/>
    <col min="13830" max="13830" width="6.5703125" style="1" customWidth="1"/>
    <col min="13831" max="13831" width="24.140625" style="1" customWidth="1"/>
    <col min="13832" max="13832" width="7.85546875" style="1" customWidth="1"/>
    <col min="13833" max="13833" width="13.28515625" style="1" customWidth="1"/>
    <col min="13834" max="13837" width="7.42578125" style="1" customWidth="1"/>
    <col min="13838" max="13838" width="18.5703125" style="1" customWidth="1"/>
    <col min="13839" max="13839" width="10" style="1" customWidth="1"/>
    <col min="13840" max="13842" width="7.42578125" style="1" customWidth="1"/>
    <col min="13843" max="13843" width="9.140625" style="1" bestFit="1" customWidth="1"/>
    <col min="13844" max="13844" width="4.85546875" style="1" customWidth="1"/>
    <col min="13845" max="13845" width="7.28515625" style="1"/>
    <col min="13846" max="13846" width="0" style="1" hidden="1" customWidth="1"/>
    <col min="13847" max="14080" width="7.28515625" style="1"/>
    <col min="14081" max="14081" width="1.5703125" style="1" customWidth="1"/>
    <col min="14082" max="14082" width="16.7109375" style="1" customWidth="1"/>
    <col min="14083" max="14083" width="11.5703125" style="1" customWidth="1"/>
    <col min="14084" max="14084" width="9.140625" style="1" customWidth="1"/>
    <col min="14085" max="14085" width="8.140625" style="1" customWidth="1"/>
    <col min="14086" max="14086" width="6.5703125" style="1" customWidth="1"/>
    <col min="14087" max="14087" width="24.140625" style="1" customWidth="1"/>
    <col min="14088" max="14088" width="7.85546875" style="1" customWidth="1"/>
    <col min="14089" max="14089" width="13.28515625" style="1" customWidth="1"/>
    <col min="14090" max="14093" width="7.42578125" style="1" customWidth="1"/>
    <col min="14094" max="14094" width="18.5703125" style="1" customWidth="1"/>
    <col min="14095" max="14095" width="10" style="1" customWidth="1"/>
    <col min="14096" max="14098" width="7.42578125" style="1" customWidth="1"/>
    <col min="14099" max="14099" width="9.140625" style="1" bestFit="1" customWidth="1"/>
    <col min="14100" max="14100" width="4.85546875" style="1" customWidth="1"/>
    <col min="14101" max="14101" width="7.28515625" style="1"/>
    <col min="14102" max="14102" width="0" style="1" hidden="1" customWidth="1"/>
    <col min="14103" max="14336" width="7.28515625" style="1"/>
    <col min="14337" max="14337" width="1.5703125" style="1" customWidth="1"/>
    <col min="14338" max="14338" width="16.7109375" style="1" customWidth="1"/>
    <col min="14339" max="14339" width="11.5703125" style="1" customWidth="1"/>
    <col min="14340" max="14340" width="9.140625" style="1" customWidth="1"/>
    <col min="14341" max="14341" width="8.140625" style="1" customWidth="1"/>
    <col min="14342" max="14342" width="6.5703125" style="1" customWidth="1"/>
    <col min="14343" max="14343" width="24.140625" style="1" customWidth="1"/>
    <col min="14344" max="14344" width="7.85546875" style="1" customWidth="1"/>
    <col min="14345" max="14345" width="13.28515625" style="1" customWidth="1"/>
    <col min="14346" max="14349" width="7.42578125" style="1" customWidth="1"/>
    <col min="14350" max="14350" width="18.5703125" style="1" customWidth="1"/>
    <col min="14351" max="14351" width="10" style="1" customWidth="1"/>
    <col min="14352" max="14354" width="7.42578125" style="1" customWidth="1"/>
    <col min="14355" max="14355" width="9.140625" style="1" bestFit="1" customWidth="1"/>
    <col min="14356" max="14356" width="4.85546875" style="1" customWidth="1"/>
    <col min="14357" max="14357" width="7.28515625" style="1"/>
    <col min="14358" max="14358" width="0" style="1" hidden="1" customWidth="1"/>
    <col min="14359" max="14592" width="7.28515625" style="1"/>
    <col min="14593" max="14593" width="1.5703125" style="1" customWidth="1"/>
    <col min="14594" max="14594" width="16.7109375" style="1" customWidth="1"/>
    <col min="14595" max="14595" width="11.5703125" style="1" customWidth="1"/>
    <col min="14596" max="14596" width="9.140625" style="1" customWidth="1"/>
    <col min="14597" max="14597" width="8.140625" style="1" customWidth="1"/>
    <col min="14598" max="14598" width="6.5703125" style="1" customWidth="1"/>
    <col min="14599" max="14599" width="24.140625" style="1" customWidth="1"/>
    <col min="14600" max="14600" width="7.85546875" style="1" customWidth="1"/>
    <col min="14601" max="14601" width="13.28515625" style="1" customWidth="1"/>
    <col min="14602" max="14605" width="7.42578125" style="1" customWidth="1"/>
    <col min="14606" max="14606" width="18.5703125" style="1" customWidth="1"/>
    <col min="14607" max="14607" width="10" style="1" customWidth="1"/>
    <col min="14608" max="14610" width="7.42578125" style="1" customWidth="1"/>
    <col min="14611" max="14611" width="9.140625" style="1" bestFit="1" customWidth="1"/>
    <col min="14612" max="14612" width="4.85546875" style="1" customWidth="1"/>
    <col min="14613" max="14613" width="7.28515625" style="1"/>
    <col min="14614" max="14614" width="0" style="1" hidden="1" customWidth="1"/>
    <col min="14615" max="14848" width="7.28515625" style="1"/>
    <col min="14849" max="14849" width="1.5703125" style="1" customWidth="1"/>
    <col min="14850" max="14850" width="16.7109375" style="1" customWidth="1"/>
    <col min="14851" max="14851" width="11.5703125" style="1" customWidth="1"/>
    <col min="14852" max="14852" width="9.140625" style="1" customWidth="1"/>
    <col min="14853" max="14853" width="8.140625" style="1" customWidth="1"/>
    <col min="14854" max="14854" width="6.5703125" style="1" customWidth="1"/>
    <col min="14855" max="14855" width="24.140625" style="1" customWidth="1"/>
    <col min="14856" max="14856" width="7.85546875" style="1" customWidth="1"/>
    <col min="14857" max="14857" width="13.28515625" style="1" customWidth="1"/>
    <col min="14858" max="14861" width="7.42578125" style="1" customWidth="1"/>
    <col min="14862" max="14862" width="18.5703125" style="1" customWidth="1"/>
    <col min="14863" max="14863" width="10" style="1" customWidth="1"/>
    <col min="14864" max="14866" width="7.42578125" style="1" customWidth="1"/>
    <col min="14867" max="14867" width="9.140625" style="1" bestFit="1" customWidth="1"/>
    <col min="14868" max="14868" width="4.85546875" style="1" customWidth="1"/>
    <col min="14869" max="14869" width="7.28515625" style="1"/>
    <col min="14870" max="14870" width="0" style="1" hidden="1" customWidth="1"/>
    <col min="14871" max="15104" width="7.28515625" style="1"/>
    <col min="15105" max="15105" width="1.5703125" style="1" customWidth="1"/>
    <col min="15106" max="15106" width="16.7109375" style="1" customWidth="1"/>
    <col min="15107" max="15107" width="11.5703125" style="1" customWidth="1"/>
    <col min="15108" max="15108" width="9.140625" style="1" customWidth="1"/>
    <col min="15109" max="15109" width="8.140625" style="1" customWidth="1"/>
    <col min="15110" max="15110" width="6.5703125" style="1" customWidth="1"/>
    <col min="15111" max="15111" width="24.140625" style="1" customWidth="1"/>
    <col min="15112" max="15112" width="7.85546875" style="1" customWidth="1"/>
    <col min="15113" max="15113" width="13.28515625" style="1" customWidth="1"/>
    <col min="15114" max="15117" width="7.42578125" style="1" customWidth="1"/>
    <col min="15118" max="15118" width="18.5703125" style="1" customWidth="1"/>
    <col min="15119" max="15119" width="10" style="1" customWidth="1"/>
    <col min="15120" max="15122" width="7.42578125" style="1" customWidth="1"/>
    <col min="15123" max="15123" width="9.140625" style="1" bestFit="1" customWidth="1"/>
    <col min="15124" max="15124" width="4.85546875" style="1" customWidth="1"/>
    <col min="15125" max="15125" width="7.28515625" style="1"/>
    <col min="15126" max="15126" width="0" style="1" hidden="1" customWidth="1"/>
    <col min="15127" max="15360" width="7.28515625" style="1"/>
    <col min="15361" max="15361" width="1.5703125" style="1" customWidth="1"/>
    <col min="15362" max="15362" width="16.7109375" style="1" customWidth="1"/>
    <col min="15363" max="15363" width="11.5703125" style="1" customWidth="1"/>
    <col min="15364" max="15364" width="9.140625" style="1" customWidth="1"/>
    <col min="15365" max="15365" width="8.140625" style="1" customWidth="1"/>
    <col min="15366" max="15366" width="6.5703125" style="1" customWidth="1"/>
    <col min="15367" max="15367" width="24.140625" style="1" customWidth="1"/>
    <col min="15368" max="15368" width="7.85546875" style="1" customWidth="1"/>
    <col min="15369" max="15369" width="13.28515625" style="1" customWidth="1"/>
    <col min="15370" max="15373" width="7.42578125" style="1" customWidth="1"/>
    <col min="15374" max="15374" width="18.5703125" style="1" customWidth="1"/>
    <col min="15375" max="15375" width="10" style="1" customWidth="1"/>
    <col min="15376" max="15378" width="7.42578125" style="1" customWidth="1"/>
    <col min="15379" max="15379" width="9.140625" style="1" bestFit="1" customWidth="1"/>
    <col min="15380" max="15380" width="4.85546875" style="1" customWidth="1"/>
    <col min="15381" max="15381" width="7.28515625" style="1"/>
    <col min="15382" max="15382" width="0" style="1" hidden="1" customWidth="1"/>
    <col min="15383" max="15616" width="7.28515625" style="1"/>
    <col min="15617" max="15617" width="1.5703125" style="1" customWidth="1"/>
    <col min="15618" max="15618" width="16.7109375" style="1" customWidth="1"/>
    <col min="15619" max="15619" width="11.5703125" style="1" customWidth="1"/>
    <col min="15620" max="15620" width="9.140625" style="1" customWidth="1"/>
    <col min="15621" max="15621" width="8.140625" style="1" customWidth="1"/>
    <col min="15622" max="15622" width="6.5703125" style="1" customWidth="1"/>
    <col min="15623" max="15623" width="24.140625" style="1" customWidth="1"/>
    <col min="15624" max="15624" width="7.85546875" style="1" customWidth="1"/>
    <col min="15625" max="15625" width="13.28515625" style="1" customWidth="1"/>
    <col min="15626" max="15629" width="7.42578125" style="1" customWidth="1"/>
    <col min="15630" max="15630" width="18.5703125" style="1" customWidth="1"/>
    <col min="15631" max="15631" width="10" style="1" customWidth="1"/>
    <col min="15632" max="15634" width="7.42578125" style="1" customWidth="1"/>
    <col min="15635" max="15635" width="9.140625" style="1" bestFit="1" customWidth="1"/>
    <col min="15636" max="15636" width="4.85546875" style="1" customWidth="1"/>
    <col min="15637" max="15637" width="7.28515625" style="1"/>
    <col min="15638" max="15638" width="0" style="1" hidden="1" customWidth="1"/>
    <col min="15639" max="15872" width="7.28515625" style="1"/>
    <col min="15873" max="15873" width="1.5703125" style="1" customWidth="1"/>
    <col min="15874" max="15874" width="16.7109375" style="1" customWidth="1"/>
    <col min="15875" max="15875" width="11.5703125" style="1" customWidth="1"/>
    <col min="15876" max="15876" width="9.140625" style="1" customWidth="1"/>
    <col min="15877" max="15877" width="8.140625" style="1" customWidth="1"/>
    <col min="15878" max="15878" width="6.5703125" style="1" customWidth="1"/>
    <col min="15879" max="15879" width="24.140625" style="1" customWidth="1"/>
    <col min="15880" max="15880" width="7.85546875" style="1" customWidth="1"/>
    <col min="15881" max="15881" width="13.28515625" style="1" customWidth="1"/>
    <col min="15882" max="15885" width="7.42578125" style="1" customWidth="1"/>
    <col min="15886" max="15886" width="18.5703125" style="1" customWidth="1"/>
    <col min="15887" max="15887" width="10" style="1" customWidth="1"/>
    <col min="15888" max="15890" width="7.42578125" style="1" customWidth="1"/>
    <col min="15891" max="15891" width="9.140625" style="1" bestFit="1" customWidth="1"/>
    <col min="15892" max="15892" width="4.85546875" style="1" customWidth="1"/>
    <col min="15893" max="15893" width="7.28515625" style="1"/>
    <col min="15894" max="15894" width="0" style="1" hidden="1" customWidth="1"/>
    <col min="15895" max="16128" width="7.28515625" style="1"/>
    <col min="16129" max="16129" width="1.5703125" style="1" customWidth="1"/>
    <col min="16130" max="16130" width="16.7109375" style="1" customWidth="1"/>
    <col min="16131" max="16131" width="11.5703125" style="1" customWidth="1"/>
    <col min="16132" max="16132" width="9.140625" style="1" customWidth="1"/>
    <col min="16133" max="16133" width="8.140625" style="1" customWidth="1"/>
    <col min="16134" max="16134" width="6.5703125" style="1" customWidth="1"/>
    <col min="16135" max="16135" width="24.140625" style="1" customWidth="1"/>
    <col min="16136" max="16136" width="7.85546875" style="1" customWidth="1"/>
    <col min="16137" max="16137" width="13.28515625" style="1" customWidth="1"/>
    <col min="16138" max="16141" width="7.42578125" style="1" customWidth="1"/>
    <col min="16142" max="16142" width="18.5703125" style="1" customWidth="1"/>
    <col min="16143" max="16143" width="10" style="1" customWidth="1"/>
    <col min="16144" max="16146" width="7.42578125" style="1" customWidth="1"/>
    <col min="16147" max="16147" width="9.140625" style="1" bestFit="1" customWidth="1"/>
    <col min="16148" max="16148" width="4.85546875" style="1" customWidth="1"/>
    <col min="16149" max="16149" width="7.28515625" style="1"/>
    <col min="16150" max="16150" width="0" style="1" hidden="1" customWidth="1"/>
    <col min="16151" max="16384" width="7.28515625" style="1"/>
  </cols>
  <sheetData>
    <row r="1" spans="1:24" ht="18" x14ac:dyDescent="0.25">
      <c r="B1" s="2" t="s">
        <v>0</v>
      </c>
      <c r="F1" s="4"/>
      <c r="G1" s="5" t="s">
        <v>1</v>
      </c>
      <c r="H1" s="230" t="s">
        <v>93</v>
      </c>
      <c r="I1" s="230"/>
      <c r="J1" s="218"/>
      <c r="K1" s="6"/>
      <c r="M1" s="231"/>
      <c r="N1" s="231"/>
    </row>
    <row r="2" spans="1:24" s="4" customFormat="1" ht="15" x14ac:dyDescent="0.25">
      <c r="E2" s="7"/>
      <c r="H2" s="14"/>
      <c r="P2" s="8" t="s">
        <v>2</v>
      </c>
      <c r="Q2"/>
      <c r="R2"/>
      <c r="S2"/>
    </row>
    <row r="3" spans="1:24" s="4" customFormat="1" ht="12" customHeight="1" x14ac:dyDescent="0.2">
      <c r="B3" s="9" t="s">
        <v>3</v>
      </c>
      <c r="E3" s="7"/>
      <c r="H3" s="14"/>
      <c r="P3" s="10" t="s">
        <v>4</v>
      </c>
      <c r="Q3" s="11"/>
      <c r="R3" s="12"/>
      <c r="S3" s="13" t="s">
        <v>5</v>
      </c>
    </row>
    <row r="4" spans="1:24" s="4" customFormat="1" x14ac:dyDescent="0.2">
      <c r="B4" s="9"/>
      <c r="E4" s="7"/>
      <c r="H4" s="14"/>
      <c r="P4" s="15" t="s">
        <v>6</v>
      </c>
      <c r="Q4" s="16" t="s">
        <v>7</v>
      </c>
      <c r="R4" s="17"/>
      <c r="S4" s="18" t="s">
        <v>8</v>
      </c>
      <c r="U4" s="232"/>
      <c r="V4" s="232"/>
      <c r="W4" s="232"/>
      <c r="X4" s="232"/>
    </row>
    <row r="5" spans="1:24" s="4" customFormat="1" ht="12" customHeight="1" x14ac:dyDescent="0.2">
      <c r="B5" s="19" t="s">
        <v>9</v>
      </c>
      <c r="C5" s="233" t="s">
        <v>90</v>
      </c>
      <c r="D5" s="234"/>
      <c r="E5" s="7"/>
      <c r="F5" s="19" t="s">
        <v>10</v>
      </c>
      <c r="G5" s="235">
        <v>16500</v>
      </c>
      <c r="H5" s="230"/>
      <c r="J5" s="19" t="s">
        <v>11</v>
      </c>
      <c r="K5" s="230"/>
      <c r="L5" s="230"/>
      <c r="N5" s="185"/>
      <c r="O5" s="186"/>
      <c r="P5" s="187">
        <v>14.5</v>
      </c>
      <c r="Q5" s="188">
        <v>0</v>
      </c>
      <c r="R5" s="20" t="s">
        <v>12</v>
      </c>
      <c r="S5" s="21">
        <f>+Q15</f>
        <v>2.6140151515151517</v>
      </c>
    </row>
    <row r="6" spans="1:24" s="4" customFormat="1" x14ac:dyDescent="0.2">
      <c r="B6" s="19" t="s">
        <v>13</v>
      </c>
      <c r="C6" s="230"/>
      <c r="D6" s="230"/>
      <c r="E6" s="7"/>
      <c r="F6" s="19" t="s">
        <v>14</v>
      </c>
      <c r="G6" s="230"/>
      <c r="H6" s="230"/>
      <c r="J6" s="19" t="s">
        <v>15</v>
      </c>
      <c r="K6" s="230"/>
      <c r="L6" s="230"/>
      <c r="P6" s="189">
        <v>3.5</v>
      </c>
      <c r="Q6" s="188">
        <v>0</v>
      </c>
      <c r="R6" s="22" t="s">
        <v>16</v>
      </c>
      <c r="S6" s="23">
        <f>+(J35)/24</f>
        <v>0.54166666666666663</v>
      </c>
      <c r="U6" s="236"/>
      <c r="V6" s="236"/>
      <c r="W6" s="236"/>
      <c r="X6" s="236"/>
    </row>
    <row r="7" spans="1:24" s="4" customFormat="1" x14ac:dyDescent="0.2">
      <c r="B7" s="19" t="s">
        <v>17</v>
      </c>
      <c r="C7" s="235" t="s">
        <v>91</v>
      </c>
      <c r="D7" s="230"/>
      <c r="E7" s="7"/>
      <c r="F7" s="19" t="s">
        <v>18</v>
      </c>
      <c r="G7" s="235">
        <v>2003</v>
      </c>
      <c r="H7" s="230"/>
      <c r="J7" s="19" t="s">
        <v>19</v>
      </c>
      <c r="K7" s="230"/>
      <c r="L7" s="230"/>
      <c r="P7" s="189">
        <v>3.5</v>
      </c>
      <c r="Q7" s="188">
        <v>0</v>
      </c>
      <c r="R7" s="24" t="s">
        <v>20</v>
      </c>
      <c r="S7" s="23">
        <f>+K35/24</f>
        <v>1.125</v>
      </c>
      <c r="U7" s="236"/>
      <c r="V7" s="236"/>
      <c r="W7" s="236"/>
      <c r="X7" s="236"/>
    </row>
    <row r="8" spans="1:24" s="4" customFormat="1" x14ac:dyDescent="0.2">
      <c r="B8" s="19"/>
      <c r="D8" s="19"/>
      <c r="E8" s="7"/>
      <c r="F8" s="19"/>
      <c r="H8" s="25"/>
      <c r="L8" s="5"/>
      <c r="M8" s="25"/>
      <c r="O8" s="5"/>
      <c r="P8" s="190">
        <v>5</v>
      </c>
      <c r="Q8" s="188">
        <v>0</v>
      </c>
      <c r="R8" s="26" t="s">
        <v>21</v>
      </c>
      <c r="S8" s="23">
        <f>+L35/24</f>
        <v>1.875</v>
      </c>
      <c r="U8" s="236"/>
      <c r="V8" s="236"/>
      <c r="W8" s="236"/>
      <c r="X8" s="236"/>
    </row>
    <row r="9" spans="1:24" ht="15.75" x14ac:dyDescent="0.25">
      <c r="B9" s="237" t="s">
        <v>22</v>
      </c>
      <c r="C9" s="237"/>
      <c r="D9" s="27"/>
      <c r="E9" s="28"/>
      <c r="F9" s="29"/>
      <c r="G9" s="27"/>
      <c r="H9" s="30"/>
      <c r="I9" s="8"/>
      <c r="J9" s="8"/>
      <c r="K9" s="238"/>
      <c r="L9" s="238"/>
      <c r="M9" s="6"/>
      <c r="N9" s="8"/>
      <c r="O9" s="8"/>
      <c r="P9" s="191">
        <v>0</v>
      </c>
      <c r="Q9" s="31">
        <v>0</v>
      </c>
      <c r="R9" s="12" t="s">
        <v>23</v>
      </c>
      <c r="S9" s="192">
        <v>0</v>
      </c>
      <c r="U9" s="236"/>
      <c r="V9" s="236"/>
      <c r="W9" s="236"/>
      <c r="X9" s="236"/>
    </row>
    <row r="10" spans="1:24" ht="15.75" x14ac:dyDescent="0.25">
      <c r="B10" s="237"/>
      <c r="C10" s="237"/>
      <c r="D10" s="27"/>
      <c r="E10" s="28"/>
      <c r="F10" s="29"/>
      <c r="G10" s="27"/>
      <c r="H10" s="30"/>
      <c r="I10" s="8"/>
      <c r="J10" s="8"/>
      <c r="K10" s="220"/>
      <c r="L10" s="220"/>
      <c r="M10" s="6"/>
      <c r="N10" s="225"/>
      <c r="O10" s="225"/>
      <c r="P10" s="193">
        <v>0</v>
      </c>
      <c r="Q10" s="32">
        <v>0</v>
      </c>
      <c r="R10" s="17" t="s">
        <v>24</v>
      </c>
      <c r="S10" s="194"/>
      <c r="U10" s="236"/>
      <c r="V10" s="236"/>
      <c r="W10" s="236"/>
      <c r="X10" s="236"/>
    </row>
    <row r="11" spans="1:24" ht="8.25" customHeight="1" thickBot="1" x14ac:dyDescent="0.3">
      <c r="B11" s="33"/>
      <c r="C11" s="34"/>
      <c r="E11" s="35"/>
      <c r="F11" s="6"/>
      <c r="H11" s="3"/>
      <c r="I11" s="8"/>
      <c r="J11" s="8"/>
      <c r="K11" s="220"/>
      <c r="L11" s="220"/>
      <c r="M11" s="6"/>
      <c r="N11" s="225"/>
      <c r="O11" s="225"/>
      <c r="P11" s="36"/>
      <c r="Q11" s="36"/>
      <c r="R11" s="36"/>
      <c r="S11" s="36"/>
    </row>
    <row r="12" spans="1:24" s="34" customFormat="1" ht="15" x14ac:dyDescent="0.25">
      <c r="A12" s="37"/>
      <c r="B12" s="38" t="s">
        <v>25</v>
      </c>
      <c r="C12" s="37"/>
      <c r="D12" s="37"/>
      <c r="E12" s="37"/>
      <c r="F12" s="37"/>
      <c r="G12" s="37"/>
      <c r="H12" s="39"/>
      <c r="I12" s="37"/>
      <c r="J12" s="37"/>
      <c r="K12" s="40" t="s">
        <v>26</v>
      </c>
      <c r="L12" s="37"/>
      <c r="M12" s="37"/>
      <c r="N12" s="37"/>
      <c r="O12" s="37"/>
    </row>
    <row r="13" spans="1:24" ht="7.5" customHeight="1" x14ac:dyDescent="0.25">
      <c r="B13" s="33"/>
      <c r="C13" s="34"/>
      <c r="D13" s="41"/>
      <c r="E13" s="1"/>
      <c r="H13" s="3"/>
      <c r="I13"/>
      <c r="J13"/>
      <c r="K13" s="42"/>
      <c r="O13"/>
    </row>
    <row r="14" spans="1:24" ht="15" x14ac:dyDescent="0.25">
      <c r="B14" s="43" t="s">
        <v>27</v>
      </c>
      <c r="C14" s="221" t="str">
        <f>IF(V17=1,"Flat Rate",IF(V17=2,"Freight",IF(V17=3,"Lumpsum",)))</f>
        <v>Freight</v>
      </c>
      <c r="D14" s="221" t="str">
        <f>IF(C14="Flat Rate","WS","")</f>
        <v/>
      </c>
      <c r="E14" s="221" t="s">
        <v>28</v>
      </c>
      <c r="F14" s="221" t="s">
        <v>29</v>
      </c>
      <c r="G14" s="226" t="s">
        <v>5</v>
      </c>
      <c r="H14" s="221" t="s">
        <v>30</v>
      </c>
      <c r="I14" s="44" t="s">
        <v>31</v>
      </c>
      <c r="J14"/>
      <c r="K14" s="239" t="s">
        <v>25</v>
      </c>
      <c r="L14" s="240"/>
      <c r="M14" s="240"/>
      <c r="N14" s="227">
        <f>+I23</f>
        <v>281745</v>
      </c>
      <c r="O14" s="241" t="s">
        <v>32</v>
      </c>
      <c r="P14" s="242"/>
      <c r="Q14" s="243">
        <f>+Q15+S6+S7+S8</f>
        <v>6.1556818181818187</v>
      </c>
      <c r="R14" s="244"/>
      <c r="U14" s="213"/>
      <c r="V14" s="45" t="s">
        <v>33</v>
      </c>
    </row>
    <row r="15" spans="1:24" ht="15" x14ac:dyDescent="0.25">
      <c r="B15" s="46" t="s">
        <v>95</v>
      </c>
      <c r="C15" s="195">
        <v>20.87</v>
      </c>
      <c r="D15" s="47"/>
      <c r="E15" s="215">
        <v>13500</v>
      </c>
      <c r="F15" s="48" t="s">
        <v>34</v>
      </c>
      <c r="G15" s="216">
        <f t="shared" ref="G15:G22" si="0">IF(C15="","",IF($C$14="Flat Rate",C15*D15/100*E15,IF($C$14="Freight",C15*E15,IF($C$14="Lumpsum",C15,))))</f>
        <v>281745</v>
      </c>
      <c r="H15" s="196"/>
      <c r="I15" s="50">
        <f t="shared" ref="I15:I22" si="1">IF(G15="","",+G15*(1-H15))</f>
        <v>281745</v>
      </c>
      <c r="J15"/>
      <c r="K15" s="245" t="s">
        <v>35</v>
      </c>
      <c r="L15" s="231"/>
      <c r="M15" s="231"/>
      <c r="N15" s="51">
        <f>D46</f>
        <v>55000</v>
      </c>
      <c r="O15" s="246" t="s">
        <v>36</v>
      </c>
      <c r="P15" s="247"/>
      <c r="Q15" s="248">
        <f>+R35/24</f>
        <v>2.6140151515151517</v>
      </c>
      <c r="R15" s="249"/>
      <c r="V15" s="45" t="s">
        <v>37</v>
      </c>
    </row>
    <row r="16" spans="1:24" ht="15" x14ac:dyDescent="0.25">
      <c r="B16" s="54"/>
      <c r="C16" s="52"/>
      <c r="D16" s="47"/>
      <c r="E16" s="215"/>
      <c r="F16" s="48"/>
      <c r="G16" s="216" t="str">
        <f t="shared" si="0"/>
        <v/>
      </c>
      <c r="H16" s="196"/>
      <c r="I16" s="50" t="str">
        <f t="shared" si="1"/>
        <v/>
      </c>
      <c r="J16"/>
      <c r="K16" s="245" t="s">
        <v>38</v>
      </c>
      <c r="L16" s="231"/>
      <c r="M16" s="231"/>
      <c r="N16" s="51">
        <f>+S46</f>
        <v>47542.275579545458</v>
      </c>
      <c r="O16" s="250" t="s">
        <v>39</v>
      </c>
      <c r="P16" s="251"/>
      <c r="Q16" s="252">
        <f>+S6+S7+S8</f>
        <v>3.5416666666666665</v>
      </c>
      <c r="R16" s="253"/>
      <c r="V16" s="45" t="s">
        <v>40</v>
      </c>
    </row>
    <row r="17" spans="1:22" ht="15" x14ac:dyDescent="0.25">
      <c r="B17" s="54"/>
      <c r="C17" s="52"/>
      <c r="D17" s="55"/>
      <c r="E17" s="56"/>
      <c r="F17" s="57"/>
      <c r="G17" s="49" t="str">
        <f t="shared" si="0"/>
        <v/>
      </c>
      <c r="H17" s="58"/>
      <c r="I17" s="53" t="str">
        <f t="shared" si="1"/>
        <v/>
      </c>
      <c r="J17"/>
      <c r="K17" s="254" t="s">
        <v>41</v>
      </c>
      <c r="L17" s="255"/>
      <c r="M17" s="255"/>
      <c r="N17" s="197">
        <f>+G59</f>
        <v>2500</v>
      </c>
      <c r="O17" s="241" t="s">
        <v>42</v>
      </c>
      <c r="P17" s="242"/>
      <c r="Q17" s="256">
        <f>+N18/Q14</f>
        <v>28705.629959387108</v>
      </c>
      <c r="R17" s="257"/>
      <c r="U17" s="3"/>
      <c r="V17" s="59">
        <v>2</v>
      </c>
    </row>
    <row r="18" spans="1:22" ht="15" x14ac:dyDescent="0.25">
      <c r="B18" s="54"/>
      <c r="C18" s="52"/>
      <c r="D18" s="55"/>
      <c r="E18" s="56"/>
      <c r="F18" s="57"/>
      <c r="G18" s="49" t="str">
        <f t="shared" si="0"/>
        <v/>
      </c>
      <c r="H18" s="58"/>
      <c r="I18" s="53" t="str">
        <f t="shared" si="1"/>
        <v/>
      </c>
      <c r="J18"/>
      <c r="K18" s="258" t="s">
        <v>43</v>
      </c>
      <c r="L18" s="259"/>
      <c r="M18" s="259"/>
      <c r="N18" s="60">
        <f>+N14-N15-N16-N17</f>
        <v>176702.72442045453</v>
      </c>
      <c r="O18" s="260" t="s">
        <v>44</v>
      </c>
      <c r="P18" s="261"/>
      <c r="Q18" s="262">
        <v>15000</v>
      </c>
      <c r="R18" s="263"/>
      <c r="S18" s="198"/>
    </row>
    <row r="19" spans="1:22" ht="15" x14ac:dyDescent="0.25">
      <c r="B19" s="54"/>
      <c r="C19" s="52"/>
      <c r="D19" s="55"/>
      <c r="E19" s="56"/>
      <c r="F19" s="57"/>
      <c r="G19" s="49" t="str">
        <f t="shared" si="0"/>
        <v/>
      </c>
      <c r="H19" s="58"/>
      <c r="I19" s="53" t="str">
        <f t="shared" si="1"/>
        <v/>
      </c>
      <c r="J19"/>
      <c r="O19" s="17" t="s">
        <v>45</v>
      </c>
      <c r="P19" s="41"/>
      <c r="Q19" s="264">
        <f>Q17*30.42</f>
        <v>873225.2633645559</v>
      </c>
      <c r="R19" s="265"/>
    </row>
    <row r="20" spans="1:22" ht="15" x14ac:dyDescent="0.25">
      <c r="B20" s="54"/>
      <c r="C20" s="52"/>
      <c r="D20" s="55"/>
      <c r="E20" s="56"/>
      <c r="F20" s="57"/>
      <c r="G20" s="49" t="str">
        <f t="shared" si="0"/>
        <v/>
      </c>
      <c r="H20" s="58"/>
      <c r="I20" s="53" t="str">
        <f t="shared" si="1"/>
        <v/>
      </c>
      <c r="J20"/>
      <c r="O20" s="61" t="s">
        <v>46</v>
      </c>
      <c r="P20" s="62"/>
      <c r="Q20" s="266">
        <f>+N18-Q18*Q14</f>
        <v>84367.497147727248</v>
      </c>
      <c r="R20" s="267"/>
      <c r="U20" s="3"/>
    </row>
    <row r="21" spans="1:22" ht="15" x14ac:dyDescent="0.25">
      <c r="B21" s="54"/>
      <c r="C21" s="52" t="s">
        <v>47</v>
      </c>
      <c r="D21" s="55"/>
      <c r="E21" s="56"/>
      <c r="F21" s="57"/>
      <c r="G21" s="49"/>
      <c r="H21" s="58"/>
      <c r="I21" s="53"/>
      <c r="J21"/>
      <c r="L21" s="199"/>
      <c r="Q21" s="63"/>
      <c r="R21" s="63"/>
    </row>
    <row r="22" spans="1:22" ht="15" x14ac:dyDescent="0.25">
      <c r="B22" s="64"/>
      <c r="C22" s="65"/>
      <c r="D22" s="66"/>
      <c r="E22" s="67"/>
      <c r="F22" s="68"/>
      <c r="G22" s="69" t="str">
        <f t="shared" si="0"/>
        <v/>
      </c>
      <c r="H22" s="70"/>
      <c r="I22" s="71" t="str">
        <f t="shared" si="1"/>
        <v/>
      </c>
      <c r="J22"/>
      <c r="K22" s="8"/>
      <c r="Q22" s="63"/>
      <c r="R22" s="63"/>
    </row>
    <row r="23" spans="1:22" ht="15" x14ac:dyDescent="0.25">
      <c r="B23" s="72"/>
      <c r="C23" s="73"/>
      <c r="D23" s="74"/>
      <c r="E23" s="75"/>
      <c r="F23" s="76"/>
      <c r="G23" s="77" t="s">
        <v>48</v>
      </c>
      <c r="H23" s="78"/>
      <c r="I23" s="79">
        <f>SUM(I15:I22)</f>
        <v>281745</v>
      </c>
      <c r="J23"/>
      <c r="Q23" s="63"/>
      <c r="R23" s="63"/>
    </row>
    <row r="24" spans="1:22" ht="7.5" customHeight="1" thickBot="1" x14ac:dyDescent="0.3">
      <c r="B24" s="34"/>
      <c r="D24" s="80"/>
      <c r="E24" s="81"/>
      <c r="F24" s="82"/>
      <c r="G24" s="81"/>
      <c r="H24"/>
      <c r="I24"/>
      <c r="J24"/>
      <c r="K24"/>
      <c r="L24"/>
      <c r="M24"/>
      <c r="N24"/>
    </row>
    <row r="25" spans="1:22" s="34" customFormat="1" ht="15" x14ac:dyDescent="0.25">
      <c r="A25" s="37"/>
      <c r="B25" s="38" t="s">
        <v>49</v>
      </c>
      <c r="C25" s="37"/>
      <c r="D25" s="37"/>
      <c r="E25" s="37"/>
      <c r="F25" s="37"/>
      <c r="G25" s="39"/>
      <c r="H25" s="37"/>
      <c r="I25" s="37"/>
      <c r="J25" s="83"/>
      <c r="K25" s="37"/>
      <c r="L25" s="37"/>
      <c r="M25" s="37"/>
      <c r="N25" s="37"/>
      <c r="O25" s="37"/>
      <c r="P25" s="37"/>
      <c r="Q25" s="37"/>
      <c r="R25" s="37"/>
      <c r="S25" s="37"/>
    </row>
    <row r="26" spans="1:22" ht="7.5" customHeight="1" x14ac:dyDescent="0.25">
      <c r="B26" s="33"/>
      <c r="C26" s="34"/>
      <c r="D26" s="41"/>
      <c r="E26" s="1"/>
      <c r="H26" s="3"/>
      <c r="I26"/>
      <c r="J26"/>
      <c r="K26" s="42"/>
      <c r="O26"/>
      <c r="P26" s="42"/>
      <c r="Q26"/>
      <c r="R26"/>
      <c r="S26"/>
    </row>
    <row r="27" spans="1:22" x14ac:dyDescent="0.2">
      <c r="B27" s="84" t="s">
        <v>50</v>
      </c>
      <c r="C27" s="85"/>
      <c r="D27" s="10" t="s">
        <v>51</v>
      </c>
      <c r="E27" s="86"/>
      <c r="F27" s="87"/>
      <c r="G27" s="228" t="s">
        <v>28</v>
      </c>
      <c r="H27" s="88" t="s">
        <v>52</v>
      </c>
      <c r="I27" s="89" t="s">
        <v>53</v>
      </c>
      <c r="J27" s="90" t="s">
        <v>54</v>
      </c>
      <c r="K27" s="91"/>
      <c r="L27" s="92"/>
      <c r="M27" s="92"/>
      <c r="N27" s="10" t="s">
        <v>55</v>
      </c>
      <c r="O27" s="86"/>
      <c r="P27" s="93" t="s">
        <v>13</v>
      </c>
      <c r="Q27" s="94"/>
      <c r="R27" s="92"/>
      <c r="S27" s="95" t="s">
        <v>56</v>
      </c>
    </row>
    <row r="28" spans="1:22" x14ac:dyDescent="0.2">
      <c r="B28" s="15"/>
      <c r="C28" s="96"/>
      <c r="D28" s="97" t="s">
        <v>57</v>
      </c>
      <c r="E28" s="98"/>
      <c r="F28" s="99" t="s">
        <v>58</v>
      </c>
      <c r="G28" s="100" t="s">
        <v>59</v>
      </c>
      <c r="H28" s="101" t="s">
        <v>60</v>
      </c>
      <c r="I28" s="102" t="s">
        <v>61</v>
      </c>
      <c r="J28" s="103" t="s">
        <v>62</v>
      </c>
      <c r="K28" s="104" t="s">
        <v>20</v>
      </c>
      <c r="L28" s="221" t="s">
        <v>21</v>
      </c>
      <c r="M28" s="105" t="s">
        <v>5</v>
      </c>
      <c r="N28" s="15" t="s">
        <v>57</v>
      </c>
      <c r="O28" s="98" t="s">
        <v>58</v>
      </c>
      <c r="P28" s="106" t="s">
        <v>63</v>
      </c>
      <c r="Q28" s="221" t="s">
        <v>64</v>
      </c>
      <c r="R28" s="221" t="s">
        <v>65</v>
      </c>
      <c r="S28" s="18" t="s">
        <v>66</v>
      </c>
    </row>
    <row r="29" spans="1:22" x14ac:dyDescent="0.2">
      <c r="B29" s="47" t="s">
        <v>67</v>
      </c>
      <c r="C29" s="217"/>
      <c r="D29" s="107"/>
      <c r="E29" s="108"/>
      <c r="F29" s="109"/>
      <c r="G29" s="110"/>
      <c r="H29" s="111"/>
      <c r="I29" s="111"/>
      <c r="J29" s="112">
        <v>1</v>
      </c>
      <c r="K29" s="113"/>
      <c r="L29" s="114"/>
      <c r="M29" s="115">
        <f t="shared" ref="M29:M34" si="2">IF(B29=0,"",SUM(J29:L29))</f>
        <v>1</v>
      </c>
      <c r="N29" s="116">
        <v>41061.5</v>
      </c>
      <c r="O29" s="117">
        <f t="shared" ref="O29:O34" si="3">IF(B29=0,"",HOUR(N29))</f>
        <v>12</v>
      </c>
      <c r="P29" s="118"/>
      <c r="Q29" s="119"/>
      <c r="R29" s="120"/>
      <c r="S29" s="121"/>
    </row>
    <row r="30" spans="1:22" x14ac:dyDescent="0.2">
      <c r="B30" s="222" t="s">
        <v>67</v>
      </c>
      <c r="C30" s="223"/>
      <c r="D30" s="122">
        <f>IF(B30=0,"",+J29/24+N29+((R30)/24))</f>
        <v>41062.848674242421</v>
      </c>
      <c r="E30" s="108"/>
      <c r="F30" s="109">
        <f t="shared" ref="F30:F34" si="4">IF(B30=0,"",HOUR(D30))</f>
        <v>20</v>
      </c>
      <c r="G30" s="123">
        <f>+E15</f>
        <v>13500</v>
      </c>
      <c r="H30" s="200">
        <v>500</v>
      </c>
      <c r="I30" s="124"/>
      <c r="J30" s="112">
        <v>6</v>
      </c>
      <c r="K30" s="113">
        <f t="shared" ref="K30:K34" si="5">IF(B30=0,"",IF(H30=0,IF(G30&gt;0,I30,0),IF(G30&gt;0,G30/H30,0)))</f>
        <v>27</v>
      </c>
      <c r="L30" s="125">
        <f t="shared" ref="L30:L34" si="6">IF(B30=0,"",IF(H30=0,IF(G30&lt;0,I30,0),IF(G30&lt;0,G30/H30,0)))</f>
        <v>0</v>
      </c>
      <c r="M30" s="115">
        <f t="shared" si="2"/>
        <v>33</v>
      </c>
      <c r="N30" s="126">
        <f t="shared" ref="N30:N34" si="7">IF(B30=0,"",(D30+(K30+L30+J30)/24))</f>
        <v>41064.223674242421</v>
      </c>
      <c r="O30" s="109">
        <f t="shared" si="3"/>
        <v>5</v>
      </c>
      <c r="P30" s="127">
        <v>335</v>
      </c>
      <c r="Q30" s="201">
        <v>11</v>
      </c>
      <c r="R30" s="120">
        <f t="shared" ref="R30:R34" si="8">IF(B30=0,"",IF(Q30=0,0,+P30*(1+S30)/Q30))</f>
        <v>31.368181818181821</v>
      </c>
      <c r="S30" s="128">
        <v>0.03</v>
      </c>
    </row>
    <row r="31" spans="1:22" x14ac:dyDescent="0.2">
      <c r="B31" s="222" t="s">
        <v>94</v>
      </c>
      <c r="C31" s="223"/>
      <c r="D31" s="122">
        <f t="shared" ref="D31" si="9">IF(B31=0,"",+J30/24+N30+((R31)/24))</f>
        <v>41065.780681818178</v>
      </c>
      <c r="E31" s="108"/>
      <c r="F31" s="109">
        <f t="shared" si="4"/>
        <v>18</v>
      </c>
      <c r="G31" s="123">
        <f>-E15</f>
        <v>-13500</v>
      </c>
      <c r="H31" s="200">
        <v>-300</v>
      </c>
      <c r="I31" s="124"/>
      <c r="J31" s="112">
        <v>6</v>
      </c>
      <c r="K31" s="113">
        <f t="shared" si="5"/>
        <v>0</v>
      </c>
      <c r="L31" s="125">
        <f t="shared" si="6"/>
        <v>45</v>
      </c>
      <c r="M31" s="115">
        <f t="shared" ref="M31" si="10">IF(B31=0,"",SUM(J31:L31))</f>
        <v>51</v>
      </c>
      <c r="N31" s="126">
        <f t="shared" si="7"/>
        <v>41067.905681818178</v>
      </c>
      <c r="O31" s="109">
        <f t="shared" si="3"/>
        <v>21</v>
      </c>
      <c r="P31" s="127">
        <v>335</v>
      </c>
      <c r="Q31" s="119">
        <f>IF(B31=0,"",Q30)</f>
        <v>11</v>
      </c>
      <c r="R31" s="120">
        <f t="shared" si="8"/>
        <v>31.368181818181821</v>
      </c>
      <c r="S31" s="128">
        <v>0.03</v>
      </c>
    </row>
    <row r="32" spans="1:22" x14ac:dyDescent="0.2">
      <c r="B32" s="222" t="s">
        <v>67</v>
      </c>
      <c r="C32" s="223"/>
      <c r="D32" s="122"/>
      <c r="E32" s="108"/>
      <c r="F32" s="109"/>
      <c r="G32" s="123"/>
      <c r="H32" s="200"/>
      <c r="I32" s="124"/>
      <c r="J32" s="112"/>
      <c r="K32" s="113"/>
      <c r="L32" s="125"/>
      <c r="M32" s="115"/>
      <c r="N32" s="126"/>
      <c r="O32" s="109"/>
      <c r="P32" s="127">
        <v>0</v>
      </c>
      <c r="Q32" s="119"/>
      <c r="R32" s="120"/>
      <c r="S32" s="128"/>
    </row>
    <row r="33" spans="1:19" x14ac:dyDescent="0.2">
      <c r="B33" s="222"/>
      <c r="C33" s="223"/>
      <c r="D33" s="122"/>
      <c r="E33" s="108"/>
      <c r="F33" s="109"/>
      <c r="G33" s="123"/>
      <c r="H33" s="200"/>
      <c r="I33" s="124"/>
      <c r="J33" s="112"/>
      <c r="K33" s="113"/>
      <c r="L33" s="125"/>
      <c r="M33" s="115"/>
      <c r="N33" s="126"/>
      <c r="O33" s="109"/>
      <c r="P33" s="127"/>
      <c r="Q33" s="119"/>
      <c r="R33" s="120"/>
      <c r="S33" s="128"/>
    </row>
    <row r="34" spans="1:19" x14ac:dyDescent="0.2">
      <c r="B34" s="222"/>
      <c r="C34" s="223"/>
      <c r="D34" s="122" t="str">
        <f>IF(B34=0,"",+#REF!+((R34)/24))</f>
        <v/>
      </c>
      <c r="E34" s="108"/>
      <c r="F34" s="109" t="str">
        <f t="shared" si="4"/>
        <v/>
      </c>
      <c r="G34" s="123"/>
      <c r="H34" s="124"/>
      <c r="I34" s="124"/>
      <c r="J34" s="112"/>
      <c r="K34" s="113" t="str">
        <f t="shared" si="5"/>
        <v/>
      </c>
      <c r="L34" s="125" t="str">
        <f t="shared" si="6"/>
        <v/>
      </c>
      <c r="M34" s="115" t="str">
        <f t="shared" si="2"/>
        <v/>
      </c>
      <c r="N34" s="126" t="str">
        <f t="shared" si="7"/>
        <v/>
      </c>
      <c r="O34" s="109" t="str">
        <f t="shared" si="3"/>
        <v/>
      </c>
      <c r="P34" s="127"/>
      <c r="Q34" s="119" t="str">
        <f>IF(B34=0,"",#REF!)</f>
        <v/>
      </c>
      <c r="R34" s="120" t="str">
        <f t="shared" si="8"/>
        <v/>
      </c>
      <c r="S34" s="128"/>
    </row>
    <row r="35" spans="1:19" x14ac:dyDescent="0.2">
      <c r="B35" s="61" t="s">
        <v>5</v>
      </c>
      <c r="C35" s="62"/>
      <c r="D35" s="61"/>
      <c r="E35" s="62"/>
      <c r="F35" s="129"/>
      <c r="G35" s="226">
        <f>SUM(G29:G34)</f>
        <v>0</v>
      </c>
      <c r="H35" s="226"/>
      <c r="I35" s="226">
        <f>SUM(I29:I34)</f>
        <v>0</v>
      </c>
      <c r="J35" s="106">
        <f>SUM(J29:J34)</f>
        <v>13</v>
      </c>
      <c r="K35" s="104">
        <f>SUM(K29:K34)</f>
        <v>27</v>
      </c>
      <c r="L35" s="226">
        <f>SUM(L29:L34)</f>
        <v>45</v>
      </c>
      <c r="M35" s="130">
        <f>SUM(M29:M34)</f>
        <v>85</v>
      </c>
      <c r="N35" s="131"/>
      <c r="O35" s="132"/>
      <c r="P35" s="43">
        <f>SUM(P29:P34)</f>
        <v>670</v>
      </c>
      <c r="Q35" s="133"/>
      <c r="R35" s="134">
        <f>SUM(R29:R34)</f>
        <v>62.736363636363642</v>
      </c>
      <c r="S35" s="135"/>
    </row>
    <row r="36" spans="1:19" ht="8.25" customHeight="1" thickBo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9" s="34" customFormat="1" ht="15" x14ac:dyDescent="0.25">
      <c r="A37" s="37"/>
      <c r="B37" s="38" t="s">
        <v>68</v>
      </c>
      <c r="C37" s="37"/>
      <c r="D37" s="37"/>
      <c r="E37" s="40" t="s">
        <v>69</v>
      </c>
      <c r="F37" s="37"/>
      <c r="G37" s="37"/>
      <c r="H37" s="39"/>
      <c r="I37" s="40"/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spans="1:19" ht="7.5" customHeight="1" x14ac:dyDescent="0.25">
      <c r="B38" s="33"/>
      <c r="C38" s="34"/>
      <c r="D38" s="41"/>
      <c r="E38" s="1"/>
      <c r="H38" s="3"/>
      <c r="I38"/>
      <c r="J38"/>
      <c r="K38" s="42"/>
      <c r="O38"/>
      <c r="P38" s="42"/>
      <c r="Q38"/>
      <c r="R38"/>
      <c r="S38"/>
    </row>
    <row r="39" spans="1:19" s="34" customFormat="1" ht="14.25" x14ac:dyDescent="0.2">
      <c r="B39" s="136" t="s">
        <v>50</v>
      </c>
      <c r="C39" s="85"/>
      <c r="D39" s="137" t="s">
        <v>70</v>
      </c>
      <c r="E39" s="268" t="s">
        <v>71</v>
      </c>
      <c r="F39" s="269"/>
      <c r="G39" s="268" t="s">
        <v>72</v>
      </c>
      <c r="H39" s="269"/>
      <c r="I39" s="268" t="s">
        <v>73</v>
      </c>
      <c r="J39" s="269"/>
      <c r="K39" s="268" t="s">
        <v>74</v>
      </c>
      <c r="L39" s="269"/>
      <c r="M39" s="268" t="s">
        <v>75</v>
      </c>
      <c r="N39" s="269"/>
      <c r="O39" s="268" t="s">
        <v>76</v>
      </c>
      <c r="P39" s="269"/>
      <c r="Q39" s="268" t="s">
        <v>77</v>
      </c>
      <c r="R39" s="269"/>
      <c r="S39" s="13" t="s">
        <v>78</v>
      </c>
    </row>
    <row r="40" spans="1:19" s="34" customFormat="1" ht="14.25" x14ac:dyDescent="0.2">
      <c r="B40" s="15"/>
      <c r="C40" s="99"/>
      <c r="D40" s="138"/>
      <c r="E40" s="15" t="s">
        <v>6</v>
      </c>
      <c r="F40" s="139" t="s">
        <v>7</v>
      </c>
      <c r="G40" s="138" t="s">
        <v>6</v>
      </c>
      <c r="H40" s="138" t="s">
        <v>7</v>
      </c>
      <c r="I40" s="15" t="s">
        <v>6</v>
      </c>
      <c r="J40" s="99" t="s">
        <v>7</v>
      </c>
      <c r="K40" s="15" t="s">
        <v>6</v>
      </c>
      <c r="L40" s="99" t="s">
        <v>7</v>
      </c>
      <c r="M40" s="219" t="s">
        <v>6</v>
      </c>
      <c r="N40" s="219" t="s">
        <v>7</v>
      </c>
      <c r="O40" s="15" t="s">
        <v>6</v>
      </c>
      <c r="P40" s="99" t="s">
        <v>7</v>
      </c>
      <c r="Q40" s="224" t="s">
        <v>6</v>
      </c>
      <c r="R40" s="99" t="s">
        <v>7</v>
      </c>
      <c r="S40" s="18" t="s">
        <v>79</v>
      </c>
    </row>
    <row r="41" spans="1:19" x14ac:dyDescent="0.2">
      <c r="B41" s="47" t="s">
        <v>67</v>
      </c>
      <c r="C41" s="217"/>
      <c r="D41" s="140"/>
      <c r="E41" s="141"/>
      <c r="F41" s="142"/>
      <c r="G41" s="143"/>
      <c r="H41" s="144"/>
      <c r="I41" s="145"/>
      <c r="J41" s="146"/>
      <c r="K41" s="211">
        <v>1000</v>
      </c>
      <c r="L41" s="211">
        <v>100</v>
      </c>
      <c r="M41" s="147">
        <f>IF(B29=0,"",+($P$6*J29+$P$7*K29+$P$8*L29)/24)</f>
        <v>0.14583333333333334</v>
      </c>
      <c r="N41" s="148">
        <f>IF(B30=0,"",(+$Q$6*J30+$Q$7*K30+$Q$8*L30)/24)</f>
        <v>0</v>
      </c>
      <c r="O41" s="142"/>
      <c r="P41" s="149"/>
      <c r="Q41" s="276">
        <v>895.14</v>
      </c>
      <c r="R41" s="150">
        <v>0</v>
      </c>
      <c r="S41" s="151">
        <f>IF(B30=0,"",(M41+O41)*Q41+(N41+P41)*R41)</f>
        <v>130.54125000000002</v>
      </c>
    </row>
    <row r="42" spans="1:19" x14ac:dyDescent="0.2">
      <c r="B42" s="222" t="s">
        <v>67</v>
      </c>
      <c r="C42" s="223"/>
      <c r="D42" s="229">
        <v>23000</v>
      </c>
      <c r="E42" s="115">
        <f>IF(B31=0,"",+K41-O42)</f>
        <v>981.04839015151515</v>
      </c>
      <c r="F42" s="152">
        <f>IF(B31=0,"",+L41-P42)</f>
        <v>100</v>
      </c>
      <c r="G42" s="153"/>
      <c r="H42" s="154"/>
      <c r="I42" s="155"/>
      <c r="J42" s="156"/>
      <c r="K42" s="212">
        <f>IF(B29=0,"",+E42+G42-M42)</f>
        <v>976.23589015151515</v>
      </c>
      <c r="L42" s="212">
        <f>IF(B29=0,"",+F42+H42-N42)</f>
        <v>100</v>
      </c>
      <c r="M42" s="115">
        <f>IF(B30=0,"",+($P$6*J30+$P$7*K30+$P$8*L30)/24)</f>
        <v>4.8125</v>
      </c>
      <c r="N42" s="157">
        <f>IF(B31=0,"",(+$Q$6*J31+$Q$7*K31+$Q$8*L31)/24)</f>
        <v>0</v>
      </c>
      <c r="O42" s="209">
        <f>IF(B30=0,"",(R30/24*$P$5))</f>
        <v>18.95160984848485</v>
      </c>
      <c r="P42" s="158">
        <f>IF(B29=0,"",+R29/24*$Q$5)</f>
        <v>0</v>
      </c>
      <c r="Q42" s="159">
        <f>IF(B31=0,"",+(E42*Q41+I42*G42)/(G42+E42))</f>
        <v>895.14</v>
      </c>
      <c r="R42" s="160">
        <f>IF(B31=0,"",+(J42*H42+L41*R41)/(H42+L41))</f>
        <v>0</v>
      </c>
      <c r="S42" s="151">
        <f>IF(B31=0,"",(M42+O42)*Q42+(N42+P42)*R42)</f>
        <v>21272.20528977273</v>
      </c>
    </row>
    <row r="43" spans="1:19" x14ac:dyDescent="0.2">
      <c r="B43" s="222" t="s">
        <v>94</v>
      </c>
      <c r="C43" s="223"/>
      <c r="D43" s="229">
        <v>32000</v>
      </c>
      <c r="E43" s="115">
        <f>IF(B32=0,"",+K42-O43)</f>
        <v>957.2842803030303</v>
      </c>
      <c r="F43" s="152">
        <f>IF(B32=0,"",+L42-P43)</f>
        <v>100</v>
      </c>
      <c r="G43" s="153"/>
      <c r="H43" s="154"/>
      <c r="I43" s="155"/>
      <c r="J43" s="156"/>
      <c r="K43" s="212">
        <f>IF(B30=0,"",+E43+G43-M43)</f>
        <v>947.0342803030303</v>
      </c>
      <c r="L43" s="212">
        <f>IF(B30=0,"",+F43+H43-N43)</f>
        <v>100</v>
      </c>
      <c r="M43" s="115">
        <f>IF(B31=0,"",+($P$6*J31+$P$7*K31+$P$8*L31)/24)</f>
        <v>10.25</v>
      </c>
      <c r="N43" s="157">
        <f>IF(B32=0,"",(+$Q$6*J32+$Q$7*K32+$Q$8*L32)/24)</f>
        <v>0</v>
      </c>
      <c r="O43" s="209">
        <f>IF(B31=0,"",(R31/24*$P$5))</f>
        <v>18.95160984848485</v>
      </c>
      <c r="P43" s="158">
        <f>IF(B30=0,"",+R30/24*$Q$5)</f>
        <v>0</v>
      </c>
      <c r="Q43" s="159">
        <f>IF(B32=0,"",+(E43*Q42+I43*G43)/(G43+E43))</f>
        <v>895.14</v>
      </c>
      <c r="R43" s="160">
        <f>IF(B32=0,"",+(J43*H43+L42*R42)/(H43+L42))</f>
        <v>0</v>
      </c>
      <c r="S43" s="151">
        <f>IF(B32=0,"",(M43+O43)*Q43+(N43+P43)*R43)</f>
        <v>26139.529039772729</v>
      </c>
    </row>
    <row r="44" spans="1:19" x14ac:dyDescent="0.2">
      <c r="B44" s="222" t="s">
        <v>67</v>
      </c>
      <c r="C44" s="223"/>
      <c r="D44" s="203"/>
      <c r="E44" s="115"/>
      <c r="F44" s="152"/>
      <c r="G44" s="153"/>
      <c r="H44" s="154"/>
      <c r="I44" s="155"/>
      <c r="J44" s="156"/>
      <c r="K44" s="212"/>
      <c r="L44" s="212"/>
      <c r="M44" s="115"/>
      <c r="N44" s="157"/>
      <c r="O44" s="209"/>
      <c r="P44" s="158"/>
      <c r="Q44" s="159"/>
      <c r="R44" s="160"/>
      <c r="S44" s="151"/>
    </row>
    <row r="45" spans="1:19" x14ac:dyDescent="0.2">
      <c r="B45" s="223"/>
      <c r="C45" s="223"/>
      <c r="D45" s="203"/>
      <c r="E45" s="115"/>
      <c r="F45" s="152"/>
      <c r="G45" s="153"/>
      <c r="H45" s="154"/>
      <c r="I45" s="155"/>
      <c r="J45" s="156"/>
      <c r="K45" s="212"/>
      <c r="L45" s="212"/>
      <c r="M45" s="115"/>
      <c r="N45" s="157"/>
      <c r="O45" s="209"/>
      <c r="P45" s="158"/>
      <c r="Q45" s="159"/>
      <c r="R45" s="160"/>
      <c r="S45" s="151"/>
    </row>
    <row r="46" spans="1:19" x14ac:dyDescent="0.2">
      <c r="B46" s="75" t="s">
        <v>80</v>
      </c>
      <c r="C46" s="161"/>
      <c r="D46" s="162">
        <f>SUM(D41:D45)</f>
        <v>55000</v>
      </c>
      <c r="E46" s="163"/>
      <c r="F46" s="164"/>
      <c r="G46" s="165"/>
      <c r="H46" s="166"/>
      <c r="I46" s="167"/>
      <c r="J46" s="168"/>
      <c r="K46" s="165"/>
      <c r="L46" s="165"/>
      <c r="M46" s="210">
        <f>SUM(M41:M45)</f>
        <v>15.208333333333332</v>
      </c>
      <c r="N46" s="210">
        <f>SUM(N41:N45)</f>
        <v>0</v>
      </c>
      <c r="O46" s="165">
        <f>SUM(O41:O45)</f>
        <v>37.9032196969697</v>
      </c>
      <c r="P46" s="166">
        <f>SUM(P41:P45)</f>
        <v>0</v>
      </c>
      <c r="Q46" s="169"/>
      <c r="R46" s="170" t="s">
        <v>81</v>
      </c>
      <c r="S46" s="171">
        <f>SUM(S41:S45)</f>
        <v>47542.275579545458</v>
      </c>
    </row>
    <row r="47" spans="1:19" x14ac:dyDescent="0.2">
      <c r="C47" s="3"/>
      <c r="E47" s="1"/>
      <c r="H47" s="43"/>
      <c r="I47" s="62"/>
      <c r="J47" s="62"/>
      <c r="K47" s="172"/>
      <c r="L47" s="173"/>
      <c r="M47" s="174" t="s">
        <v>82</v>
      </c>
      <c r="N47" s="134">
        <f>+O46+M46+C57+C58</f>
        <v>53.111553030303028</v>
      </c>
      <c r="O47" s="130">
        <f>+P46+N46+D57+D58</f>
        <v>0</v>
      </c>
      <c r="P47" s="80"/>
      <c r="Q47" s="80"/>
      <c r="R47" s="175"/>
    </row>
    <row r="48" spans="1:19" ht="7.5" customHeight="1" thickBot="1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s="34" customFormat="1" ht="15" x14ac:dyDescent="0.25">
      <c r="A49" s="37"/>
      <c r="B49" s="40" t="s">
        <v>83</v>
      </c>
      <c r="C49" s="37"/>
      <c r="D49" s="37"/>
      <c r="E49" s="37"/>
      <c r="F49" s="37"/>
      <c r="G49" s="37"/>
      <c r="H49" s="37"/>
      <c r="I49" s="40"/>
      <c r="J49" s="37"/>
      <c r="K49" s="37"/>
      <c r="L49" s="37"/>
      <c r="M49" s="37"/>
      <c r="N49" s="37"/>
      <c r="O49" s="40"/>
      <c r="P49" s="37"/>
      <c r="Q49" s="37"/>
      <c r="R49" s="37"/>
      <c r="S49" s="37"/>
    </row>
    <row r="50" spans="1:19" ht="7.5" customHeight="1" x14ac:dyDescent="0.25">
      <c r="B50" s="33"/>
      <c r="C50" s="34"/>
      <c r="D50" s="41"/>
      <c r="E50" s="1"/>
      <c r="H50" s="3"/>
      <c r="I50"/>
      <c r="J50"/>
      <c r="K50" s="42"/>
      <c r="O50"/>
      <c r="P50" s="42"/>
      <c r="Q50"/>
      <c r="R50"/>
      <c r="S50"/>
    </row>
    <row r="51" spans="1:19" x14ac:dyDescent="0.2">
      <c r="B51" s="61" t="s">
        <v>92</v>
      </c>
      <c r="C51" s="62"/>
      <c r="D51" s="221"/>
      <c r="E51" s="221"/>
      <c r="F51" s="207"/>
      <c r="G51" s="105" t="s">
        <v>5</v>
      </c>
      <c r="H51" s="1"/>
      <c r="J51" s="177"/>
      <c r="K51" s="178"/>
      <c r="L51" s="177"/>
      <c r="M51" s="178"/>
      <c r="P51" s="177"/>
      <c r="Q51" s="178"/>
      <c r="R51" s="177"/>
      <c r="S51" s="178"/>
    </row>
    <row r="52" spans="1:19" x14ac:dyDescent="0.2">
      <c r="B52" s="214" t="s">
        <v>98</v>
      </c>
      <c r="C52" s="204"/>
      <c r="D52" s="204"/>
      <c r="E52" s="204"/>
      <c r="F52" s="208"/>
      <c r="G52" s="205">
        <v>2500</v>
      </c>
      <c r="H52" s="1"/>
      <c r="I52" s="179"/>
      <c r="J52" s="219"/>
      <c r="K52" s="219"/>
      <c r="L52" s="219"/>
      <c r="M52" s="219"/>
      <c r="O52" s="179"/>
      <c r="P52" s="219"/>
      <c r="Q52" s="219"/>
      <c r="R52" s="219"/>
      <c r="S52" s="219"/>
    </row>
    <row r="53" spans="1:19" x14ac:dyDescent="0.2">
      <c r="B53" s="270"/>
      <c r="C53" s="271"/>
      <c r="D53" s="271"/>
      <c r="E53" s="271"/>
      <c r="F53" s="272"/>
      <c r="G53" s="202"/>
      <c r="H53" s="1"/>
      <c r="I53" s="176"/>
      <c r="J53" s="7"/>
      <c r="K53" s="7"/>
      <c r="L53" s="7"/>
      <c r="M53" s="7"/>
      <c r="O53" s="176"/>
      <c r="P53" s="7"/>
      <c r="Q53" s="7"/>
      <c r="R53" s="7"/>
      <c r="S53" s="7"/>
    </row>
    <row r="54" spans="1:19" x14ac:dyDescent="0.2">
      <c r="B54" s="270"/>
      <c r="C54" s="271"/>
      <c r="D54" s="271"/>
      <c r="E54" s="271"/>
      <c r="F54" s="272"/>
      <c r="G54" s="202"/>
      <c r="H54" s="1"/>
      <c r="I54" s="176"/>
      <c r="J54" s="7"/>
      <c r="K54" s="7"/>
      <c r="L54" s="7"/>
      <c r="M54" s="7"/>
      <c r="O54" s="176"/>
      <c r="P54" s="7"/>
      <c r="Q54" s="7"/>
      <c r="R54" s="7"/>
      <c r="S54" s="7"/>
    </row>
    <row r="55" spans="1:19" x14ac:dyDescent="0.2">
      <c r="B55" s="273"/>
      <c r="C55" s="274"/>
      <c r="D55" s="274"/>
      <c r="E55" s="274"/>
      <c r="F55" s="275"/>
      <c r="G55" s="206"/>
      <c r="H55" s="1"/>
      <c r="I55" s="176"/>
      <c r="J55" s="7"/>
      <c r="K55" s="7"/>
      <c r="L55" s="180"/>
      <c r="M55" s="7"/>
      <c r="O55" s="176"/>
      <c r="P55" s="7"/>
      <c r="Q55" s="7"/>
      <c r="R55" s="180"/>
      <c r="S55" s="7"/>
    </row>
    <row r="56" spans="1:19" x14ac:dyDescent="0.2">
      <c r="B56" s="61" t="s">
        <v>84</v>
      </c>
      <c r="C56" s="221" t="s">
        <v>85</v>
      </c>
      <c r="D56" s="221" t="s">
        <v>86</v>
      </c>
      <c r="E56" s="221" t="s">
        <v>87</v>
      </c>
      <c r="F56" s="221" t="s">
        <v>88</v>
      </c>
      <c r="G56" s="135"/>
      <c r="H56" s="1"/>
      <c r="I56" s="176"/>
      <c r="J56" s="7"/>
      <c r="K56" s="7"/>
      <c r="L56" s="7"/>
      <c r="M56" s="7"/>
      <c r="O56" s="176"/>
      <c r="P56" s="7"/>
      <c r="Q56" s="7"/>
      <c r="R56" s="7"/>
      <c r="S56" s="7"/>
    </row>
    <row r="57" spans="1:19" x14ac:dyDescent="0.2">
      <c r="B57" s="181" t="s">
        <v>23</v>
      </c>
      <c r="C57" s="1">
        <f>+P9*S9</f>
        <v>0</v>
      </c>
      <c r="D57" s="1">
        <f>+Q9*S9</f>
        <v>0</v>
      </c>
      <c r="E57" s="1">
        <f>+Q41*C57</f>
        <v>0</v>
      </c>
      <c r="F57" s="1">
        <f>+D57*R41</f>
        <v>0</v>
      </c>
      <c r="G57" s="151">
        <f>SUM(E57:F57)</f>
        <v>0</v>
      </c>
      <c r="H57" s="1"/>
      <c r="I57" s="176"/>
      <c r="J57" s="7"/>
      <c r="K57" s="7"/>
      <c r="L57" s="7"/>
      <c r="M57" s="7"/>
      <c r="O57" s="176"/>
      <c r="P57" s="7"/>
      <c r="Q57" s="7"/>
      <c r="R57" s="7"/>
      <c r="S57" s="7"/>
    </row>
    <row r="58" spans="1:19" x14ac:dyDescent="0.2">
      <c r="B58" s="181" t="s">
        <v>24</v>
      </c>
      <c r="C58" s="1">
        <f>+P10*S10</f>
        <v>0</v>
      </c>
      <c r="D58" s="1">
        <f>+Q10*S10</f>
        <v>0</v>
      </c>
      <c r="E58" s="1">
        <f>+C58*Q41</f>
        <v>0</v>
      </c>
      <c r="F58" s="1">
        <f>+D58*R41</f>
        <v>0</v>
      </c>
      <c r="G58" s="151">
        <f>SUM(E58:F58)</f>
        <v>0</v>
      </c>
      <c r="H58" s="1"/>
    </row>
    <row r="59" spans="1:19" x14ac:dyDescent="0.2">
      <c r="B59" s="61"/>
      <c r="C59" s="182"/>
      <c r="D59" s="75"/>
      <c r="E59" s="76"/>
      <c r="F59" s="183" t="s">
        <v>89</v>
      </c>
      <c r="G59" s="171">
        <f>SUM(G52:G58)</f>
        <v>2500</v>
      </c>
      <c r="H59" s="1"/>
    </row>
    <row r="60" spans="1:19" ht="15" x14ac:dyDescent="0.25">
      <c r="N60"/>
      <c r="O60"/>
      <c r="P60"/>
      <c r="Q60"/>
      <c r="R60"/>
    </row>
  </sheetData>
  <mergeCells count="42">
    <mergeCell ref="O39:P39"/>
    <mergeCell ref="Q39:R39"/>
    <mergeCell ref="B53:F53"/>
    <mergeCell ref="B54:F54"/>
    <mergeCell ref="B55:F55"/>
    <mergeCell ref="K18:M18"/>
    <mergeCell ref="O18:P18"/>
    <mergeCell ref="Q18:R18"/>
    <mergeCell ref="Q19:R19"/>
    <mergeCell ref="Q20:R20"/>
    <mergeCell ref="E39:F39"/>
    <mergeCell ref="G39:H39"/>
    <mergeCell ref="I39:J39"/>
    <mergeCell ref="K39:L39"/>
    <mergeCell ref="M39:N39"/>
    <mergeCell ref="K16:M16"/>
    <mergeCell ref="O16:P16"/>
    <mergeCell ref="Q16:R16"/>
    <mergeCell ref="K17:M17"/>
    <mergeCell ref="O17:P17"/>
    <mergeCell ref="Q17:R17"/>
    <mergeCell ref="K14:M14"/>
    <mergeCell ref="O14:P14"/>
    <mergeCell ref="Q14:R14"/>
    <mergeCell ref="K15:M15"/>
    <mergeCell ref="O15:P15"/>
    <mergeCell ref="Q15:R15"/>
    <mergeCell ref="C6:D6"/>
    <mergeCell ref="G6:H6"/>
    <mergeCell ref="K6:L6"/>
    <mergeCell ref="U6:X10"/>
    <mergeCell ref="C7:D7"/>
    <mergeCell ref="G7:H7"/>
    <mergeCell ref="K7:L7"/>
    <mergeCell ref="B9:C10"/>
    <mergeCell ref="K9:L9"/>
    <mergeCell ref="H1:I1"/>
    <mergeCell ref="M1:N1"/>
    <mergeCell ref="U4:X4"/>
    <mergeCell ref="C5:D5"/>
    <mergeCell ref="G5:H5"/>
    <mergeCell ref="K5:L5"/>
  </mergeCell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257" r:id="rId4" name="Drop Down 1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58" r:id="rId5" name="Drop Down 2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59" r:id="rId6" name="Drop Down 3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0" r:id="rId7" name="Drop Down 4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1" r:id="rId8" name="Drop Down 5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2" r:id="rId9" name="Drop Down 6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3" r:id="rId10" name="Drop Down 7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4" r:id="rId11" name="Drop Down 8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5" r:id="rId12" name="Drop Down 9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</vt:lpstr>
      <vt:lpstr>ILO-MATARANI</vt:lpstr>
      <vt:lpstr>ILO-SAN JUAN DE MARCONA</vt:lpstr>
      <vt:lpstr>ILO-MEJILLONES</vt:lpstr>
      <vt:lpstr>'ILO-MATARANI'!Área_de_impresión</vt:lpstr>
      <vt:lpstr>'ILO-MEJILLONES'!Área_de_impresión</vt:lpstr>
      <vt:lpstr>'ILO-SAN JUAN DE MARCONA'!Área_de_impresión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Castro</dc:creator>
  <cp:lastModifiedBy>Patricia</cp:lastModifiedBy>
  <cp:lastPrinted>2025-11-21T16:11:35Z</cp:lastPrinted>
  <dcterms:created xsi:type="dcterms:W3CDTF">2025-04-28T19:34:05Z</dcterms:created>
  <dcterms:modified xsi:type="dcterms:W3CDTF">2026-06-18T22:33:59Z</dcterms:modified>
</cp:coreProperties>
</file>
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AREAS IOSEF\"/>
    </mc:Choice>
  </mc:AlternateContent>
  <xr:revisionPtr revIDLastSave="0" documentId="13_ncr:1_{BACC9A51-B0E8-4F75-AFD9-88E91E72BC17}" xr6:coauthVersionLast="47" xr6:coauthVersionMax="47" xr10:uidLastSave="{00000000-0000-0000-0000-000000000000}"/>
  <bookViews>
    <workbookView xWindow="28680" yWindow="-135" windowWidth="29040" windowHeight="15720" firstSheet="1" activeTab="1" xr2:uid="{00000000-000D-0000-FFFF-FFFF00000000}"/>
  </bookViews>
  <sheets>
    <sheet name="ilo patio puerto" sheetId="18" state="hidden" r:id="rId1"/>
    <sheet name="MATARANI" sheetId="7" r:id="rId2"/>
    <sheet name="RESUMEN PERU" sheetId="11" r:id="rId3"/>
    <sheet name=" RESUMEN CHILE" sheetId="13" r:id="rId4"/>
    <sheet name="Hoja2" sheetId="15" state="hidden" r:id="rId5"/>
    <sheet name="Hoja1" sheetId="17" state="hidden" r:id="rId6"/>
    <sheet name="BOMAR PORT COST 2021-2024" sheetId="14" state="hidden" r:id="rId7"/>
  </sheets>
  <definedNames>
    <definedName name="_xlnm.Print_Area" localSheetId="3">' RESUMEN CHILE'!$A$1:$H$28</definedName>
    <definedName name="_xlnm.Print_Area" localSheetId="4">Hoja2!$A$1:$G$15</definedName>
    <definedName name="_xlnm.Print_Area" localSheetId="1">MATARANI!$A$1:$N$48</definedName>
    <definedName name="_xlnm.Print_Area" localSheetId="2">'RESUMEN PERU'!$A$1:$I$31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7" l="1"/>
  <c r="J37" i="7"/>
  <c r="H37" i="7"/>
  <c r="F37" i="7"/>
  <c r="L20" i="7"/>
  <c r="L19" i="7"/>
  <c r="J20" i="7"/>
  <c r="J19" i="7"/>
  <c r="H20" i="7"/>
  <c r="H19" i="7"/>
  <c r="F20" i="7"/>
  <c r="F19" i="7"/>
  <c r="L18" i="7"/>
  <c r="J18" i="7"/>
  <c r="H18" i="7"/>
  <c r="F18" i="7"/>
  <c r="J21" i="7" l="1"/>
  <c r="H21" i="7"/>
  <c r="L21" i="7"/>
  <c r="F21" i="7"/>
  <c r="F23" i="7"/>
  <c r="H23" i="7"/>
  <c r="L23" i="7"/>
  <c r="J23" i="7"/>
  <c r="L22" i="7"/>
  <c r="J22" i="7"/>
  <c r="H22" i="7"/>
  <c r="F22" i="7"/>
  <c r="L28" i="7"/>
  <c r="J28" i="7"/>
  <c r="H28" i="7"/>
  <c r="F28" i="7"/>
  <c r="K26" i="7"/>
  <c r="L26" i="7" s="1"/>
  <c r="I26" i="7"/>
  <c r="J26" i="7" s="1"/>
  <c r="G26" i="7"/>
  <c r="H26" i="7" s="1"/>
  <c r="E26" i="7"/>
  <c r="F26" i="7" s="1"/>
  <c r="K25" i="7"/>
  <c r="L25" i="7" s="1"/>
  <c r="I25" i="7"/>
  <c r="J25" i="7" s="1"/>
  <c r="G25" i="7"/>
  <c r="H25" i="7" s="1"/>
  <c r="E25" i="7"/>
  <c r="F25" i="7" s="1"/>
  <c r="L29" i="7"/>
  <c r="J29" i="7"/>
  <c r="H29" i="7"/>
  <c r="H30" i="7"/>
  <c r="J30" i="7"/>
  <c r="L30" i="7"/>
  <c r="L31" i="7"/>
  <c r="J31" i="7"/>
  <c r="H31" i="7"/>
  <c r="L35" i="7"/>
  <c r="L34" i="7"/>
  <c r="L33" i="7"/>
  <c r="J33" i="7"/>
  <c r="J35" i="7"/>
  <c r="J34" i="7"/>
  <c r="H35" i="7"/>
  <c r="H34" i="7"/>
  <c r="H33" i="7"/>
  <c r="F11" i="7" l="1"/>
  <c r="E27" i="7" s="1"/>
  <c r="F27" i="7" s="1"/>
  <c r="L11" i="7"/>
  <c r="K27" i="7" s="1"/>
  <c r="L27" i="7" s="1"/>
  <c r="J11" i="7"/>
  <c r="I27" i="7" s="1"/>
  <c r="J27" i="7" s="1"/>
  <c r="H11" i="7"/>
  <c r="G27" i="7" s="1"/>
  <c r="H27" i="7" s="1"/>
  <c r="F31" i="7" l="1"/>
  <c r="F35" i="7"/>
  <c r="F34" i="7"/>
  <c r="F33" i="7"/>
  <c r="B26" i="13" l="1"/>
  <c r="E9" i="11"/>
  <c r="E10" i="11"/>
  <c r="E7" i="11"/>
  <c r="D24" i="18"/>
  <c r="D27" i="18" s="1"/>
  <c r="E11" i="11"/>
  <c r="E8" i="11"/>
  <c r="D7" i="11"/>
  <c r="E13" i="11" l="1"/>
  <c r="E16" i="11" s="1"/>
  <c r="B30" i="11"/>
  <c r="E24" i="18" l="1"/>
  <c r="E20" i="18"/>
  <c r="E17" i="18"/>
  <c r="E15" i="18"/>
  <c r="E23" i="18"/>
  <c r="E18" i="18"/>
  <c r="E16" i="18"/>
  <c r="E14" i="18"/>
  <c r="E12" i="18"/>
  <c r="E10" i="18"/>
  <c r="E22" i="18"/>
  <c r="E21" i="18"/>
  <c r="E19" i="18"/>
  <c r="E13" i="18"/>
  <c r="E11" i="18"/>
  <c r="G10" i="11"/>
  <c r="D11" i="13"/>
  <c r="D10" i="13"/>
  <c r="D18" i="17" l="1"/>
  <c r="E17" i="17" s="1"/>
  <c r="F12" i="13"/>
  <c r="F10" i="13"/>
  <c r="B25" i="13"/>
  <c r="D13" i="14"/>
  <c r="F9" i="13" l="1"/>
  <c r="F13" i="13" s="1"/>
  <c r="F16" i="13" s="1"/>
  <c r="E18" i="17"/>
  <c r="E13" i="17"/>
  <c r="E14" i="17"/>
  <c r="E16" i="17"/>
  <c r="E10" i="17"/>
  <c r="F8" i="14"/>
  <c r="F13" i="14" s="1"/>
  <c r="F16" i="14" s="1"/>
  <c r="G13" i="14"/>
  <c r="G16" i="14" s="1"/>
  <c r="E13" i="14"/>
  <c r="E16" i="14" s="1"/>
  <c r="D16" i="14"/>
  <c r="E18" i="14" l="1"/>
  <c r="E21" i="14" s="1"/>
  <c r="G18" i="14"/>
  <c r="G21" i="14" s="1"/>
  <c r="F18" i="14"/>
  <c r="F21" i="14" s="1"/>
  <c r="D21" i="14"/>
  <c r="D9" i="13" l="1"/>
  <c r="F6" i="15" l="1"/>
  <c r="F7" i="15"/>
  <c r="F8" i="15"/>
  <c r="F9" i="15"/>
  <c r="F5" i="15"/>
  <c r="R3" i="15" l="1"/>
  <c r="M3" i="15" l="1"/>
  <c r="F10" i="15"/>
  <c r="E10" i="15"/>
  <c r="D10" i="15"/>
  <c r="G11" i="13" l="1"/>
  <c r="G7" i="11" l="1"/>
  <c r="G12" i="13" l="1"/>
  <c r="E12" i="13"/>
  <c r="D12" i="13"/>
  <c r="G10" i="13"/>
  <c r="E10" i="13"/>
  <c r="D13" i="13" l="1"/>
  <c r="D16" i="13" s="1"/>
  <c r="H7" i="11" l="1"/>
  <c r="H9" i="11"/>
  <c r="H11" i="11"/>
  <c r="F7" i="11"/>
  <c r="F11" i="11"/>
  <c r="F10" i="11"/>
  <c r="D9" i="11"/>
  <c r="D10" i="11"/>
  <c r="D11" i="11"/>
  <c r="E9" i="13" l="1"/>
  <c r="E13" i="13" s="1"/>
  <c r="E16" i="13" s="1"/>
  <c r="H13" i="11"/>
  <c r="G9" i="13" l="1"/>
  <c r="H16" i="11"/>
  <c r="F13" i="11"/>
  <c r="F16" i="11" s="1"/>
  <c r="G13" i="13" l="1"/>
  <c r="G16" i="13" s="1"/>
  <c r="D13" i="11"/>
  <c r="D16" i="11" s="1"/>
  <c r="G13" i="11" l="1"/>
  <c r="G16" i="11" s="1"/>
</calcChain>
</file>

<file path=xl/sharedStrings.xml><?xml version="1.0" encoding="utf-8"?>
<sst xmlns="http://schemas.openxmlformats.org/spreadsheetml/2006/main" count="269" uniqueCount="180">
  <si>
    <t>US$</t>
  </si>
  <si>
    <t>A)</t>
  </si>
  <si>
    <t>Shifting Expenses</t>
  </si>
  <si>
    <t>B)</t>
  </si>
  <si>
    <t>General Port Expenses</t>
  </si>
  <si>
    <t>C)</t>
  </si>
  <si>
    <t>Agency Expenses</t>
  </si>
  <si>
    <t>Agency Fee</t>
  </si>
  <si>
    <t>T O T A L</t>
  </si>
  <si>
    <t>OBSERVACIONES :</t>
  </si>
  <si>
    <t>OBSERVACIONES</t>
  </si>
  <si>
    <t>Tarifa fija según Sanidad maritima.</t>
  </si>
  <si>
    <t>Launch Hire.</t>
  </si>
  <si>
    <t>COMPARATIVO DE COSTOS B/T MOQUEGUA</t>
  </si>
  <si>
    <t>%</t>
  </si>
  <si>
    <t>ILO</t>
  </si>
  <si>
    <t>Tarifa Direccion de Hidrografia y navegacion</t>
  </si>
  <si>
    <t>Tarifa APN.</t>
  </si>
  <si>
    <t>Practicaje</t>
  </si>
  <si>
    <t>Dockage /Muellaje</t>
  </si>
  <si>
    <t>Transtotal. Tarifa Fija por Nave.</t>
  </si>
  <si>
    <t xml:space="preserve">Region Moquegua. Tarifa </t>
  </si>
  <si>
    <t>Tarifa fija. Transtotal por Agenciamiento de Nave.</t>
  </si>
  <si>
    <t>Tarifa fija. Transtotal por Nave.</t>
  </si>
  <si>
    <t>Tarifa Port Opeartions $ 1,500 por maniobra.</t>
  </si>
  <si>
    <t>SPCC, Tarifa deAmarre y desamarre $ 300.00 , y  Muelle SPCC $ 0.05 x Trb x dia.</t>
  </si>
  <si>
    <t>*NO INCLUYE IGV.</t>
  </si>
  <si>
    <t>Towage.</t>
  </si>
  <si>
    <t>Ligth  Dues.</t>
  </si>
  <si>
    <t>* ADELANTOS  POR  CADA VIAJES MENSUALES  $ 18,000.00 para B&amp;M.</t>
  </si>
  <si>
    <t>BARQUITO</t>
  </si>
  <si>
    <t>MATARANI</t>
  </si>
  <si>
    <t>Recargos</t>
  </si>
  <si>
    <t>Tarifa de Transtotal.Fija.Mooring /unmooring  por maniobra/por lancha.</t>
  </si>
  <si>
    <t>Tarifa Region Moquegua.</t>
  </si>
  <si>
    <t xml:space="preserve">Tarifa fija Transtotal por Agenciamiento de Nave.         </t>
  </si>
  <si>
    <t xml:space="preserve">*INCLUYE MUELLAJE. </t>
  </si>
  <si>
    <t xml:space="preserve">Tarifa fija.B&amp;M por Agenciamiento de Nave.                </t>
  </si>
  <si>
    <t xml:space="preserve">*NO INCLUYE MUELLAJE </t>
  </si>
  <si>
    <t>Loading Master</t>
  </si>
  <si>
    <t>CALLAO</t>
  </si>
  <si>
    <t>MARCONA</t>
  </si>
  <si>
    <t>Towage /Remolcaje</t>
  </si>
  <si>
    <t>USD</t>
  </si>
  <si>
    <t>TOTAL  USD</t>
  </si>
  <si>
    <t>*</t>
  </si>
  <si>
    <t>Port Operation &amp; Services- Practicaje</t>
  </si>
  <si>
    <t>Remolcaje PSA Marine</t>
  </si>
  <si>
    <t>MEJILLONES</t>
  </si>
  <si>
    <t xml:space="preserve">Sanitary Inspection (Reception/Dispatch) </t>
  </si>
  <si>
    <t>Transportation</t>
  </si>
  <si>
    <t>Clearance (In/Out)</t>
  </si>
  <si>
    <t xml:space="preserve">Coordinator on board     </t>
  </si>
  <si>
    <t xml:space="preserve">Lighthouse Dues                 </t>
  </si>
  <si>
    <t xml:space="preserve">Tarifa fija Transtotal </t>
  </si>
  <si>
    <t>Southern /TISUR/APM</t>
  </si>
  <si>
    <t>MEJILLONES INTERACID</t>
  </si>
  <si>
    <t>Tarifa fija según Puerto Mejillones.por nominacion usd 2401.90</t>
  </si>
  <si>
    <t>B&amp;M /Remolcaje Stand by ULTRATUG</t>
  </si>
  <si>
    <t>B&amp;M/Remolcaje ULTRATUG</t>
  </si>
  <si>
    <t xml:space="preserve">B&amp;M / Dockage-Muellaje </t>
  </si>
  <si>
    <t>B&amp;M Agencia Maritima/Puerto Mejillones /Autoridad Maritima</t>
  </si>
  <si>
    <t>B&amp;M AGENTES MARITIMOS</t>
  </si>
  <si>
    <t>PUERTOS DE DESTINO</t>
  </si>
  <si>
    <t>*TOTAL  USD  SIN MUELLAJE</t>
  </si>
  <si>
    <t>TRANSTOTAL AGENCIA MARITIMA</t>
  </si>
  <si>
    <t>Transtotal Agencia Maritima.</t>
  </si>
  <si>
    <t>Petranso-Petrolera Transoceanica</t>
  </si>
  <si>
    <t>*TOTAL  USD</t>
  </si>
  <si>
    <r>
      <t xml:space="preserve">SIN IGV </t>
    </r>
    <r>
      <rPr>
        <b/>
        <i/>
        <sz val="12"/>
        <color rgb="FFC00000"/>
        <rFont val="Calibri"/>
        <family val="2"/>
        <scheme val="minor"/>
      </rPr>
      <t>*</t>
    </r>
  </si>
  <si>
    <t xml:space="preserve">*CARGA DE 13,500 TM -SUA </t>
  </si>
  <si>
    <t xml:space="preserve">H/P Naviera Petral </t>
  </si>
  <si>
    <t>* Incluye cargo de remolcadores  correspondiente a regulacion local con tarifa correspondiente  según acuerdo con remolcador Ultratug.</t>
  </si>
  <si>
    <t>* No incluye IGV.</t>
  </si>
  <si>
    <t>* No incluye Muellaje</t>
  </si>
  <si>
    <t>* No incluye recargos.</t>
  </si>
  <si>
    <t>* Informacion preparada en base a  proformas de Agente Maritimo B&amp;M.</t>
  </si>
  <si>
    <t xml:space="preserve">  para Barquito un aproximado de 40 horas de estadia.</t>
  </si>
  <si>
    <t xml:space="preserve">TRANSTOTAL </t>
  </si>
  <si>
    <t xml:space="preserve">B&amp;M </t>
  </si>
  <si>
    <t>TRANSTOTAL</t>
  </si>
  <si>
    <t>* Costo PSA Marine en Puerto Marcona  ( sin incluir recargos )</t>
  </si>
  <si>
    <t xml:space="preserve">*LIGHT DUES CHILE = USD 3.74 /GRT POR AÑO : USD 30,888.66
</t>
  </si>
  <si>
    <t>TOTAL  USD  SIN MUELLAJE-REMOLCAJE STAND BY BARQUITO</t>
  </si>
  <si>
    <r>
      <t xml:space="preserve">A. Detalle de servicios. </t>
    </r>
    <r>
      <rPr>
        <b/>
        <i/>
        <sz val="11"/>
        <color theme="1"/>
        <rFont val="Calibri"/>
        <family val="2"/>
        <scheme val="minor"/>
      </rPr>
      <t>USD 1,800</t>
    </r>
  </si>
  <si>
    <t>2 lanchas para Amarra</t>
  </si>
  <si>
    <t>1 lancha para desamarra</t>
  </si>
  <si>
    <t>1 recepción</t>
  </si>
  <si>
    <t xml:space="preserve">1 despacho </t>
  </si>
  <si>
    <t xml:space="preserve">B. Servicios adicionales </t>
  </si>
  <si>
    <t xml:space="preserve">Adicional horario normal (hábil) </t>
  </si>
  <si>
    <t>Fondeo                : USD 340 X HR</t>
  </si>
  <si>
    <t>Viajes                   : USD 150 X HR</t>
  </si>
  <si>
    <t>Adicional horario nocturno y festivos</t>
  </si>
  <si>
    <t>Fondeo                : USD 510 X HR</t>
  </si>
  <si>
    <t>Viajes                   : USD 225 X HR.</t>
  </si>
  <si>
    <t xml:space="preserve"> Serv.Transporte Maritimo Atlantic Service.</t>
  </si>
  <si>
    <t>2017-2023</t>
  </si>
  <si>
    <t>Servicio de lanchas marre, desamarre, recepcion , despacho</t>
  </si>
  <si>
    <t>Recargos adicionales  fondeo / feriados y horas nocturnas/ por hora</t>
  </si>
  <si>
    <t>Recargos adicionales por  viajes / feriados y horas nocturnas/ por hora</t>
  </si>
  <si>
    <t>Recargos adicionales  viajes /horario normal / por hora</t>
  </si>
  <si>
    <t>Recargos adicionales  fondeo/horario normal / por hora</t>
  </si>
  <si>
    <t>INCREMENTO</t>
  </si>
  <si>
    <t>Enero 2024.</t>
  </si>
  <si>
    <t>Mtons 13,500.00</t>
  </si>
  <si>
    <t>PUERTO DE DESTINO</t>
  </si>
  <si>
    <t>B&amp;M Agencia Maritima/Puerto Mejillones /Autoridad Maritima/Lanchas/Faros y Balizas/Pilot/Loading Master/Salud.</t>
  </si>
  <si>
    <t xml:space="preserve">B&amp;M /Lancha Stand by </t>
  </si>
  <si>
    <t>B&amp;M/Remolcaje ULTRATUG *</t>
  </si>
  <si>
    <t>TOTAL  USD  SIN MUELLAJE</t>
  </si>
  <si>
    <t>DIFERENCIAL POR AÑO USD</t>
  </si>
  <si>
    <t>DIFERENCIAL POR AÑO  %</t>
  </si>
  <si>
    <t>Nota: El incremento de tarifa en los costos  se origina principalmente  por  el incremento de tarifa de Remolcaje con Ultratug.</t>
  </si>
  <si>
    <t>*Incluye cargo de remolcadores  correspondiente a regulacion local, con tarifa correspondiente  acuerdo con Ultratug vigente desde el mes de Agosto 2023 hasta Agosto 2024.</t>
  </si>
  <si>
    <t>** De acuerdo a proformas de Agentes Maritimos B&amp;M .</t>
  </si>
  <si>
    <t>BOMAR LYNX</t>
  </si>
  <si>
    <t>COSTOS PORTUARIOS  2021-2024</t>
  </si>
  <si>
    <t>H/P Naviera Petral / Sandra Galvez</t>
  </si>
  <si>
    <t>TERQUIM</t>
  </si>
  <si>
    <t>USD 3.74 /GRT por año./3 viajes.</t>
  </si>
  <si>
    <t>Tarifa Fija. 2024  $ 5,200  por maniobra mooring/unmooring- Remolcadores Ultratug Ltd.</t>
  </si>
  <si>
    <t>Hose conection</t>
  </si>
  <si>
    <t>COSTOS PORTUARIOS   BT MOQUEGUA 2026 SIN IGV.</t>
  </si>
  <si>
    <t>COSTOS PORTUARIOS   BT MOQUEGUA 2026</t>
  </si>
  <si>
    <t>* Informacion preparada en base a  proformas y tarifas por Agente Maritimo Transtotal , Psa Marine,Petranso, TISUR,APM,Port Operation aplicables a partir de Febrero 2026.</t>
  </si>
  <si>
    <t>ILO-PATIO PUERTO</t>
  </si>
  <si>
    <t>SIN IGV *</t>
  </si>
  <si>
    <t>ILO PATIO PUERTO</t>
  </si>
  <si>
    <t>Transtotal.Fija.Mooring /unmooring ,pilot,posicionamiento por maniobra/por lancha.</t>
  </si>
  <si>
    <t>*NO INCLUYE  RECARGOS PSA MARINE/PETRANSO</t>
  </si>
  <si>
    <t>Time in port (hrs) 30 -Carga de 13,500.00TN SUA.</t>
  </si>
  <si>
    <t>Tarifa-PSA Marine  $ 0.16 x  Trb.8259</t>
  </si>
  <si>
    <t>Petranso Remolcadores   Tarifa $ 0.1785 x Trb 8259 sujeta a 10% descuentos, posicionamiento $ 1400</t>
  </si>
  <si>
    <t>Eslora        :          134.16 mtrs.</t>
  </si>
  <si>
    <t>GRT           :          8,259.00 mtons.</t>
  </si>
  <si>
    <t>ITEMS</t>
  </si>
  <si>
    <t>TARIFA</t>
  </si>
  <si>
    <t>CANTIDAD</t>
  </si>
  <si>
    <t>t/c</t>
  </si>
  <si>
    <t>horas</t>
  </si>
  <si>
    <t>carga</t>
  </si>
  <si>
    <t>rtimo</t>
  </si>
  <si>
    <t>Peru</t>
  </si>
  <si>
    <t>Moquegua</t>
  </si>
  <si>
    <t>Tablones</t>
  </si>
  <si>
    <t>Comunication</t>
  </si>
  <si>
    <t>Transportation (Autoridades,coordinador y 
personal operativo)</t>
  </si>
  <si>
    <t>Huemul</t>
  </si>
  <si>
    <t>Concon Trader</t>
  </si>
  <si>
    <t>Port toll /Land transport /terminal fee</t>
  </si>
  <si>
    <t>USD$225* por dia + 18% IGV</t>
  </si>
  <si>
    <t xml:space="preserve">Tisur Tarifa  $0.57 X Hora  (24 )X Eslora </t>
  </si>
  <si>
    <t>DW            :                                 14,298.00 mtons.</t>
  </si>
  <si>
    <t>PAIS ORIGEN:</t>
  </si>
  <si>
    <t xml:space="preserve">Lighthouse Dues (Aplica si el buque viene de PUERTO NACIONAL)        </t>
  </si>
  <si>
    <t xml:space="preserve">Lighthouse Dues (Aplica si el buque viene de  PUERTO EXTRANJERO)                </t>
  </si>
  <si>
    <t xml:space="preserve">GRT           :     </t>
  </si>
  <si>
    <t xml:space="preserve">Eslora        :    </t>
  </si>
  <si>
    <t xml:space="preserve">DW            :        </t>
  </si>
  <si>
    <t>Eslora        :          </t>
  </si>
  <si>
    <t>DW            :     </t>
  </si>
  <si>
    <t>GRT           :       </t>
  </si>
  <si>
    <t>Eslora        :         </t>
  </si>
  <si>
    <t xml:space="preserve">DW            :       </t>
  </si>
  <si>
    <t>GRT     </t>
  </si>
  <si>
    <t>Dockage /Muellaje ( $0.65*LOA*Hr)</t>
  </si>
  <si>
    <t>Launch autoridades / Min 2 hrs</t>
  </si>
  <si>
    <t>Linesmen /amarre y desamarre</t>
  </si>
  <si>
    <t xml:space="preserve">Cargo de Acceso </t>
  </si>
  <si>
    <t>Pilot + Tug Boats + Lancha para pilot(Servicio integral)</t>
  </si>
  <si>
    <t>Tarifa de servicio integral-PSA  . Incluye Remolcaje , Practicaje , Lancha</t>
  </si>
  <si>
    <t>Tarifa de servicio integral-PSA . Acceso $ 70.00 + IGV</t>
  </si>
  <si>
    <t>Tarifa de servicio integral-PSA  min .25% max 50%</t>
  </si>
  <si>
    <t>Tarifa Direccion de Hidrografia y Navegacion.</t>
  </si>
  <si>
    <t>Recargo Servicio Integral Atraque/Desatraque - 25%</t>
  </si>
  <si>
    <t>Recargo Servicio Integral Atraque/Desatraque - 50%</t>
  </si>
  <si>
    <t xml:space="preserve">Recargo Servicio Integral Atraque/Desatraque : </t>
  </si>
  <si>
    <t>25% Lunes a Sábado( 1800 a 2400 hrs)</t>
  </si>
  <si>
    <t>50% Lunes a Sábado( 0000 a 0700 hrs), Domingo y Feriados ( todo el día)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</si>
</sst>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$-409]#,##0.00"/>
    <numFmt numFmtId="166" formatCode="[$$-540A]#,##0.00"/>
  </numFmts>
  <fonts count="6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i/>
      <u/>
      <sz val="14"/>
      <name val="Arial"/>
      <family val="2"/>
    </font>
    <font>
      <b/>
      <i/>
      <u/>
      <sz val="12"/>
      <name val="Arial"/>
      <family val="2"/>
    </font>
    <font>
      <b/>
      <i/>
      <sz val="10"/>
      <color rgb="FFC0000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i/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rgb="FF1F497D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8"/>
      <color rgb="FFC00000"/>
      <name val="Calibri"/>
      <family val="2"/>
      <scheme val="minor"/>
    </font>
    <font>
      <b/>
      <i/>
      <sz val="18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name val="Arial"/>
      <family val="2"/>
    </font>
    <font>
      <b/>
      <i/>
      <sz val="10"/>
      <color theme="8" tint="-0.499984740745262"/>
      <name val="Arial"/>
      <family val="2"/>
    </font>
    <font>
      <b/>
      <sz val="10"/>
      <color theme="8" tint="-0.499984740745262"/>
      <name val="Arial"/>
      <family val="2"/>
    </font>
    <font>
      <b/>
      <i/>
      <sz val="18"/>
      <color theme="1" tint="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4"/>
      <color theme="1"/>
      <name val="Arial"/>
      <family val="2"/>
    </font>
    <font>
      <b/>
      <i/>
      <sz val="14"/>
      <name val="Arial"/>
      <family val="2"/>
    </font>
    <font>
      <i/>
      <sz val="11"/>
      <color theme="1"/>
      <name val="Calibri"/>
      <family val="2"/>
      <scheme val="minor"/>
    </font>
    <font>
      <b/>
      <i/>
      <sz val="2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sz val="10"/>
      <color theme="4" tint="-0.499984740745262"/>
      <name val="Arial"/>
      <family val="2"/>
    </font>
    <font>
      <sz val="12"/>
      <name val="Calibri"/>
      <family val="2"/>
      <scheme val="minor"/>
    </font>
    <font>
      <b/>
      <i/>
      <sz val="11"/>
      <name val="Arial"/>
      <family val="2"/>
    </font>
    <font>
      <sz val="11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b/>
      <i/>
      <sz val="10"/>
      <color theme="1"/>
      <name val="Arial"/>
      <family val="2"/>
    </font>
    <font>
      <b/>
      <i/>
      <sz val="16"/>
      <name val="Calibri"/>
      <family val="2"/>
      <scheme val="minor"/>
    </font>
    <font>
      <b/>
      <i/>
      <sz val="26"/>
      <color theme="4" tint="-0.499984740745262"/>
      <name val="Calibri"/>
      <family val="2"/>
      <scheme val="minor"/>
    </font>
    <font>
      <b/>
      <i/>
      <sz val="26"/>
      <color theme="1"/>
      <name val="Calibri"/>
      <family val="2"/>
      <scheme val="minor"/>
    </font>
    <font>
      <b/>
      <u/>
      <sz val="20"/>
      <color theme="1"/>
      <name val="Arial"/>
      <family val="2"/>
    </font>
    <font>
      <b/>
      <sz val="12"/>
      <color rgb="FF201F1E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color theme="1"/>
      <name val="Arial"/>
      <family val="2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  <font>
      <b/>
      <sz val="20"/>
      <color theme="4" tint="-0.499984740745262"/>
      <name val="Calibri"/>
      <family val="2"/>
      <scheme val="minor"/>
    </font>
    <font>
      <b/>
      <sz val="18"/>
      <color theme="4" tint="-0.499984740745262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theme="5" tint="-0.499984740745262"/>
      <name val="Arial"/>
      <family val="2"/>
    </font>
    <font>
      <i/>
      <sz val="11"/>
      <color theme="1"/>
      <name val="Arial"/>
      <family val="2"/>
    </font>
    <font>
      <i/>
      <sz val="11"/>
      <name val="Times New Roman"/>
      <family val="1"/>
    </font>
    <font>
      <b/>
      <i/>
      <u/>
      <sz val="11"/>
      <name val="Arial"/>
      <family val="2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i/>
      <sz val="12"/>
      <color rgb="FFFF0000"/>
      <name val="Times New Roman"/>
      <family val="1"/>
    </font>
    <font>
      <b/>
      <sz val="11"/>
      <color theme="4" tint="-0.49998474074526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</cellStyleXfs>
  <cellXfs count="409">
    <xf numFmtId="0" fontId="0" fillId="0" borderId="0" xfId="0"/>
    <xf numFmtId="0" fontId="0" fillId="0" borderId="2" xfId="0" applyBorder="1"/>
    <xf numFmtId="0" fontId="0" fillId="0" borderId="5" xfId="0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5" xfId="0" applyFont="1" applyBorder="1"/>
    <xf numFmtId="0" fontId="2" fillId="0" borderId="8" xfId="0" applyFont="1" applyBorder="1" applyAlignment="1">
      <alignment horizontal="left"/>
    </xf>
    <xf numFmtId="0" fontId="0" fillId="0" borderId="6" xfId="0" applyBorder="1"/>
    <xf numFmtId="0" fontId="9" fillId="0" borderId="0" xfId="0" applyFont="1"/>
    <xf numFmtId="0" fontId="9" fillId="0" borderId="1" xfId="0" applyFont="1" applyBorder="1"/>
    <xf numFmtId="0" fontId="10" fillId="0" borderId="0" xfId="0" applyFont="1" applyAlignment="1">
      <alignment vertical="center"/>
    </xf>
    <xf numFmtId="0" fontId="10" fillId="0" borderId="1" xfId="0" applyFont="1" applyBorder="1"/>
    <xf numFmtId="0" fontId="10" fillId="0" borderId="7" xfId="0" applyFont="1" applyBorder="1"/>
    <xf numFmtId="165" fontId="10" fillId="0" borderId="0" xfId="0" applyNumberFormat="1" applyFont="1"/>
    <xf numFmtId="165" fontId="9" fillId="0" borderId="0" xfId="0" applyNumberFormat="1" applyFont="1"/>
    <xf numFmtId="0" fontId="9" fillId="0" borderId="0" xfId="0" applyFont="1" applyAlignment="1">
      <alignment vertical="center"/>
    </xf>
    <xf numFmtId="0" fontId="6" fillId="2" borderId="12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2" fillId="2" borderId="13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1" fillId="2" borderId="14" xfId="1" applyFont="1" applyFill="1" applyBorder="1"/>
    <xf numFmtId="0" fontId="1" fillId="2" borderId="1" xfId="1" applyFont="1" applyFill="1" applyBorder="1"/>
    <xf numFmtId="4" fontId="8" fillId="2" borderId="14" xfId="1" applyNumberFormat="1" applyFont="1" applyFill="1" applyBorder="1" applyAlignment="1">
      <alignment horizontal="center" vertical="center"/>
    </xf>
    <xf numFmtId="4" fontId="8" fillId="2" borderId="14" xfId="1" applyNumberFormat="1" applyFont="1" applyFill="1" applyBorder="1" applyAlignment="1">
      <alignment horizontal="center"/>
    </xf>
    <xf numFmtId="4" fontId="7" fillId="2" borderId="14" xfId="1" quotePrefix="1" applyNumberFormat="1" applyFont="1" applyFill="1" applyBorder="1" applyAlignment="1">
      <alignment horizontal="center"/>
    </xf>
    <xf numFmtId="4" fontId="8" fillId="2" borderId="14" xfId="0" applyNumberFormat="1" applyFont="1" applyFill="1" applyBorder="1" applyAlignment="1">
      <alignment horizontal="center" vertical="center"/>
    </xf>
    <xf numFmtId="4" fontId="11" fillId="2" borderId="14" xfId="0" applyNumberFormat="1" applyFont="1" applyFill="1" applyBorder="1" applyAlignment="1">
      <alignment horizontal="center"/>
    </xf>
    <xf numFmtId="4" fontId="1" fillId="2" borderId="14" xfId="0" applyNumberFormat="1" applyFont="1" applyFill="1" applyBorder="1" applyAlignment="1">
      <alignment horizontal="center"/>
    </xf>
    <xf numFmtId="165" fontId="1" fillId="2" borderId="10" xfId="0" applyNumberFormat="1" applyFont="1" applyFill="1" applyBorder="1" applyAlignment="1">
      <alignment horizontal="center"/>
    </xf>
    <xf numFmtId="4" fontId="8" fillId="2" borderId="10" xfId="1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/>
    </xf>
    <xf numFmtId="0" fontId="9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left" wrapText="1"/>
    </xf>
    <xf numFmtId="0" fontId="3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4" xfId="1" applyFont="1" applyFill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65" fontId="10" fillId="0" borderId="0" xfId="0" applyNumberFormat="1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0" fontId="14" fillId="3" borderId="0" xfId="0" applyFont="1" applyFill="1"/>
    <xf numFmtId="0" fontId="0" fillId="3" borderId="0" xfId="0" applyFill="1"/>
    <xf numFmtId="0" fontId="15" fillId="3" borderId="0" xfId="0" applyFont="1" applyFill="1"/>
    <xf numFmtId="0" fontId="19" fillId="3" borderId="0" xfId="0" applyFont="1" applyFill="1"/>
    <xf numFmtId="0" fontId="21" fillId="2" borderId="1" xfId="1" applyFont="1" applyFill="1" applyBorder="1" applyAlignment="1">
      <alignment horizontal="center"/>
    </xf>
    <xf numFmtId="4" fontId="22" fillId="2" borderId="1" xfId="1" applyNumberFormat="1" applyFont="1" applyFill="1" applyBorder="1" applyAlignment="1">
      <alignment horizontal="center" vertical="center"/>
    </xf>
    <xf numFmtId="4" fontId="11" fillId="2" borderId="14" xfId="0" applyNumberFormat="1" applyFont="1" applyFill="1" applyBorder="1" applyAlignment="1">
      <alignment horizontal="center" vertical="center"/>
    </xf>
    <xf numFmtId="0" fontId="16" fillId="4" borderId="22" xfId="0" applyFont="1" applyFill="1" applyBorder="1" applyAlignment="1">
      <alignment horizontal="center" vertical="center" wrapText="1"/>
    </xf>
    <xf numFmtId="0" fontId="16" fillId="4" borderId="23" xfId="0" applyFont="1" applyFill="1" applyBorder="1" applyAlignment="1">
      <alignment horizontal="center" vertical="center" wrapText="1"/>
    </xf>
    <xf numFmtId="0" fontId="24" fillId="0" borderId="0" xfId="0" applyFont="1"/>
    <xf numFmtId="166" fontId="26" fillId="0" borderId="17" xfId="0" applyNumberFormat="1" applyFont="1" applyBorder="1" applyAlignment="1">
      <alignment horizontal="right" vertical="center"/>
    </xf>
    <xf numFmtId="166" fontId="26" fillId="3" borderId="17" xfId="0" applyNumberFormat="1" applyFont="1" applyFill="1" applyBorder="1" applyAlignment="1">
      <alignment horizontal="right" vertical="center"/>
    </xf>
    <xf numFmtId="166" fontId="25" fillId="0" borderId="17" xfId="3" applyNumberFormat="1" applyFont="1" applyBorder="1" applyAlignment="1">
      <alignment horizontal="right" vertical="center"/>
    </xf>
    <xf numFmtId="166" fontId="25" fillId="0" borderId="25" xfId="3" applyNumberFormat="1" applyFont="1" applyBorder="1" applyAlignment="1">
      <alignment horizontal="right" vertical="center"/>
    </xf>
    <xf numFmtId="166" fontId="25" fillId="0" borderId="17" xfId="3" applyNumberFormat="1" applyFont="1" applyFill="1" applyBorder="1" applyAlignment="1">
      <alignment horizontal="right" vertical="center"/>
    </xf>
    <xf numFmtId="166" fontId="26" fillId="0" borderId="17" xfId="3" applyNumberFormat="1" applyFont="1" applyBorder="1" applyAlignment="1">
      <alignment horizontal="right" vertical="center"/>
    </xf>
    <xf numFmtId="166" fontId="26" fillId="3" borderId="17" xfId="3" applyNumberFormat="1" applyFont="1" applyFill="1" applyBorder="1" applyAlignment="1">
      <alignment horizontal="right" vertical="center"/>
    </xf>
    <xf numFmtId="166" fontId="25" fillId="0" borderId="19" xfId="3" applyNumberFormat="1" applyFont="1" applyFill="1" applyBorder="1" applyAlignment="1">
      <alignment horizontal="right" vertical="center"/>
    </xf>
    <xf numFmtId="166" fontId="25" fillId="0" borderId="19" xfId="3" applyNumberFormat="1" applyFont="1" applyBorder="1" applyAlignment="1">
      <alignment horizontal="right" vertical="center"/>
    </xf>
    <xf numFmtId="166" fontId="25" fillId="0" borderId="28" xfId="3" applyNumberFormat="1" applyFont="1" applyBorder="1" applyAlignment="1">
      <alignment horizontal="right" vertical="center"/>
    </xf>
    <xf numFmtId="166" fontId="16" fillId="5" borderId="21" xfId="3" applyNumberFormat="1" applyFont="1" applyFill="1" applyBorder="1" applyAlignment="1">
      <alignment horizontal="center"/>
    </xf>
    <xf numFmtId="166" fontId="16" fillId="5" borderId="29" xfId="3" applyNumberFormat="1" applyFont="1" applyFill="1" applyBorder="1" applyAlignment="1">
      <alignment horizontal="center"/>
    </xf>
    <xf numFmtId="166" fontId="27" fillId="0" borderId="0" xfId="0" applyNumberFormat="1" applyFont="1"/>
    <xf numFmtId="166" fontId="29" fillId="5" borderId="21" xfId="3" applyNumberFormat="1" applyFont="1" applyFill="1" applyBorder="1" applyAlignment="1">
      <alignment horizontal="center"/>
    </xf>
    <xf numFmtId="0" fontId="30" fillId="0" borderId="0" xfId="0" applyFont="1"/>
    <xf numFmtId="166" fontId="25" fillId="0" borderId="17" xfId="3" applyNumberFormat="1" applyFont="1" applyBorder="1" applyAlignment="1">
      <alignment vertical="center"/>
    </xf>
    <xf numFmtId="166" fontId="25" fillId="0" borderId="19" xfId="3" applyNumberFormat="1" applyFont="1" applyBorder="1" applyAlignment="1">
      <alignment vertical="center"/>
    </xf>
    <xf numFmtId="166" fontId="16" fillId="5" borderId="21" xfId="3" applyNumberFormat="1" applyFont="1" applyFill="1" applyBorder="1" applyAlignment="1"/>
    <xf numFmtId="0" fontId="31" fillId="4" borderId="17" xfId="0" applyFont="1" applyFill="1" applyBorder="1" applyAlignment="1">
      <alignment horizontal="center" wrapText="1"/>
    </xf>
    <xf numFmtId="0" fontId="31" fillId="4" borderId="17" xfId="0" applyFont="1" applyFill="1" applyBorder="1" applyAlignment="1">
      <alignment horizontal="center" vertical="top"/>
    </xf>
    <xf numFmtId="0" fontId="31" fillId="4" borderId="25" xfId="0" applyFont="1" applyFill="1" applyBorder="1" applyAlignment="1">
      <alignment horizontal="center" wrapText="1"/>
    </xf>
    <xf numFmtId="0" fontId="31" fillId="4" borderId="25" xfId="0" applyFont="1" applyFill="1" applyBorder="1" applyAlignment="1">
      <alignment horizontal="center" vertical="top"/>
    </xf>
    <xf numFmtId="166" fontId="25" fillId="0" borderId="25" xfId="3" applyNumberFormat="1" applyFont="1" applyBorder="1" applyAlignment="1">
      <alignment vertical="center"/>
    </xf>
    <xf numFmtId="166" fontId="26" fillId="3" borderId="25" xfId="0" applyNumberFormat="1" applyFont="1" applyFill="1" applyBorder="1" applyAlignment="1">
      <alignment vertical="center"/>
    </xf>
    <xf numFmtId="166" fontId="25" fillId="0" borderId="28" xfId="3" applyNumberFormat="1" applyFont="1" applyBorder="1" applyAlignment="1">
      <alignment vertical="center"/>
    </xf>
    <xf numFmtId="166" fontId="27" fillId="0" borderId="1" xfId="0" applyNumberFormat="1" applyFont="1" applyBorder="1"/>
    <xf numFmtId="166" fontId="16" fillId="5" borderId="29" xfId="3" applyNumberFormat="1" applyFont="1" applyFill="1" applyBorder="1" applyAlignment="1"/>
    <xf numFmtId="0" fontId="32" fillId="4" borderId="17" xfId="0" applyFont="1" applyFill="1" applyBorder="1" applyAlignment="1">
      <alignment horizontal="center" wrapText="1"/>
    </xf>
    <xf numFmtId="0" fontId="32" fillId="4" borderId="25" xfId="0" applyFont="1" applyFill="1" applyBorder="1" applyAlignment="1">
      <alignment horizontal="center" wrapText="1"/>
    </xf>
    <xf numFmtId="0" fontId="10" fillId="0" borderId="9" xfId="0" applyFont="1" applyBorder="1" applyAlignment="1">
      <alignment vertical="top" wrapText="1"/>
    </xf>
    <xf numFmtId="0" fontId="10" fillId="0" borderId="0" xfId="0" applyFont="1" applyAlignment="1">
      <alignment horizontal="left" vertical="top" wrapText="1"/>
    </xf>
    <xf numFmtId="4" fontId="34" fillId="2" borderId="1" xfId="1" applyNumberFormat="1" applyFont="1" applyFill="1" applyBorder="1" applyAlignment="1">
      <alignment horizontal="center" vertical="center"/>
    </xf>
    <xf numFmtId="4" fontId="34" fillId="2" borderId="10" xfId="1" applyNumberFormat="1" applyFont="1" applyFill="1" applyBorder="1" applyAlignment="1">
      <alignment horizontal="center" vertical="center"/>
    </xf>
    <xf numFmtId="0" fontId="37" fillId="0" borderId="0" xfId="0" applyFont="1"/>
    <xf numFmtId="0" fontId="2" fillId="0" borderId="0" xfId="0" applyFont="1" applyAlignment="1">
      <alignment vertical="center"/>
    </xf>
    <xf numFmtId="0" fontId="3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vertical="center" wrapText="1"/>
    </xf>
    <xf numFmtId="0" fontId="30" fillId="3" borderId="0" xfId="0" applyFont="1" applyFill="1"/>
    <xf numFmtId="166" fontId="27" fillId="3" borderId="0" xfId="0" applyNumberFormat="1" applyFont="1" applyFill="1"/>
    <xf numFmtId="0" fontId="2" fillId="3" borderId="0" xfId="0" applyFont="1" applyFill="1" applyAlignment="1">
      <alignment horizontal="left" vertical="top" wrapText="1"/>
    </xf>
    <xf numFmtId="0" fontId="35" fillId="3" borderId="0" xfId="0" applyFont="1" applyFill="1"/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7" fillId="3" borderId="0" xfId="0" applyFont="1" applyFill="1"/>
    <xf numFmtId="0" fontId="1" fillId="3" borderId="0" xfId="0" applyFont="1" applyFill="1"/>
    <xf numFmtId="0" fontId="27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 indent="5"/>
    </xf>
    <xf numFmtId="0" fontId="31" fillId="3" borderId="17" xfId="0" applyFont="1" applyFill="1" applyBorder="1" applyAlignment="1">
      <alignment horizontal="center" vertical="top"/>
    </xf>
    <xf numFmtId="0" fontId="31" fillId="3" borderId="25" xfId="0" applyFont="1" applyFill="1" applyBorder="1" applyAlignment="1">
      <alignment horizontal="center" vertical="top"/>
    </xf>
    <xf numFmtId="0" fontId="29" fillId="4" borderId="17" xfId="0" applyFont="1" applyFill="1" applyBorder="1" applyAlignment="1">
      <alignment horizontal="center" vertical="top"/>
    </xf>
    <xf numFmtId="0" fontId="29" fillId="4" borderId="25" xfId="0" applyFont="1" applyFill="1" applyBorder="1" applyAlignment="1">
      <alignment horizontal="center" vertical="top"/>
    </xf>
    <xf numFmtId="0" fontId="15" fillId="5" borderId="32" xfId="0" applyFont="1" applyFill="1" applyBorder="1" applyAlignment="1">
      <alignment horizontal="center" wrapText="1"/>
    </xf>
    <xf numFmtId="0" fontId="15" fillId="5" borderId="23" xfId="0" applyFont="1" applyFill="1" applyBorder="1" applyAlignment="1">
      <alignment horizontal="center" wrapText="1"/>
    </xf>
    <xf numFmtId="166" fontId="16" fillId="5" borderId="34" xfId="3" applyNumberFormat="1" applyFont="1" applyFill="1" applyBorder="1" applyAlignment="1"/>
    <xf numFmtId="166" fontId="16" fillId="5" borderId="35" xfId="3" applyNumberFormat="1" applyFont="1" applyFill="1" applyBorder="1" applyAlignment="1"/>
    <xf numFmtId="0" fontId="43" fillId="3" borderId="0" xfId="0" applyFont="1" applyFill="1"/>
    <xf numFmtId="4" fontId="44" fillId="3" borderId="0" xfId="0" applyNumberFormat="1" applyFont="1" applyFill="1"/>
    <xf numFmtId="0" fontId="45" fillId="3" borderId="0" xfId="0" applyFont="1" applyFill="1"/>
    <xf numFmtId="0" fontId="9" fillId="3" borderId="0" xfId="0" applyFont="1" applyFill="1"/>
    <xf numFmtId="0" fontId="46" fillId="4" borderId="21" xfId="0" applyFont="1" applyFill="1" applyBorder="1" applyAlignment="1">
      <alignment horizontal="center" vertical="center" wrapText="1"/>
    </xf>
    <xf numFmtId="0" fontId="46" fillId="4" borderId="29" xfId="0" applyFont="1" applyFill="1" applyBorder="1" applyAlignment="1">
      <alignment horizontal="center" vertical="center" wrapText="1"/>
    </xf>
    <xf numFmtId="0" fontId="46" fillId="6" borderId="38" xfId="0" applyFont="1" applyFill="1" applyBorder="1" applyAlignment="1">
      <alignment horizontal="center" vertical="center"/>
    </xf>
    <xf numFmtId="0" fontId="46" fillId="6" borderId="39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top"/>
    </xf>
    <xf numFmtId="0" fontId="14" fillId="4" borderId="25" xfId="0" applyFont="1" applyFill="1" applyBorder="1" applyAlignment="1">
      <alignment horizontal="center" vertical="top"/>
    </xf>
    <xf numFmtId="166" fontId="49" fillId="0" borderId="17" xfId="3" applyNumberFormat="1" applyFont="1" applyBorder="1" applyAlignment="1">
      <alignment vertical="center"/>
    </xf>
    <xf numFmtId="166" fontId="49" fillId="0" borderId="17" xfId="3" applyNumberFormat="1" applyFont="1" applyBorder="1" applyAlignment="1">
      <alignment horizontal="right" vertical="center"/>
    </xf>
    <xf numFmtId="166" fontId="49" fillId="0" borderId="25" xfId="3" applyNumberFormat="1" applyFont="1" applyBorder="1" applyAlignment="1">
      <alignment vertical="center"/>
    </xf>
    <xf numFmtId="165" fontId="49" fillId="0" borderId="17" xfId="3" applyNumberFormat="1" applyFont="1" applyBorder="1" applyAlignment="1">
      <alignment horizontal="center" vertical="center"/>
    </xf>
    <xf numFmtId="165" fontId="49" fillId="0" borderId="17" xfId="3" applyNumberFormat="1" applyFont="1" applyBorder="1" applyAlignment="1">
      <alignment horizontal="right" vertical="center"/>
    </xf>
    <xf numFmtId="165" fontId="49" fillId="0" borderId="25" xfId="3" applyNumberFormat="1" applyFont="1" applyBorder="1" applyAlignment="1">
      <alignment horizontal="center" vertical="center"/>
    </xf>
    <xf numFmtId="165" fontId="49" fillId="0" borderId="25" xfId="3" applyNumberFormat="1" applyFont="1" applyBorder="1" applyAlignment="1">
      <alignment horizontal="right" vertical="center"/>
    </xf>
    <xf numFmtId="166" fontId="48" fillId="5" borderId="34" xfId="3" applyNumberFormat="1" applyFont="1" applyFill="1" applyBorder="1" applyAlignment="1" applyProtection="1">
      <alignment horizontal="right" vertical="center" wrapText="1"/>
      <protection locked="0"/>
    </xf>
    <xf numFmtId="165" fontId="46" fillId="5" borderId="35" xfId="3" applyNumberFormat="1" applyFont="1" applyFill="1" applyBorder="1" applyAlignment="1">
      <alignment horizontal="right"/>
    </xf>
    <xf numFmtId="0" fontId="0" fillId="3" borderId="40" xfId="0" applyFill="1" applyBorder="1"/>
    <xf numFmtId="165" fontId="0" fillId="3" borderId="41" xfId="0" applyNumberFormat="1" applyFill="1" applyBorder="1" applyAlignment="1">
      <alignment horizontal="center"/>
    </xf>
    <xf numFmtId="165" fontId="51" fillId="5" borderId="32" xfId="3" applyNumberFormat="1" applyFont="1" applyFill="1" applyBorder="1" applyAlignment="1">
      <alignment horizontal="right"/>
    </xf>
    <xf numFmtId="165" fontId="51" fillId="5" borderId="32" xfId="3" applyNumberFormat="1" applyFont="1" applyFill="1" applyBorder="1" applyAlignment="1">
      <alignment horizontal="center"/>
    </xf>
    <xf numFmtId="0" fontId="52" fillId="7" borderId="8" xfId="0" applyFont="1" applyFill="1" applyBorder="1"/>
    <xf numFmtId="0" fontId="53" fillId="7" borderId="42" xfId="0" applyFont="1" applyFill="1" applyBorder="1" applyAlignment="1">
      <alignment horizontal="right"/>
    </xf>
    <xf numFmtId="165" fontId="54" fillId="7" borderId="10" xfId="0" applyNumberFormat="1" applyFont="1" applyFill="1" applyBorder="1" applyAlignment="1">
      <alignment horizontal="right"/>
    </xf>
    <xf numFmtId="165" fontId="54" fillId="7" borderId="11" xfId="0" applyNumberFormat="1" applyFont="1" applyFill="1" applyBorder="1" applyAlignment="1">
      <alignment horizontal="right"/>
    </xf>
    <xf numFmtId="165" fontId="54" fillId="7" borderId="20" xfId="0" applyNumberFormat="1" applyFont="1" applyFill="1" applyBorder="1" applyAlignment="1">
      <alignment horizontal="right"/>
    </xf>
    <xf numFmtId="0" fontId="46" fillId="2" borderId="8" xfId="0" applyFont="1" applyFill="1" applyBorder="1" applyAlignment="1">
      <alignment horizontal="right"/>
    </xf>
    <xf numFmtId="0" fontId="53" fillId="2" borderId="42" xfId="0" applyFont="1" applyFill="1" applyBorder="1" applyAlignment="1">
      <alignment horizontal="right"/>
    </xf>
    <xf numFmtId="9" fontId="55" fillId="2" borderId="10" xfId="4" applyFont="1" applyFill="1" applyBorder="1" applyAlignment="1">
      <alignment horizontal="right" vertical="center"/>
    </xf>
    <xf numFmtId="9" fontId="55" fillId="2" borderId="42" xfId="4" applyFont="1" applyFill="1" applyBorder="1" applyAlignment="1">
      <alignment horizontal="right" vertical="center"/>
    </xf>
    <xf numFmtId="9" fontId="55" fillId="2" borderId="11" xfId="4" applyFont="1" applyFill="1" applyBorder="1" applyAlignment="1">
      <alignment horizontal="right" vertical="center"/>
    </xf>
    <xf numFmtId="0" fontId="56" fillId="3" borderId="0" xfId="0" applyFont="1" applyFill="1"/>
    <xf numFmtId="17" fontId="1" fillId="0" borderId="0" xfId="0" applyNumberFormat="1" applyFont="1" applyAlignment="1">
      <alignment horizontal="left"/>
    </xf>
    <xf numFmtId="4" fontId="34" fillId="2" borderId="1" xfId="1" applyNumberFormat="1" applyFont="1" applyFill="1" applyBorder="1" applyAlignment="1">
      <alignment vertical="center"/>
    </xf>
    <xf numFmtId="0" fontId="16" fillId="4" borderId="43" xfId="0" applyFont="1" applyFill="1" applyBorder="1" applyAlignment="1">
      <alignment horizontal="center" vertical="center" wrapText="1"/>
    </xf>
    <xf numFmtId="0" fontId="31" fillId="4" borderId="44" xfId="0" applyFont="1" applyFill="1" applyBorder="1" applyAlignment="1">
      <alignment horizontal="center" wrapText="1"/>
    </xf>
    <xf numFmtId="0" fontId="31" fillId="4" borderId="44" xfId="0" applyFont="1" applyFill="1" applyBorder="1" applyAlignment="1">
      <alignment horizontal="center" vertical="top"/>
    </xf>
    <xf numFmtId="166" fontId="25" fillId="0" borderId="44" xfId="3" applyNumberFormat="1" applyFont="1" applyBorder="1" applyAlignment="1">
      <alignment vertical="center"/>
    </xf>
    <xf numFmtId="166" fontId="26" fillId="3" borderId="44" xfId="0" applyNumberFormat="1" applyFont="1" applyFill="1" applyBorder="1" applyAlignment="1">
      <alignment vertical="center"/>
    </xf>
    <xf numFmtId="166" fontId="25" fillId="0" borderId="45" xfId="3" applyNumberFormat="1" applyFont="1" applyBorder="1" applyAlignment="1">
      <alignment vertical="center"/>
    </xf>
    <xf numFmtId="166" fontId="16" fillId="5" borderId="43" xfId="3" applyNumberFormat="1" applyFont="1" applyFill="1" applyBorder="1" applyAlignment="1"/>
    <xf numFmtId="166" fontId="16" fillId="5" borderId="11" xfId="3" applyNumberFormat="1" applyFont="1" applyFill="1" applyBorder="1" applyAlignment="1"/>
    <xf numFmtId="14" fontId="39" fillId="0" borderId="0" xfId="0" applyNumberFormat="1" applyFont="1"/>
    <xf numFmtId="14" fontId="39" fillId="3" borderId="0" xfId="0" applyNumberFormat="1" applyFont="1" applyFill="1" applyAlignment="1">
      <alignment horizontal="left"/>
    </xf>
    <xf numFmtId="0" fontId="57" fillId="0" borderId="0" xfId="0" applyFont="1" applyAlignment="1">
      <alignment horizontal="left" vertical="center"/>
    </xf>
    <xf numFmtId="0" fontId="57" fillId="0" borderId="9" xfId="0" applyFont="1" applyBorder="1" applyAlignment="1">
      <alignment horizontal="left" vertical="center"/>
    </xf>
    <xf numFmtId="0" fontId="0" fillId="3" borderId="9" xfId="0" applyFill="1" applyBorder="1" applyAlignment="1">
      <alignment vertical="center"/>
    </xf>
    <xf numFmtId="0" fontId="58" fillId="0" borderId="1" xfId="0" applyFont="1" applyBorder="1"/>
    <xf numFmtId="0" fontId="1" fillId="0" borderId="0" xfId="0" applyFont="1" applyAlignment="1">
      <alignment vertical="center"/>
    </xf>
    <xf numFmtId="165" fontId="1" fillId="0" borderId="0" xfId="0" applyNumberFormat="1" applyFont="1"/>
    <xf numFmtId="165" fontId="36" fillId="0" borderId="0" xfId="0" applyNumberFormat="1" applyFont="1"/>
    <xf numFmtId="0" fontId="58" fillId="0" borderId="0" xfId="0" applyFont="1" applyAlignment="1">
      <alignment horizontal="center"/>
    </xf>
    <xf numFmtId="0" fontId="58" fillId="0" borderId="1" xfId="0" applyFont="1" applyBorder="1" applyAlignment="1">
      <alignment horizontal="center"/>
    </xf>
    <xf numFmtId="0" fontId="36" fillId="0" borderId="0" xfId="0" applyFont="1"/>
    <xf numFmtId="0" fontId="36" fillId="0" borderId="1" xfId="0" applyFont="1" applyBorder="1"/>
    <xf numFmtId="165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vertical="center"/>
    </xf>
    <xf numFmtId="0" fontId="59" fillId="0" borderId="0" xfId="0" applyFont="1" applyAlignment="1">
      <alignment vertical="center"/>
    </xf>
    <xf numFmtId="0" fontId="59" fillId="0" borderId="1" xfId="0" applyFont="1" applyBorder="1" applyAlignment="1">
      <alignment vertical="center"/>
    </xf>
    <xf numFmtId="0" fontId="5" fillId="0" borderId="4" xfId="0" applyFont="1" applyBorder="1"/>
    <xf numFmtId="0" fontId="5" fillId="0" borderId="1" xfId="0" applyFont="1" applyBorder="1"/>
    <xf numFmtId="0" fontId="5" fillId="8" borderId="5" xfId="0" applyFont="1" applyFill="1" applyBorder="1"/>
    <xf numFmtId="0" fontId="2" fillId="8" borderId="5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left"/>
    </xf>
    <xf numFmtId="165" fontId="1" fillId="8" borderId="10" xfId="0" applyNumberFormat="1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/>
    </xf>
    <xf numFmtId="0" fontId="5" fillId="8" borderId="0" xfId="0" applyFont="1" applyFill="1"/>
    <xf numFmtId="0" fontId="5" fillId="9" borderId="5" xfId="0" applyFont="1" applyFill="1" applyBorder="1"/>
    <xf numFmtId="0" fontId="5" fillId="9" borderId="0" xfId="0" applyFont="1" applyFill="1"/>
    <xf numFmtId="0" fontId="5" fillId="10" borderId="5" xfId="0" applyFont="1" applyFill="1" applyBorder="1"/>
    <xf numFmtId="0" fontId="5" fillId="10" borderId="1" xfId="0" applyFont="1" applyFill="1" applyBorder="1"/>
    <xf numFmtId="0" fontId="5" fillId="4" borderId="5" xfId="0" applyFont="1" applyFill="1" applyBorder="1"/>
    <xf numFmtId="0" fontId="5" fillId="4" borderId="1" xfId="0" applyFont="1" applyFill="1" applyBorder="1"/>
    <xf numFmtId="0" fontId="58" fillId="0" borderId="0" xfId="0" applyFont="1"/>
    <xf numFmtId="0" fontId="5" fillId="0" borderId="3" xfId="0" applyFont="1" applyBorder="1"/>
    <xf numFmtId="0" fontId="5" fillId="0" borderId="0" xfId="0" applyFont="1"/>
    <xf numFmtId="0" fontId="9" fillId="9" borderId="0" xfId="0" applyFont="1" applyFill="1" applyAlignment="1">
      <alignment horizontal="center"/>
    </xf>
    <xf numFmtId="0" fontId="9" fillId="9" borderId="9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45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wrapText="1"/>
    </xf>
    <xf numFmtId="2" fontId="9" fillId="0" borderId="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2" fontId="9" fillId="0" borderId="14" xfId="0" applyNumberFormat="1" applyFont="1" applyBorder="1" applyAlignment="1">
      <alignment horizontal="center"/>
    </xf>
    <xf numFmtId="0" fontId="9" fillId="8" borderId="0" xfId="0" applyFont="1" applyFill="1"/>
    <xf numFmtId="0" fontId="9" fillId="9" borderId="0" xfId="0" applyFont="1" applyFill="1"/>
    <xf numFmtId="0" fontId="60" fillId="9" borderId="12" xfId="1" applyFont="1" applyFill="1" applyBorder="1" applyAlignment="1">
      <alignment horizontal="center"/>
    </xf>
    <xf numFmtId="0" fontId="60" fillId="10" borderId="12" xfId="1" applyFont="1" applyFill="1" applyBorder="1" applyAlignment="1">
      <alignment horizontal="center"/>
    </xf>
    <xf numFmtId="0" fontId="60" fillId="4" borderId="12" xfId="1" applyFont="1" applyFill="1" applyBorder="1" applyAlignment="1">
      <alignment horizontal="center"/>
    </xf>
    <xf numFmtId="0" fontId="36" fillId="9" borderId="13" xfId="1" applyFont="1" applyFill="1" applyBorder="1" applyAlignment="1">
      <alignment horizontal="center"/>
    </xf>
    <xf numFmtId="0" fontId="36" fillId="10" borderId="13" xfId="1" applyFont="1" applyFill="1" applyBorder="1" applyAlignment="1">
      <alignment horizontal="center"/>
    </xf>
    <xf numFmtId="0" fontId="36" fillId="4" borderId="13" xfId="1" applyFont="1" applyFill="1" applyBorder="1" applyAlignment="1">
      <alignment horizontal="center"/>
    </xf>
    <xf numFmtId="0" fontId="61" fillId="8" borderId="5" xfId="0" applyFont="1" applyFill="1" applyBorder="1" applyAlignment="1">
      <alignment vertical="center"/>
    </xf>
    <xf numFmtId="0" fontId="61" fillId="8" borderId="0" xfId="0" applyFont="1" applyFill="1" applyAlignment="1">
      <alignment vertical="center"/>
    </xf>
    <xf numFmtId="0" fontId="61" fillId="9" borderId="5" xfId="0" applyFont="1" applyFill="1" applyBorder="1" applyAlignment="1">
      <alignment vertical="center"/>
    </xf>
    <xf numFmtId="0" fontId="61" fillId="9" borderId="0" xfId="0" applyFont="1" applyFill="1" applyAlignment="1">
      <alignment vertical="center"/>
    </xf>
    <xf numFmtId="0" fontId="61" fillId="10" borderId="5" xfId="0" applyFont="1" applyFill="1" applyBorder="1" applyAlignment="1">
      <alignment vertical="center"/>
    </xf>
    <xf numFmtId="0" fontId="61" fillId="4" borderId="5" xfId="0" applyFont="1" applyFill="1" applyBorder="1" applyAlignment="1">
      <alignment vertical="center"/>
    </xf>
    <xf numFmtId="0" fontId="62" fillId="8" borderId="5" xfId="0" applyFont="1" applyFill="1" applyBorder="1"/>
    <xf numFmtId="0" fontId="62" fillId="8" borderId="0" xfId="0" applyFont="1" applyFill="1"/>
    <xf numFmtId="0" fontId="62" fillId="9" borderId="5" xfId="0" applyFont="1" applyFill="1" applyBorder="1"/>
    <xf numFmtId="0" fontId="62" fillId="10" borderId="5" xfId="0" applyFont="1" applyFill="1" applyBorder="1"/>
    <xf numFmtId="0" fontId="62" fillId="4" borderId="5" xfId="0" applyFont="1" applyFill="1" applyBorder="1"/>
    <xf numFmtId="0" fontId="64" fillId="8" borderId="5" xfId="0" applyFont="1" applyFill="1" applyBorder="1"/>
    <xf numFmtId="0" fontId="64" fillId="8" borderId="0" xfId="0" applyFont="1" applyFill="1"/>
    <xf numFmtId="0" fontId="63" fillId="9" borderId="5" xfId="0" applyFont="1" applyFill="1" applyBorder="1"/>
    <xf numFmtId="0" fontId="63" fillId="10" borderId="5" xfId="0" applyFont="1" applyFill="1" applyBorder="1"/>
    <xf numFmtId="0" fontId="63" fillId="4" borderId="5" xfId="0" applyFont="1" applyFill="1" applyBorder="1"/>
    <xf numFmtId="0" fontId="65" fillId="8" borderId="5" xfId="0" applyFont="1" applyFill="1" applyBorder="1"/>
    <xf numFmtId="0" fontId="65" fillId="8" borderId="0" xfId="0" applyFont="1" applyFill="1"/>
    <xf numFmtId="0" fontId="63" fillId="8" borderId="5" xfId="0" applyFont="1" applyFill="1" applyBorder="1"/>
    <xf numFmtId="0" fontId="36" fillId="0" borderId="5" xfId="0" applyFont="1" applyBorder="1"/>
    <xf numFmtId="0" fontId="9" fillId="3" borderId="14" xfId="0" applyFont="1" applyFill="1" applyBorder="1" applyAlignment="1">
      <alignment horizontal="center"/>
    </xf>
    <xf numFmtId="0" fontId="64" fillId="9" borderId="5" xfId="0" applyFont="1" applyFill="1" applyBorder="1"/>
    <xf numFmtId="0" fontId="64" fillId="9" borderId="0" xfId="0" applyFont="1" applyFill="1"/>
    <xf numFmtId="0" fontId="65" fillId="9" borderId="5" xfId="0" applyFont="1" applyFill="1" applyBorder="1"/>
    <xf numFmtId="0" fontId="65" fillId="9" borderId="0" xfId="0" applyFont="1" applyFill="1"/>
    <xf numFmtId="0" fontId="64" fillId="10" borderId="5" xfId="0" applyFont="1" applyFill="1" applyBorder="1"/>
    <xf numFmtId="0" fontId="65" fillId="10" borderId="5" xfId="0" applyFont="1" applyFill="1" applyBorder="1"/>
    <xf numFmtId="0" fontId="64" fillId="4" borderId="5" xfId="0" applyFont="1" applyFill="1" applyBorder="1"/>
    <xf numFmtId="0" fontId="65" fillId="4" borderId="5" xfId="0" applyFont="1" applyFill="1" applyBorder="1"/>
    <xf numFmtId="0" fontId="64" fillId="4" borderId="1" xfId="0" applyFont="1" applyFill="1" applyBorder="1"/>
    <xf numFmtId="0" fontId="65" fillId="4" borderId="1" xfId="0" applyFont="1" applyFill="1" applyBorder="1"/>
    <xf numFmtId="3" fontId="9" fillId="9" borderId="0" xfId="0" applyNumberFormat="1" applyFont="1" applyFill="1" applyAlignment="1">
      <alignment horizontal="center"/>
    </xf>
    <xf numFmtId="4" fontId="20" fillId="8" borderId="14" xfId="1" applyNumberFormat="1" applyFont="1" applyFill="1" applyBorder="1" applyAlignment="1">
      <alignment horizontal="center"/>
    </xf>
    <xf numFmtId="4" fontId="20" fillId="9" borderId="14" xfId="1" applyNumberFormat="1" applyFont="1" applyFill="1" applyBorder="1" applyAlignment="1">
      <alignment horizontal="center"/>
    </xf>
    <xf numFmtId="3" fontId="9" fillId="4" borderId="1" xfId="1" applyNumberFormat="1" applyFont="1" applyFill="1" applyBorder="1" applyAlignment="1">
      <alignment horizontal="center"/>
    </xf>
    <xf numFmtId="4" fontId="9" fillId="4" borderId="1" xfId="1" applyNumberFormat="1" applyFont="1" applyFill="1" applyBorder="1" applyAlignment="1">
      <alignment horizontal="center"/>
    </xf>
    <xf numFmtId="4" fontId="66" fillId="4" borderId="1" xfId="1" applyNumberFormat="1" applyFont="1" applyFill="1" applyBorder="1" applyAlignment="1">
      <alignment horizontal="center"/>
    </xf>
    <xf numFmtId="4" fontId="61" fillId="9" borderId="0" xfId="0" applyNumberFormat="1" applyFont="1" applyFill="1" applyAlignment="1">
      <alignment vertical="center"/>
    </xf>
    <xf numFmtId="0" fontId="61" fillId="10" borderId="1" xfId="0" applyFont="1" applyFill="1" applyBorder="1" applyAlignment="1">
      <alignment horizontal="right"/>
    </xf>
    <xf numFmtId="4" fontId="61" fillId="10" borderId="1" xfId="0" applyNumberFormat="1" applyFont="1" applyFill="1" applyBorder="1" applyAlignment="1">
      <alignment horizontal="right"/>
    </xf>
    <xf numFmtId="0" fontId="61" fillId="4" borderId="1" xfId="0" applyFont="1" applyFill="1" applyBorder="1" applyAlignment="1">
      <alignment horizontal="right"/>
    </xf>
    <xf numFmtId="4" fontId="61" fillId="4" borderId="1" xfId="0" applyNumberFormat="1" applyFont="1" applyFill="1" applyBorder="1" applyAlignment="1">
      <alignment horizontal="right"/>
    </xf>
    <xf numFmtId="0" fontId="63" fillId="9" borderId="0" xfId="0" applyFont="1" applyFill="1" applyAlignment="1">
      <alignment horizontal="right"/>
    </xf>
    <xf numFmtId="0" fontId="63" fillId="8" borderId="0" xfId="0" applyFont="1" applyFill="1" applyAlignment="1">
      <alignment horizontal="right"/>
    </xf>
    <xf numFmtId="0" fontId="63" fillId="4" borderId="1" xfId="0" applyFont="1" applyFill="1" applyBorder="1" applyAlignment="1">
      <alignment horizontal="right"/>
    </xf>
    <xf numFmtId="3" fontId="62" fillId="10" borderId="1" xfId="0" applyNumberFormat="1" applyFont="1" applyFill="1" applyBorder="1" applyAlignment="1">
      <alignment horizontal="right"/>
    </xf>
    <xf numFmtId="3" fontId="62" fillId="4" borderId="1" xfId="0" applyNumberFormat="1" applyFont="1" applyFill="1" applyBorder="1" applyAlignment="1">
      <alignment horizontal="right"/>
    </xf>
    <xf numFmtId="3" fontId="62" fillId="9" borderId="0" xfId="0" applyNumberFormat="1" applyFont="1" applyFill="1" applyAlignment="1">
      <alignment horizontal="right"/>
    </xf>
    <xf numFmtId="0" fontId="20" fillId="9" borderId="0" xfId="0" applyFont="1" applyFill="1" applyAlignment="1">
      <alignment horizontal="center"/>
    </xf>
    <xf numFmtId="4" fontId="20" fillId="9" borderId="14" xfId="1" quotePrefix="1" applyNumberFormat="1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36" fillId="0" borderId="0" xfId="0" applyFont="1" applyAlignment="1">
      <alignment horizontal="left"/>
    </xf>
    <xf numFmtId="4" fontId="9" fillId="8" borderId="14" xfId="0" applyNumberFormat="1" applyFont="1" applyFill="1" applyBorder="1" applyAlignment="1">
      <alignment horizontal="center"/>
    </xf>
    <xf numFmtId="0" fontId="9" fillId="10" borderId="5" xfId="0" applyFont="1" applyFill="1" applyBorder="1"/>
    <xf numFmtId="0" fontId="9" fillId="10" borderId="1" xfId="0" applyFont="1" applyFill="1" applyBorder="1"/>
    <xf numFmtId="0" fontId="9" fillId="4" borderId="5" xfId="0" applyFont="1" applyFill="1" applyBorder="1"/>
    <xf numFmtId="0" fontId="9" fillId="4" borderId="1" xfId="0" applyFont="1" applyFill="1" applyBorder="1"/>
    <xf numFmtId="0" fontId="64" fillId="10" borderId="1" xfId="0" applyFont="1" applyFill="1" applyBorder="1"/>
    <xf numFmtId="0" fontId="65" fillId="10" borderId="1" xfId="0" applyFont="1" applyFill="1" applyBorder="1"/>
    <xf numFmtId="0" fontId="63" fillId="10" borderId="1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60" fillId="8" borderId="12" xfId="1" applyFont="1" applyFill="1" applyBorder="1" applyAlignment="1">
      <alignment horizontal="center"/>
    </xf>
    <xf numFmtId="0" fontId="36" fillId="8" borderId="13" xfId="1" applyFont="1" applyFill="1" applyBorder="1" applyAlignment="1">
      <alignment horizontal="center"/>
    </xf>
    <xf numFmtId="0" fontId="9" fillId="10" borderId="5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 wrapText="1"/>
    </xf>
    <xf numFmtId="4" fontId="9" fillId="9" borderId="14" xfId="1" applyNumberFormat="1" applyFont="1" applyFill="1" applyBorder="1" applyAlignment="1">
      <alignment horizontal="center"/>
    </xf>
    <xf numFmtId="4" fontId="9" fillId="8" borderId="14" xfId="1" applyNumberFormat="1" applyFont="1" applyFill="1" applyBorder="1" applyAlignment="1">
      <alignment horizontal="center"/>
    </xf>
    <xf numFmtId="4" fontId="58" fillId="9" borderId="14" xfId="1" quotePrefix="1" applyNumberFormat="1" applyFont="1" applyFill="1" applyBorder="1" applyAlignment="1">
      <alignment horizontal="center"/>
    </xf>
    <xf numFmtId="4" fontId="9" fillId="4" borderId="14" xfId="1" applyNumberFormat="1" applyFont="1" applyFill="1" applyBorder="1" applyAlignment="1">
      <alignment horizontal="center"/>
    </xf>
    <xf numFmtId="4" fontId="9" fillId="10" borderId="0" xfId="1" applyNumberFormat="1" applyFont="1" applyFill="1" applyAlignment="1">
      <alignment horizontal="center"/>
    </xf>
    <xf numFmtId="3" fontId="9" fillId="10" borderId="0" xfId="1" applyNumberFormat="1" applyFont="1" applyFill="1" applyAlignment="1">
      <alignment horizontal="center"/>
    </xf>
    <xf numFmtId="4" fontId="9" fillId="10" borderId="14" xfId="1" applyNumberFormat="1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9" fillId="8" borderId="14" xfId="1" applyFont="1" applyFill="1" applyBorder="1" applyAlignment="1">
      <alignment horizontal="center"/>
    </xf>
    <xf numFmtId="0" fontId="9" fillId="9" borderId="0" xfId="1" applyFont="1" applyFill="1" applyAlignment="1">
      <alignment horizontal="center"/>
    </xf>
    <xf numFmtId="0" fontId="9" fillId="9" borderId="12" xfId="1" applyFont="1" applyFill="1" applyBorder="1" applyAlignment="1">
      <alignment horizontal="center"/>
    </xf>
    <xf numFmtId="0" fontId="9" fillId="10" borderId="0" xfId="1" applyFont="1" applyFill="1" applyAlignment="1">
      <alignment horizontal="center"/>
    </xf>
    <xf numFmtId="0" fontId="9" fillId="10" borderId="12" xfId="1" applyFont="1" applyFill="1" applyBorder="1" applyAlignment="1">
      <alignment horizontal="center"/>
    </xf>
    <xf numFmtId="0" fontId="9" fillId="4" borderId="1" xfId="1" applyFont="1" applyFill="1" applyBorder="1" applyAlignment="1">
      <alignment horizontal="center"/>
    </xf>
    <xf numFmtId="4" fontId="9" fillId="3" borderId="14" xfId="1" applyNumberFormat="1" applyFont="1" applyFill="1" applyBorder="1" applyAlignment="1">
      <alignment horizontal="center"/>
    </xf>
    <xf numFmtId="4" fontId="9" fillId="9" borderId="0" xfId="1" applyNumberFormat="1" applyFont="1" applyFill="1" applyAlignment="1">
      <alignment horizontal="center"/>
    </xf>
    <xf numFmtId="4" fontId="9" fillId="8" borderId="14" xfId="1" quotePrefix="1" applyNumberFormat="1" applyFont="1" applyFill="1" applyBorder="1" applyAlignment="1">
      <alignment horizontal="center"/>
    </xf>
    <xf numFmtId="4" fontId="9" fillId="9" borderId="13" xfId="1" applyNumberFormat="1" applyFont="1" applyFill="1" applyBorder="1" applyAlignment="1">
      <alignment horizontal="center"/>
    </xf>
    <xf numFmtId="4" fontId="9" fillId="10" borderId="13" xfId="1" applyNumberFormat="1" applyFont="1" applyFill="1" applyBorder="1" applyAlignment="1">
      <alignment horizontal="center"/>
    </xf>
    <xf numFmtId="3" fontId="9" fillId="9" borderId="0" xfId="1" applyNumberFormat="1" applyFont="1" applyFill="1" applyAlignment="1">
      <alignment horizontal="center"/>
    </xf>
    <xf numFmtId="4" fontId="9" fillId="3" borderId="5" xfId="1" applyNumberFormat="1" applyFont="1" applyFill="1" applyBorder="1" applyAlignment="1">
      <alignment horizontal="center"/>
    </xf>
    <xf numFmtId="165" fontId="1" fillId="0" borderId="0" xfId="0" applyNumberFormat="1" applyFont="1" applyAlignment="1">
      <alignment horizontal="left" vertical="center"/>
    </xf>
    <xf numFmtId="165" fontId="1" fillId="0" borderId="1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6" fillId="9" borderId="12" xfId="0" applyFont="1" applyFill="1" applyBorder="1" applyAlignment="1">
      <alignment horizontal="center" vertical="center"/>
    </xf>
    <xf numFmtId="0" fontId="36" fillId="9" borderId="13" xfId="0" applyFont="1" applyFill="1" applyBorder="1" applyAlignment="1">
      <alignment horizontal="center" vertical="center"/>
    </xf>
    <xf numFmtId="0" fontId="36" fillId="10" borderId="12" xfId="0" applyFont="1" applyFill="1" applyBorder="1" applyAlignment="1">
      <alignment horizontal="center" vertical="center"/>
    </xf>
    <xf numFmtId="0" fontId="36" fillId="10" borderId="13" xfId="0" applyFont="1" applyFill="1" applyBorder="1" applyAlignment="1">
      <alignment horizontal="center" vertical="center"/>
    </xf>
    <xf numFmtId="0" fontId="36" fillId="4" borderId="12" xfId="0" applyFont="1" applyFill="1" applyBorder="1" applyAlignment="1">
      <alignment horizontal="center" vertical="center"/>
    </xf>
    <xf numFmtId="0" fontId="36" fillId="4" borderId="13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13" xfId="0" applyFont="1" applyFill="1" applyBorder="1" applyAlignment="1">
      <alignment horizontal="center" vertical="center"/>
    </xf>
    <xf numFmtId="0" fontId="36" fillId="8" borderId="12" xfId="0" applyFont="1" applyFill="1" applyBorder="1" applyAlignment="1">
      <alignment horizontal="center" vertical="center"/>
    </xf>
    <xf numFmtId="0" fontId="36" fillId="8" borderId="13" xfId="0" applyFont="1" applyFill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2" xfId="1" applyFont="1" applyFill="1" applyBorder="1" applyAlignment="1">
      <alignment horizontal="center" vertical="center"/>
    </xf>
    <xf numFmtId="0" fontId="2" fillId="2" borderId="13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2" fillId="3" borderId="0" xfId="0" applyFont="1" applyFill="1" applyAlignment="1">
      <alignment horizontal="left" vertical="top" wrapText="1"/>
    </xf>
    <xf numFmtId="165" fontId="18" fillId="3" borderId="26" xfId="1" applyNumberFormat="1" applyFont="1" applyFill="1" applyBorder="1" applyAlignment="1" applyProtection="1">
      <alignment horizontal="center" vertical="center" wrapText="1"/>
      <protection locked="0"/>
    </xf>
    <xf numFmtId="165" fontId="18" fillId="3" borderId="17" xfId="1" applyNumberFormat="1" applyFont="1" applyFill="1" applyBorder="1" applyAlignment="1" applyProtection="1">
      <alignment horizontal="center" vertical="center" wrapText="1"/>
      <protection locked="0"/>
    </xf>
    <xf numFmtId="0" fontId="16" fillId="4" borderId="15" xfId="0" applyFont="1" applyFill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7" fillId="4" borderId="24" xfId="0" applyFont="1" applyFill="1" applyBorder="1" applyAlignment="1">
      <alignment horizontal="center" vertical="center"/>
    </xf>
    <xf numFmtId="0" fontId="17" fillId="4" borderId="16" xfId="0" applyFont="1" applyFill="1" applyBorder="1" applyAlignment="1">
      <alignment horizontal="center" vertical="center"/>
    </xf>
    <xf numFmtId="164" fontId="28" fillId="5" borderId="20" xfId="3" applyFont="1" applyFill="1" applyBorder="1" applyAlignment="1" applyProtection="1">
      <alignment horizontal="center" vertical="center" wrapText="1"/>
      <protection locked="0"/>
    </xf>
    <xf numFmtId="164" fontId="28" fillId="5" borderId="21" xfId="3" applyFont="1" applyFill="1" applyBorder="1" applyAlignment="1" applyProtection="1">
      <alignment horizontal="center" vertical="center" wrapText="1"/>
      <protection locked="0"/>
    </xf>
    <xf numFmtId="164" fontId="18" fillId="5" borderId="20" xfId="3" applyFont="1" applyFill="1" applyBorder="1" applyAlignment="1" applyProtection="1">
      <alignment horizontal="center" vertical="center" wrapText="1"/>
      <protection locked="0"/>
    </xf>
    <xf numFmtId="164" fontId="18" fillId="5" borderId="21" xfId="3" applyFont="1" applyFill="1" applyBorder="1" applyAlignment="1" applyProtection="1">
      <alignment horizontal="center" vertical="center" wrapText="1"/>
      <protection locked="0"/>
    </xf>
    <xf numFmtId="165" fontId="18" fillId="3" borderId="24" xfId="1" applyNumberFormat="1" applyFont="1" applyFill="1" applyBorder="1" applyAlignment="1" applyProtection="1">
      <alignment horizontal="center" vertical="center"/>
      <protection locked="0"/>
    </xf>
    <xf numFmtId="165" fontId="18" fillId="3" borderId="16" xfId="1" applyNumberFormat="1" applyFont="1" applyFill="1" applyBorder="1" applyAlignment="1" applyProtection="1">
      <alignment horizontal="center" vertical="center"/>
      <protection locked="0"/>
    </xf>
    <xf numFmtId="165" fontId="18" fillId="3" borderId="27" xfId="1" applyNumberFormat="1" applyFont="1" applyFill="1" applyBorder="1" applyAlignment="1" applyProtection="1">
      <alignment horizontal="center" vertical="center" wrapText="1"/>
      <protection locked="0"/>
    </xf>
    <xf numFmtId="165" fontId="18" fillId="3" borderId="18" xfId="1" applyNumberFormat="1" applyFont="1" applyFill="1" applyBorder="1" applyAlignment="1" applyProtection="1">
      <alignment horizontal="center" vertical="center" wrapText="1"/>
      <protection locked="0"/>
    </xf>
    <xf numFmtId="0" fontId="3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6" fillId="4" borderId="30" xfId="0" applyFont="1" applyFill="1" applyBorder="1" applyAlignment="1">
      <alignment horizontal="center" vertical="center"/>
    </xf>
    <xf numFmtId="0" fontId="16" fillId="4" borderId="31" xfId="0" applyFont="1" applyFill="1" applyBorder="1" applyAlignment="1">
      <alignment horizontal="center" vertical="center"/>
    </xf>
    <xf numFmtId="0" fontId="38" fillId="4" borderId="24" xfId="0" applyFont="1" applyFill="1" applyBorder="1" applyAlignment="1">
      <alignment horizontal="center" vertical="center"/>
    </xf>
    <xf numFmtId="0" fontId="38" fillId="4" borderId="16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 wrapText="1"/>
    </xf>
    <xf numFmtId="0" fontId="23" fillId="3" borderId="16" xfId="0" applyFont="1" applyFill="1" applyBorder="1" applyAlignment="1">
      <alignment horizontal="center" vertical="center" wrapText="1"/>
    </xf>
    <xf numFmtId="164" fontId="40" fillId="5" borderId="20" xfId="3" applyFont="1" applyFill="1" applyBorder="1" applyAlignment="1" applyProtection="1">
      <alignment horizontal="center" vertical="center" wrapText="1"/>
      <protection locked="0"/>
    </xf>
    <xf numFmtId="164" fontId="40" fillId="5" borderId="21" xfId="3" applyFont="1" applyFill="1" applyBorder="1" applyAlignment="1" applyProtection="1">
      <alignment horizontal="center" vertical="center" wrapText="1"/>
      <protection locked="0"/>
    </xf>
    <xf numFmtId="0" fontId="42" fillId="5" borderId="30" xfId="0" applyFont="1" applyFill="1" applyBorder="1" applyAlignment="1">
      <alignment horizontal="center" vertical="center"/>
    </xf>
    <xf numFmtId="0" fontId="42" fillId="5" borderId="31" xfId="0" applyFont="1" applyFill="1" applyBorder="1" applyAlignment="1">
      <alignment horizontal="center" vertical="center"/>
    </xf>
    <xf numFmtId="165" fontId="18" fillId="3" borderId="26" xfId="1" applyNumberFormat="1" applyFont="1" applyFill="1" applyBorder="1" applyAlignment="1" applyProtection="1">
      <alignment horizontal="center" vertical="center"/>
      <protection locked="0"/>
    </xf>
    <xf numFmtId="165" fontId="18" fillId="3" borderId="17" xfId="1" applyNumberFormat="1" applyFont="1" applyFill="1" applyBorder="1" applyAlignment="1" applyProtection="1">
      <alignment horizontal="center" vertical="center"/>
      <protection locked="0"/>
    </xf>
    <xf numFmtId="164" fontId="18" fillId="5" borderId="33" xfId="3" applyFont="1" applyFill="1" applyBorder="1" applyAlignment="1" applyProtection="1">
      <alignment horizontal="center" vertical="center" wrapText="1"/>
      <protection locked="0"/>
    </xf>
    <xf numFmtId="164" fontId="18" fillId="5" borderId="34" xfId="3" applyFont="1" applyFill="1" applyBorder="1" applyAlignment="1" applyProtection="1">
      <alignment horizontal="center" vertical="center" wrapText="1"/>
      <protection locked="0"/>
    </xf>
    <xf numFmtId="0" fontId="41" fillId="4" borderId="24" xfId="0" applyFont="1" applyFill="1" applyBorder="1" applyAlignment="1">
      <alignment horizontal="center" vertical="center" wrapText="1"/>
    </xf>
    <xf numFmtId="0" fontId="41" fillId="4" borderId="16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0" xfId="0" applyFont="1" applyAlignment="1">
      <alignment horizontal="left" vertical="top" wrapText="1"/>
    </xf>
    <xf numFmtId="165" fontId="48" fillId="3" borderId="26" xfId="5" applyNumberFormat="1" applyFont="1" applyFill="1" applyBorder="1" applyAlignment="1" applyProtection="1">
      <alignment horizontal="left" vertical="center" wrapText="1"/>
      <protection locked="0"/>
    </xf>
    <xf numFmtId="165" fontId="48" fillId="3" borderId="17" xfId="5" applyNumberFormat="1" applyFont="1" applyFill="1" applyBorder="1" applyAlignment="1" applyProtection="1">
      <alignment horizontal="left" vertical="center" wrapText="1"/>
      <protection locked="0"/>
    </xf>
    <xf numFmtId="0" fontId="46" fillId="4" borderId="8" xfId="0" applyFont="1" applyFill="1" applyBorder="1" applyAlignment="1">
      <alignment horizontal="center" vertical="center"/>
    </xf>
    <xf numFmtId="0" fontId="46" fillId="4" borderId="36" xfId="0" applyFont="1" applyFill="1" applyBorder="1" applyAlignment="1">
      <alignment horizontal="center" vertical="center"/>
    </xf>
    <xf numFmtId="0" fontId="46" fillId="6" borderId="37" xfId="0" applyFont="1" applyFill="1" applyBorder="1" applyAlignment="1">
      <alignment horizontal="center" vertical="center"/>
    </xf>
    <xf numFmtId="0" fontId="46" fillId="6" borderId="38" xfId="0" applyFont="1" applyFill="1" applyBorder="1" applyAlignment="1">
      <alignment horizontal="center" vertical="center"/>
    </xf>
    <xf numFmtId="0" fontId="47" fillId="4" borderId="24" xfId="0" applyFont="1" applyFill="1" applyBorder="1" applyAlignment="1">
      <alignment horizontal="center" vertical="center"/>
    </xf>
    <xf numFmtId="0" fontId="47" fillId="4" borderId="16" xfId="0" applyFont="1" applyFill="1" applyBorder="1" applyAlignment="1">
      <alignment horizontal="center" vertical="center"/>
    </xf>
    <xf numFmtId="0" fontId="48" fillId="3" borderId="24" xfId="0" applyFont="1" applyFill="1" applyBorder="1" applyAlignment="1">
      <alignment horizontal="left" vertical="center" wrapText="1"/>
    </xf>
    <xf numFmtId="0" fontId="48" fillId="3" borderId="16" xfId="0" applyFont="1" applyFill="1" applyBorder="1" applyAlignment="1">
      <alignment horizontal="left" vertical="center" wrapText="1"/>
    </xf>
    <xf numFmtId="164" fontId="48" fillId="5" borderId="20" xfId="3" applyFont="1" applyFill="1" applyBorder="1" applyAlignment="1" applyProtection="1">
      <alignment horizontal="center" vertical="center" wrapText="1"/>
      <protection locked="0"/>
    </xf>
    <xf numFmtId="164" fontId="48" fillId="5" borderId="21" xfId="3" applyFont="1" applyFill="1" applyBorder="1" applyAlignment="1" applyProtection="1">
      <alignment horizontal="center" vertical="center" wrapText="1"/>
      <protection locked="0"/>
    </xf>
    <xf numFmtId="164" fontId="50" fillId="5" borderId="32" xfId="3" applyFont="1" applyFill="1" applyBorder="1" applyAlignment="1" applyProtection="1">
      <alignment horizontal="center" vertical="center" wrapText="1"/>
      <protection locked="0"/>
    </xf>
    <xf numFmtId="0" fontId="20" fillId="0" borderId="0" xfId="0" applyFont="1"/>
    <xf numFmtId="4" fontId="9" fillId="10" borderId="0" xfId="1" applyNumberFormat="1" applyFont="1" applyFill="1" applyBorder="1" applyAlignment="1">
      <alignment horizontal="center"/>
    </xf>
    <xf numFmtId="3" fontId="9" fillId="10" borderId="0" xfId="1" applyNumberFormat="1" applyFont="1" applyFill="1" applyBorder="1" applyAlignment="1">
      <alignment horizontal="center"/>
    </xf>
    <xf numFmtId="3" fontId="45" fillId="10" borderId="0" xfId="1" applyNumberFormat="1" applyFont="1" applyFill="1" applyBorder="1" applyAlignment="1">
      <alignment horizontal="center"/>
    </xf>
    <xf numFmtId="2" fontId="9" fillId="8" borderId="5" xfId="0" applyNumberFormat="1" applyFont="1" applyFill="1" applyBorder="1" applyAlignment="1">
      <alignment horizontal="center"/>
    </xf>
    <xf numFmtId="2" fontId="9" fillId="9" borderId="0" xfId="1" applyNumberFormat="1" applyFont="1" applyFill="1" applyAlignment="1">
      <alignment horizontal="center"/>
    </xf>
    <xf numFmtId="2" fontId="9" fillId="10" borderId="0" xfId="1" applyNumberFormat="1" applyFont="1" applyFill="1" applyAlignment="1">
      <alignment horizontal="center"/>
    </xf>
    <xf numFmtId="2" fontId="9" fillId="4" borderId="1" xfId="1" applyNumberFormat="1" applyFont="1" applyFill="1" applyBorder="1" applyAlignment="1">
      <alignment horizontal="center"/>
    </xf>
    <xf numFmtId="0" fontId="1" fillId="11" borderId="0" xfId="0" applyFont="1" applyFill="1" applyAlignment="1"/>
    <xf numFmtId="0" fontId="1" fillId="0" borderId="9" xfId="0" applyFont="1" applyBorder="1" applyAlignment="1">
      <alignment wrapText="1"/>
    </xf>
    <xf numFmtId="9" fontId="1" fillId="11" borderId="9" xfId="0" applyNumberFormat="1" applyFont="1" applyFill="1" applyBorder="1" applyAlignment="1">
      <alignment wrapText="1"/>
    </xf>
  </cellXfs>
  <cellStyles count="6">
    <cellStyle name="Millares" xfId="3" builtinId="3"/>
    <cellStyle name="Normal" xfId="0" builtinId="0"/>
    <cellStyle name="Normal 2" xfId="2" xr:uid="{00000000-0005-0000-0000-000002000000}"/>
    <cellStyle name="Normal 4" xfId="1" xr:uid="{00000000-0005-0000-0000-000003000000}"/>
    <cellStyle name="Normal 4 2" xfId="5" xr:uid="{00000000-0005-0000-0000-000004000000}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E941-C497-4BC7-9FED-C1C799713FB6}">
  <sheetPr>
    <tabColor rgb="FFFFC000"/>
  </sheetPr>
  <dimension ref="A1:G41"/>
  <sheetViews>
    <sheetView topLeftCell="A6" workbookViewId="0">
      <selection activeCell="D13" sqref="D13"/>
    </sheetView>
  </sheetViews>
  <sheetFormatPr baseColWidth="10" defaultRowHeight="15" x14ac:dyDescent="0.25"/>
  <cols>
    <col min="1" max="1" width="2.85546875" customWidth="1"/>
    <col min="2" max="2" width="5.5703125" customWidth="1"/>
    <col min="3" max="3" width="39.7109375" customWidth="1"/>
    <col min="4" max="4" width="24.7109375" customWidth="1"/>
    <col min="5" max="5" width="20.42578125" customWidth="1"/>
    <col min="6" max="6" width="86.85546875" bestFit="1" customWidth="1"/>
    <col min="7" max="7" width="4.7109375" customWidth="1"/>
    <col min="8" max="8" width="24.5703125" customWidth="1"/>
    <col min="10" max="10" width="20" customWidth="1"/>
  </cols>
  <sheetData>
    <row r="1" spans="1:7" x14ac:dyDescent="0.25">
      <c r="A1" s="43"/>
      <c r="B1" s="43"/>
      <c r="C1" s="43"/>
      <c r="D1" s="43"/>
      <c r="E1" s="43"/>
      <c r="F1" s="43"/>
      <c r="G1" s="43"/>
    </row>
    <row r="2" spans="1:7" x14ac:dyDescent="0.25">
      <c r="A2" s="43"/>
      <c r="B2" s="43"/>
      <c r="C2" s="43"/>
      <c r="D2" s="43"/>
      <c r="E2" s="43"/>
      <c r="F2" s="43"/>
      <c r="G2" s="43"/>
    </row>
    <row r="3" spans="1:7" ht="15.75" thickBot="1" x14ac:dyDescent="0.3">
      <c r="A3" s="43"/>
      <c r="B3" s="43"/>
      <c r="C3" s="43"/>
      <c r="D3" s="43"/>
      <c r="E3" s="43"/>
      <c r="F3" s="43"/>
      <c r="G3" s="43"/>
    </row>
    <row r="4" spans="1:7" ht="18.75" x14ac:dyDescent="0.3">
      <c r="A4" s="43"/>
      <c r="B4" s="44"/>
      <c r="C4" s="340" t="s">
        <v>13</v>
      </c>
      <c r="D4" s="340"/>
      <c r="E4" s="340"/>
      <c r="F4" s="341"/>
      <c r="G4" s="43"/>
    </row>
    <row r="5" spans="1:7" ht="18.75" x14ac:dyDescent="0.3">
      <c r="A5" s="43"/>
      <c r="B5" s="45"/>
      <c r="C5" s="342" t="s">
        <v>128</v>
      </c>
      <c r="D5" s="342"/>
      <c r="E5" s="342"/>
      <c r="F5" s="343"/>
      <c r="G5" s="43"/>
    </row>
    <row r="6" spans="1:7" ht="16.5" thickBot="1" x14ac:dyDescent="0.3">
      <c r="A6" s="43"/>
      <c r="B6" s="45"/>
      <c r="C6" s="3"/>
      <c r="D6" s="46"/>
      <c r="E6" s="46"/>
      <c r="F6" s="41"/>
      <c r="G6" s="43"/>
    </row>
    <row r="7" spans="1:7" ht="15.75" x14ac:dyDescent="0.25">
      <c r="A7" s="43"/>
      <c r="B7" s="45"/>
      <c r="C7" s="47"/>
      <c r="D7" s="16" t="s">
        <v>78</v>
      </c>
      <c r="E7" s="344" t="s">
        <v>14</v>
      </c>
      <c r="F7" s="36" t="s">
        <v>10</v>
      </c>
      <c r="G7" s="43"/>
    </row>
    <row r="8" spans="1:7" ht="16.5" thickBot="1" x14ac:dyDescent="0.3">
      <c r="A8" s="43"/>
      <c r="B8" s="45"/>
      <c r="C8" s="46"/>
      <c r="D8" s="18" t="s">
        <v>0</v>
      </c>
      <c r="E8" s="345"/>
      <c r="F8" s="30"/>
      <c r="G8" s="43"/>
    </row>
    <row r="9" spans="1:7" x14ac:dyDescent="0.25">
      <c r="A9" s="43"/>
      <c r="B9" s="55" t="s">
        <v>1</v>
      </c>
      <c r="C9" s="56" t="s">
        <v>2</v>
      </c>
      <c r="D9" s="48"/>
      <c r="E9" s="65"/>
      <c r="F9" s="34"/>
      <c r="G9" s="43"/>
    </row>
    <row r="10" spans="1:7" ht="33.75" customHeight="1" x14ac:dyDescent="0.25">
      <c r="A10" s="43"/>
      <c r="B10" s="57"/>
      <c r="C10" s="58" t="s">
        <v>18</v>
      </c>
      <c r="D10" s="22">
        <v>3000</v>
      </c>
      <c r="E10" s="66">
        <f>+D10*100/D24</f>
        <v>16.059097478721696</v>
      </c>
      <c r="F10" s="32" t="s">
        <v>24</v>
      </c>
      <c r="G10" s="43"/>
    </row>
    <row r="11" spans="1:7" ht="29.25" customHeight="1" x14ac:dyDescent="0.25">
      <c r="A11" s="43"/>
      <c r="B11" s="57"/>
      <c r="C11" s="58" t="s">
        <v>42</v>
      </c>
      <c r="D11" s="22">
        <v>4600</v>
      </c>
      <c r="E11" s="66">
        <f t="shared" ref="E11:E24" si="0">+D11*100/$D$24</f>
        <v>24.623949467373269</v>
      </c>
      <c r="F11" s="32" t="s">
        <v>132</v>
      </c>
      <c r="G11" s="43"/>
    </row>
    <row r="12" spans="1:7" ht="28.5" x14ac:dyDescent="0.25">
      <c r="A12" s="43"/>
      <c r="B12" s="57"/>
      <c r="C12" s="58" t="s">
        <v>42</v>
      </c>
      <c r="D12" s="22">
        <v>4000</v>
      </c>
      <c r="E12" s="66">
        <f t="shared" si="0"/>
        <v>21.412129971628929</v>
      </c>
      <c r="F12" s="33" t="s">
        <v>133</v>
      </c>
      <c r="G12" s="43"/>
    </row>
    <row r="13" spans="1:7" ht="57.75" customHeight="1" x14ac:dyDescent="0.25">
      <c r="A13" s="43"/>
      <c r="B13" s="57"/>
      <c r="C13" s="58" t="s">
        <v>32</v>
      </c>
      <c r="D13" s="22">
        <v>1500</v>
      </c>
      <c r="E13" s="66">
        <f t="shared" si="0"/>
        <v>8.0295487393608482</v>
      </c>
      <c r="F13" s="33"/>
      <c r="G13" s="43"/>
    </row>
    <row r="14" spans="1:7" x14ac:dyDescent="0.25">
      <c r="A14" s="43"/>
      <c r="B14" s="55" t="s">
        <v>3</v>
      </c>
      <c r="C14" s="56" t="s">
        <v>4</v>
      </c>
      <c r="D14" s="24"/>
      <c r="E14" s="66">
        <f t="shared" si="0"/>
        <v>0</v>
      </c>
      <c r="F14" s="34"/>
      <c r="G14" s="43"/>
    </row>
    <row r="15" spans="1:7" ht="32.25" customHeight="1" x14ac:dyDescent="0.25">
      <c r="A15" s="43"/>
      <c r="B15" s="57"/>
      <c r="C15" s="58" t="s">
        <v>53</v>
      </c>
      <c r="D15" s="22">
        <v>891</v>
      </c>
      <c r="E15" s="66">
        <f t="shared" si="0"/>
        <v>4.7695519511803433</v>
      </c>
      <c r="F15" s="32" t="s">
        <v>16</v>
      </c>
      <c r="G15" s="43"/>
    </row>
    <row r="16" spans="1:7" ht="32.25" customHeight="1" x14ac:dyDescent="0.25">
      <c r="A16" s="43"/>
      <c r="B16" s="57"/>
      <c r="C16" s="58" t="s">
        <v>19</v>
      </c>
      <c r="D16" s="22">
        <v>1245</v>
      </c>
      <c r="E16" s="66">
        <f t="shared" si="0"/>
        <v>6.664525453669504</v>
      </c>
      <c r="F16" s="32" t="s">
        <v>25</v>
      </c>
      <c r="G16" s="43"/>
    </row>
    <row r="17" spans="1:7" ht="29.25" customHeight="1" x14ac:dyDescent="0.25">
      <c r="A17" s="43"/>
      <c r="B17" s="57"/>
      <c r="C17" s="58" t="s">
        <v>12</v>
      </c>
      <c r="D17" s="22">
        <v>1300</v>
      </c>
      <c r="E17" s="66">
        <f t="shared" si="0"/>
        <v>6.9589422407794013</v>
      </c>
      <c r="F17" s="32" t="s">
        <v>129</v>
      </c>
      <c r="G17" s="43"/>
    </row>
    <row r="18" spans="1:7" x14ac:dyDescent="0.25">
      <c r="A18" s="43"/>
      <c r="B18" s="57"/>
      <c r="C18" s="58" t="s">
        <v>52</v>
      </c>
      <c r="D18" s="22">
        <v>225</v>
      </c>
      <c r="E18" s="66">
        <f t="shared" si="0"/>
        <v>1.2044323109041273</v>
      </c>
      <c r="F18" s="33" t="s">
        <v>20</v>
      </c>
      <c r="G18" s="43"/>
    </row>
    <row r="19" spans="1:7" ht="30" customHeight="1" x14ac:dyDescent="0.25">
      <c r="A19" s="43"/>
      <c r="B19" s="57"/>
      <c r="C19" s="58" t="s">
        <v>51</v>
      </c>
      <c r="D19" s="22">
        <v>200</v>
      </c>
      <c r="E19" s="66">
        <f t="shared" si="0"/>
        <v>1.0706064985814463</v>
      </c>
      <c r="F19" s="32" t="s">
        <v>21</v>
      </c>
      <c r="G19" s="43"/>
    </row>
    <row r="20" spans="1:7" ht="25.5" customHeight="1" x14ac:dyDescent="0.25">
      <c r="A20" s="43"/>
      <c r="B20" s="57"/>
      <c r="C20" s="58" t="s">
        <v>49</v>
      </c>
      <c r="D20" s="25">
        <v>520</v>
      </c>
      <c r="E20" s="66">
        <f t="shared" si="0"/>
        <v>2.7835768963117604</v>
      </c>
      <c r="F20" s="32" t="s">
        <v>11</v>
      </c>
      <c r="G20" s="43"/>
    </row>
    <row r="21" spans="1:7" ht="25.5" customHeight="1" x14ac:dyDescent="0.25">
      <c r="A21" s="43"/>
      <c r="B21" s="55" t="s">
        <v>5</v>
      </c>
      <c r="C21" s="56" t="s">
        <v>6</v>
      </c>
      <c r="D21" s="27"/>
      <c r="E21" s="66">
        <f t="shared" si="0"/>
        <v>0</v>
      </c>
      <c r="F21" s="34"/>
      <c r="G21" s="43"/>
    </row>
    <row r="22" spans="1:7" x14ac:dyDescent="0.25">
      <c r="A22" s="43"/>
      <c r="B22" s="57"/>
      <c r="C22" s="58" t="s">
        <v>7</v>
      </c>
      <c r="D22" s="22">
        <v>1000</v>
      </c>
      <c r="E22" s="66">
        <f t="shared" si="0"/>
        <v>5.3530324929072322</v>
      </c>
      <c r="F22" s="33" t="s">
        <v>22</v>
      </c>
      <c r="G22" s="43"/>
    </row>
    <row r="23" spans="1:7" ht="15.75" thickBot="1" x14ac:dyDescent="0.3">
      <c r="A23" s="43"/>
      <c r="B23" s="57"/>
      <c r="C23" s="58" t="s">
        <v>50</v>
      </c>
      <c r="D23" s="67">
        <v>200</v>
      </c>
      <c r="E23" s="66">
        <f t="shared" si="0"/>
        <v>1.0706064985814463</v>
      </c>
      <c r="F23" s="34" t="s">
        <v>23</v>
      </c>
      <c r="G23" s="43"/>
    </row>
    <row r="24" spans="1:7" ht="16.5" thickBot="1" x14ac:dyDescent="0.3">
      <c r="A24" s="43"/>
      <c r="B24" s="57"/>
      <c r="C24" s="6" t="s">
        <v>8</v>
      </c>
      <c r="D24" s="28">
        <f>SUM(D9:D23)</f>
        <v>18681</v>
      </c>
      <c r="E24" s="29">
        <f t="shared" si="0"/>
        <v>100</v>
      </c>
      <c r="F24" s="42"/>
      <c r="G24" s="43"/>
    </row>
    <row r="25" spans="1:7" x14ac:dyDescent="0.25">
      <c r="A25" s="43"/>
      <c r="B25" s="45"/>
      <c r="C25" s="46"/>
      <c r="D25" s="49"/>
      <c r="E25" s="49"/>
      <c r="F25" s="41"/>
      <c r="G25" s="43"/>
    </row>
    <row r="26" spans="1:7" ht="21.75" customHeight="1" x14ac:dyDescent="0.25">
      <c r="A26" s="43"/>
      <c r="B26" s="45"/>
      <c r="C26" s="59"/>
      <c r="D26" s="49">
        <v>19181</v>
      </c>
      <c r="E26" s="49"/>
      <c r="F26" s="41"/>
      <c r="G26" s="43"/>
    </row>
    <row r="27" spans="1:7" ht="35.25" customHeight="1" x14ac:dyDescent="0.25">
      <c r="A27" s="43"/>
      <c r="B27" s="45"/>
      <c r="C27" s="175" t="s">
        <v>9</v>
      </c>
      <c r="D27" s="50">
        <f>+D26-D24</f>
        <v>500</v>
      </c>
      <c r="E27" s="50"/>
      <c r="F27" s="51"/>
      <c r="G27" s="43"/>
    </row>
    <row r="28" spans="1:7" ht="26.25" customHeight="1" x14ac:dyDescent="0.25">
      <c r="A28" s="43"/>
      <c r="B28" s="45"/>
      <c r="C28" s="175" t="s">
        <v>36</v>
      </c>
      <c r="D28" s="50"/>
      <c r="E28" s="50"/>
      <c r="F28" s="51"/>
      <c r="G28" s="43"/>
    </row>
    <row r="29" spans="1:7" ht="22.5" customHeight="1" x14ac:dyDescent="0.25">
      <c r="A29" s="43"/>
      <c r="B29" s="45"/>
      <c r="C29" s="175" t="s">
        <v>26</v>
      </c>
      <c r="D29" s="52"/>
      <c r="E29" s="52"/>
      <c r="F29" s="51"/>
      <c r="G29" s="43"/>
    </row>
    <row r="30" spans="1:7" ht="22.5" customHeight="1" x14ac:dyDescent="0.25">
      <c r="A30" s="43"/>
      <c r="B30" s="45"/>
      <c r="C30" s="175" t="s">
        <v>130</v>
      </c>
      <c r="D30" s="52"/>
      <c r="E30" s="52"/>
      <c r="F30" s="51"/>
      <c r="G30" s="43"/>
    </row>
    <row r="31" spans="1:7" ht="15.75" thickBot="1" x14ac:dyDescent="0.3">
      <c r="A31" s="43"/>
      <c r="B31" s="53"/>
      <c r="C31" s="176" t="s">
        <v>131</v>
      </c>
      <c r="D31" s="177"/>
      <c r="E31" s="177"/>
      <c r="F31" s="54"/>
      <c r="G31" s="43"/>
    </row>
    <row r="32" spans="1:7" ht="15" customHeight="1" x14ac:dyDescent="0.25">
      <c r="A32" s="43"/>
      <c r="B32" s="43"/>
      <c r="C32" s="43"/>
      <c r="D32" s="43"/>
      <c r="E32" s="43"/>
      <c r="F32" s="43"/>
      <c r="G32" s="43"/>
    </row>
    <row r="33" spans="1:7" x14ac:dyDescent="0.25">
      <c r="A33" s="43"/>
      <c r="B33" s="43"/>
      <c r="C33" s="43"/>
      <c r="D33" s="43"/>
      <c r="E33" s="43"/>
      <c r="F33" s="43"/>
      <c r="G33" s="43"/>
    </row>
    <row r="34" spans="1:7" x14ac:dyDescent="0.25">
      <c r="A34" s="43"/>
      <c r="B34" s="43"/>
      <c r="C34" s="43"/>
      <c r="D34" s="43"/>
      <c r="E34" s="43"/>
      <c r="F34" s="43"/>
      <c r="G34" s="43"/>
    </row>
    <row r="35" spans="1:7" x14ac:dyDescent="0.25">
      <c r="A35" s="43"/>
      <c r="B35" s="43"/>
      <c r="C35" s="43"/>
      <c r="D35" s="43"/>
      <c r="E35" s="43"/>
      <c r="F35" s="43"/>
      <c r="G35" s="43"/>
    </row>
    <row r="36" spans="1:7" x14ac:dyDescent="0.25">
      <c r="A36" s="43"/>
      <c r="B36" s="43"/>
      <c r="C36" s="43"/>
      <c r="D36" s="43"/>
      <c r="E36" s="43"/>
      <c r="F36" s="43"/>
      <c r="G36" s="43"/>
    </row>
    <row r="37" spans="1:7" x14ac:dyDescent="0.25">
      <c r="A37" s="43"/>
      <c r="B37" s="43"/>
      <c r="C37" s="43"/>
      <c r="D37" s="43"/>
      <c r="E37" s="43"/>
      <c r="F37" s="43"/>
      <c r="G37" s="43"/>
    </row>
    <row r="38" spans="1:7" x14ac:dyDescent="0.25">
      <c r="A38" s="43"/>
      <c r="B38" s="43"/>
      <c r="C38" s="43"/>
      <c r="D38" s="43"/>
      <c r="E38" s="43"/>
      <c r="F38" s="43"/>
      <c r="G38" s="43"/>
    </row>
    <row r="39" spans="1:7" x14ac:dyDescent="0.25">
      <c r="A39" s="43"/>
      <c r="B39" s="43"/>
      <c r="C39" s="43"/>
      <c r="D39" s="43"/>
      <c r="E39" s="43"/>
      <c r="F39" s="43"/>
      <c r="G39" s="43"/>
    </row>
    <row r="40" spans="1:7" x14ac:dyDescent="0.25">
      <c r="A40" s="43"/>
      <c r="B40" s="43"/>
      <c r="C40" s="43"/>
      <c r="D40" s="43"/>
      <c r="E40" s="43"/>
      <c r="F40" s="43"/>
      <c r="G40" s="43"/>
    </row>
    <row r="41" spans="1:7" x14ac:dyDescent="0.25">
      <c r="A41" s="43"/>
      <c r="B41" s="43"/>
      <c r="C41" s="43"/>
      <c r="D41" s="43"/>
      <c r="E41" s="43"/>
      <c r="F41" s="43"/>
      <c r="G41" s="43"/>
    </row>
  </sheetData>
  <mergeCells count="3">
    <mergeCell ref="C4:F4"/>
    <mergeCell ref="C5:F5"/>
    <mergeCell ref="E7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B3:M46"/>
  <sheetViews>
    <sheetView tabSelected="1" topLeftCell="A16" zoomScaleNormal="100" zoomScaleSheetLayoutView="90" workbookViewId="0">
      <selection activeCell="C22" sqref="C22"/>
    </sheetView>
  </sheetViews>
  <sheetFormatPr baseColWidth="10" defaultRowHeight="15" x14ac:dyDescent="0.25"/>
  <cols>
    <col min="1" max="1" width="7" customWidth="1"/>
    <col min="2" max="2" width="5.5703125" customWidth="1"/>
    <col min="3" max="3" width="73.7109375" customWidth="1"/>
    <col min="4" max="4" width="13" customWidth="1"/>
    <col min="5" max="12" width="20.7109375" customWidth="1"/>
    <col min="13" max="13" width="79.28515625" customWidth="1"/>
    <col min="14" max="14" width="7.28515625" customWidth="1"/>
    <col min="15" max="15" width="24.5703125" customWidth="1"/>
    <col min="17" max="17" width="20" customWidth="1"/>
  </cols>
  <sheetData>
    <row r="3" spans="2:13" ht="15.75" thickBot="1" x14ac:dyDescent="0.3"/>
    <row r="4" spans="2:13" ht="33" customHeight="1" x14ac:dyDescent="0.3">
      <c r="B4" s="1"/>
      <c r="C4" s="206"/>
      <c r="D4" s="206"/>
      <c r="E4" s="320" t="s">
        <v>144</v>
      </c>
      <c r="F4" s="321"/>
      <c r="G4" s="322" t="s">
        <v>145</v>
      </c>
      <c r="H4" s="323"/>
      <c r="I4" s="324" t="s">
        <v>148</v>
      </c>
      <c r="J4" s="325"/>
      <c r="K4" s="326" t="s">
        <v>149</v>
      </c>
      <c r="L4" s="327"/>
      <c r="M4" s="190"/>
    </row>
    <row r="5" spans="2:13" ht="18.75" x14ac:dyDescent="0.3">
      <c r="B5" s="2"/>
      <c r="C5" s="207"/>
      <c r="D5" s="207"/>
      <c r="E5" s="192"/>
      <c r="F5" s="198"/>
      <c r="G5" s="199"/>
      <c r="H5" s="200"/>
      <c r="I5" s="201"/>
      <c r="J5" s="202"/>
      <c r="K5" s="203"/>
      <c r="L5" s="204"/>
      <c r="M5" s="191"/>
    </row>
    <row r="6" spans="2:13" ht="15.75" x14ac:dyDescent="0.25">
      <c r="B6" s="2"/>
      <c r="C6" s="3"/>
      <c r="D6" s="3"/>
      <c r="E6" s="226" t="s">
        <v>134</v>
      </c>
      <c r="F6" s="227">
        <v>134.16</v>
      </c>
      <c r="G6" s="228" t="s">
        <v>158</v>
      </c>
      <c r="H6" s="229">
        <v>158.80000000000001</v>
      </c>
      <c r="I6" s="230" t="s">
        <v>160</v>
      </c>
      <c r="J6" s="264">
        <v>161.12</v>
      </c>
      <c r="K6" s="231" t="s">
        <v>163</v>
      </c>
      <c r="L6" s="266">
        <v>145.53</v>
      </c>
      <c r="M6" s="9"/>
    </row>
    <row r="7" spans="2:13" ht="15.75" x14ac:dyDescent="0.25">
      <c r="B7" s="2"/>
      <c r="C7" s="188"/>
      <c r="D7" s="188"/>
      <c r="E7" s="226" t="s">
        <v>153</v>
      </c>
      <c r="F7" s="227"/>
      <c r="G7" s="228" t="s">
        <v>159</v>
      </c>
      <c r="H7" s="263">
        <v>16533</v>
      </c>
      <c r="I7" s="230" t="s">
        <v>161</v>
      </c>
      <c r="J7" s="265">
        <v>22062</v>
      </c>
      <c r="K7" s="231" t="s">
        <v>164</v>
      </c>
      <c r="L7" s="267">
        <v>19823.150000000001</v>
      </c>
      <c r="M7" s="189"/>
    </row>
    <row r="8" spans="2:13" ht="15.75" x14ac:dyDescent="0.25">
      <c r="B8" s="2"/>
      <c r="C8" s="188"/>
      <c r="D8" s="188"/>
      <c r="E8" s="232" t="s">
        <v>135</v>
      </c>
      <c r="F8" s="233">
        <v>8259</v>
      </c>
      <c r="G8" s="234" t="s">
        <v>157</v>
      </c>
      <c r="H8" s="273">
        <v>11365</v>
      </c>
      <c r="I8" s="235" t="s">
        <v>162</v>
      </c>
      <c r="J8" s="271">
        <v>13666</v>
      </c>
      <c r="K8" s="236" t="s">
        <v>165</v>
      </c>
      <c r="L8" s="272">
        <v>11773</v>
      </c>
      <c r="M8" s="189"/>
    </row>
    <row r="9" spans="2:13" ht="15.75" x14ac:dyDescent="0.25">
      <c r="B9" s="2"/>
      <c r="C9" s="205"/>
      <c r="D9" s="205"/>
      <c r="E9" s="237" t="s">
        <v>141</v>
      </c>
      <c r="F9" s="238">
        <v>13500</v>
      </c>
      <c r="G9" s="247" t="s">
        <v>141</v>
      </c>
      <c r="H9" s="248">
        <v>14500</v>
      </c>
      <c r="I9" s="251" t="s">
        <v>141</v>
      </c>
      <c r="J9" s="284">
        <v>14500</v>
      </c>
      <c r="K9" s="253" t="s">
        <v>141</v>
      </c>
      <c r="L9" s="255">
        <v>14500</v>
      </c>
      <c r="M9" s="178"/>
    </row>
    <row r="10" spans="2:13" ht="15.75" x14ac:dyDescent="0.25">
      <c r="B10" s="2"/>
      <c r="C10" s="182"/>
      <c r="D10" s="182"/>
      <c r="E10" s="242" t="s">
        <v>142</v>
      </c>
      <c r="F10" s="243">
        <v>500</v>
      </c>
      <c r="G10" s="249" t="s">
        <v>142</v>
      </c>
      <c r="H10" s="250">
        <v>500</v>
      </c>
      <c r="I10" s="252" t="s">
        <v>142</v>
      </c>
      <c r="J10" s="285">
        <v>500</v>
      </c>
      <c r="K10" s="254" t="s">
        <v>142</v>
      </c>
      <c r="L10" s="256">
        <v>500</v>
      </c>
      <c r="M10" s="183"/>
    </row>
    <row r="11" spans="2:13" ht="15.75" x14ac:dyDescent="0.25">
      <c r="B11" s="2"/>
      <c r="C11" s="182"/>
      <c r="D11" s="182"/>
      <c r="E11" s="242" t="s">
        <v>140</v>
      </c>
      <c r="F11" s="243">
        <f>F9/F10+3+2</f>
        <v>32</v>
      </c>
      <c r="G11" s="249" t="s">
        <v>140</v>
      </c>
      <c r="H11" s="250">
        <f>H9/H10+3+2</f>
        <v>34</v>
      </c>
      <c r="I11" s="252" t="s">
        <v>140</v>
      </c>
      <c r="J11" s="285">
        <f>J9/J10+3+2</f>
        <v>34</v>
      </c>
      <c r="K11" s="254" t="s">
        <v>140</v>
      </c>
      <c r="L11" s="256">
        <f>L9/L10+3+2</f>
        <v>34</v>
      </c>
      <c r="M11" s="183"/>
    </row>
    <row r="12" spans="2:13" ht="15.75" x14ac:dyDescent="0.25">
      <c r="B12" s="2"/>
      <c r="C12" s="182"/>
      <c r="D12" s="182"/>
      <c r="E12" s="244" t="s">
        <v>154</v>
      </c>
      <c r="F12" s="269" t="s">
        <v>143</v>
      </c>
      <c r="G12" s="239" t="s">
        <v>154</v>
      </c>
      <c r="H12" s="268" t="s">
        <v>143</v>
      </c>
      <c r="I12" s="240" t="s">
        <v>154</v>
      </c>
      <c r="J12" s="286" t="s">
        <v>143</v>
      </c>
      <c r="K12" s="241" t="s">
        <v>154</v>
      </c>
      <c r="L12" s="270" t="s">
        <v>143</v>
      </c>
      <c r="M12" s="183"/>
    </row>
    <row r="13" spans="2:13" ht="15.75" x14ac:dyDescent="0.25">
      <c r="B13" s="2"/>
      <c r="C13" s="182"/>
      <c r="D13" s="182"/>
      <c r="E13" s="193"/>
      <c r="F13" s="218"/>
      <c r="G13" s="196"/>
      <c r="H13" s="219"/>
      <c r="I13" s="280"/>
      <c r="J13" s="281"/>
      <c r="K13" s="282"/>
      <c r="L13" s="283"/>
      <c r="M13" s="183"/>
    </row>
    <row r="14" spans="2:13" ht="16.5" thickBot="1" x14ac:dyDescent="0.3">
      <c r="B14" s="2"/>
      <c r="C14" s="3" t="s">
        <v>139</v>
      </c>
      <c r="D14" s="182"/>
      <c r="E14" s="210"/>
      <c r="F14" s="211"/>
      <c r="G14" s="276"/>
      <c r="H14" s="209"/>
      <c r="I14" s="289"/>
      <c r="J14" s="290"/>
      <c r="K14" s="287"/>
      <c r="L14" s="288"/>
      <c r="M14" s="183"/>
    </row>
    <row r="15" spans="2:13" x14ac:dyDescent="0.25">
      <c r="B15" s="2"/>
      <c r="C15" s="338" t="s">
        <v>136</v>
      </c>
      <c r="D15" s="334" t="s">
        <v>137</v>
      </c>
      <c r="E15" s="336" t="s">
        <v>138</v>
      </c>
      <c r="F15" s="291" t="s">
        <v>78</v>
      </c>
      <c r="G15" s="328" t="s">
        <v>138</v>
      </c>
      <c r="H15" s="220" t="s">
        <v>80</v>
      </c>
      <c r="I15" s="330" t="s">
        <v>138</v>
      </c>
      <c r="J15" s="221" t="s">
        <v>80</v>
      </c>
      <c r="K15" s="332" t="s">
        <v>138</v>
      </c>
      <c r="L15" s="222" t="s">
        <v>80</v>
      </c>
      <c r="M15" s="38" t="s">
        <v>10</v>
      </c>
    </row>
    <row r="16" spans="2:13" ht="15.75" thickBot="1" x14ac:dyDescent="0.3">
      <c r="B16" s="2"/>
      <c r="C16" s="339"/>
      <c r="D16" s="335"/>
      <c r="E16" s="337"/>
      <c r="F16" s="292" t="s">
        <v>0</v>
      </c>
      <c r="G16" s="329"/>
      <c r="H16" s="223" t="s">
        <v>0</v>
      </c>
      <c r="I16" s="331"/>
      <c r="J16" s="224" t="s">
        <v>0</v>
      </c>
      <c r="K16" s="333"/>
      <c r="L16" s="225" t="s">
        <v>0</v>
      </c>
      <c r="M16" s="39"/>
    </row>
    <row r="17" spans="2:13" ht="15" customHeight="1" x14ac:dyDescent="0.25">
      <c r="B17" s="245" t="s">
        <v>1</v>
      </c>
      <c r="C17" s="184" t="s">
        <v>2</v>
      </c>
      <c r="D17" s="215"/>
      <c r="E17" s="197"/>
      <c r="F17" s="303"/>
      <c r="G17" s="304"/>
      <c r="H17" s="305"/>
      <c r="I17" s="306"/>
      <c r="J17" s="307"/>
      <c r="K17" s="308"/>
      <c r="L17" s="308"/>
      <c r="M17" s="9"/>
    </row>
    <row r="18" spans="2:13" ht="32.25" customHeight="1" x14ac:dyDescent="0.25">
      <c r="B18" s="245"/>
      <c r="C18" s="398" t="s">
        <v>170</v>
      </c>
      <c r="D18" s="309">
        <v>5550</v>
      </c>
      <c r="E18" s="197">
        <v>2</v>
      </c>
      <c r="F18" s="296">
        <f>D18*E18</f>
        <v>11100</v>
      </c>
      <c r="G18" s="304">
        <v>2</v>
      </c>
      <c r="H18" s="295">
        <f>D18*G18</f>
        <v>11100</v>
      </c>
      <c r="I18" s="306">
        <v>2</v>
      </c>
      <c r="J18" s="301">
        <f>D18*I18</f>
        <v>11100</v>
      </c>
      <c r="K18" s="308">
        <v>2</v>
      </c>
      <c r="L18" s="298">
        <f>D18*K18</f>
        <v>11100</v>
      </c>
      <c r="M18" s="40" t="s">
        <v>171</v>
      </c>
    </row>
    <row r="19" spans="2:13" ht="32.25" customHeight="1" x14ac:dyDescent="0.25">
      <c r="B19" s="245"/>
      <c r="C19" s="398" t="s">
        <v>175</v>
      </c>
      <c r="D19" s="309">
        <v>5550</v>
      </c>
      <c r="E19" s="402">
        <v>0.25</v>
      </c>
      <c r="F19" s="296">
        <f>D19*E19</f>
        <v>1387.5</v>
      </c>
      <c r="G19" s="304">
        <v>0.25</v>
      </c>
      <c r="H19" s="295">
        <f>D19*G19</f>
        <v>1387.5</v>
      </c>
      <c r="I19" s="306">
        <v>0.25</v>
      </c>
      <c r="J19" s="301">
        <f>D19*I19</f>
        <v>1387.5</v>
      </c>
      <c r="K19" s="308">
        <v>0.25</v>
      </c>
      <c r="L19" s="261">
        <f>D19*K19</f>
        <v>1387.5</v>
      </c>
      <c r="M19" s="40" t="s">
        <v>173</v>
      </c>
    </row>
    <row r="20" spans="2:13" ht="32.25" customHeight="1" x14ac:dyDescent="0.25">
      <c r="B20" s="245"/>
      <c r="C20" s="398" t="s">
        <v>176</v>
      </c>
      <c r="D20" s="309">
        <v>5550</v>
      </c>
      <c r="E20" s="402">
        <v>0.5</v>
      </c>
      <c r="F20" s="296">
        <f>D20*E20</f>
        <v>2775</v>
      </c>
      <c r="G20" s="403">
        <v>0.5</v>
      </c>
      <c r="H20" s="295">
        <f>D20*G20</f>
        <v>2775</v>
      </c>
      <c r="I20" s="404">
        <v>0.5</v>
      </c>
      <c r="J20" s="301">
        <f>D20*I20</f>
        <v>2775</v>
      </c>
      <c r="K20" s="405">
        <v>0.5</v>
      </c>
      <c r="L20" s="261">
        <f>D20*K20</f>
        <v>2775</v>
      </c>
      <c r="M20" s="40" t="s">
        <v>173</v>
      </c>
    </row>
    <row r="21" spans="2:13" ht="32.25" customHeight="1" x14ac:dyDescent="0.25">
      <c r="B21" s="2"/>
      <c r="C21" s="59" t="s">
        <v>169</v>
      </c>
      <c r="D21" s="217">
        <v>70</v>
      </c>
      <c r="E21" s="197">
        <v>4</v>
      </c>
      <c r="F21" s="296">
        <f>D21*E21</f>
        <v>280</v>
      </c>
      <c r="G21" s="302">
        <v>4</v>
      </c>
      <c r="H21" s="295">
        <f>D21*G21</f>
        <v>280</v>
      </c>
      <c r="I21" s="300">
        <v>4</v>
      </c>
      <c r="J21" s="301">
        <f>D21*I21</f>
        <v>280</v>
      </c>
      <c r="K21" s="260">
        <v>4</v>
      </c>
      <c r="L21" s="261">
        <f>D21*K21</f>
        <v>280</v>
      </c>
      <c r="M21" s="40" t="s">
        <v>172</v>
      </c>
    </row>
    <row r="22" spans="2:13" ht="32.25" customHeight="1" x14ac:dyDescent="0.25">
      <c r="B22" s="2"/>
      <c r="C22" s="59" t="s">
        <v>168</v>
      </c>
      <c r="D22" s="315">
        <v>357.3</v>
      </c>
      <c r="E22" s="197">
        <v>1</v>
      </c>
      <c r="F22" s="296">
        <f>D22*E22</f>
        <v>357.3</v>
      </c>
      <c r="G22" s="302">
        <v>1</v>
      </c>
      <c r="H22" s="295">
        <f>D22*G22</f>
        <v>357.3</v>
      </c>
      <c r="I22" s="293">
        <v>1</v>
      </c>
      <c r="J22" s="301">
        <f>D22*I22</f>
        <v>357.3</v>
      </c>
      <c r="K22" s="294">
        <v>1</v>
      </c>
      <c r="L22" s="261">
        <f>D22*K22</f>
        <v>357.3</v>
      </c>
      <c r="M22" s="40"/>
    </row>
    <row r="23" spans="2:13" ht="32.25" customHeight="1" x14ac:dyDescent="0.25">
      <c r="B23" s="2"/>
      <c r="C23" s="59" t="s">
        <v>150</v>
      </c>
      <c r="D23" s="214">
        <v>75</v>
      </c>
      <c r="E23" s="197">
        <v>2</v>
      </c>
      <c r="F23" s="296">
        <f>D23*E23</f>
        <v>150</v>
      </c>
      <c r="G23" s="302">
        <v>2</v>
      </c>
      <c r="H23" s="295">
        <f>D23*G23</f>
        <v>150</v>
      </c>
      <c r="I23" s="293">
        <v>2</v>
      </c>
      <c r="J23" s="301">
        <f>D23*I23</f>
        <v>150</v>
      </c>
      <c r="K23" s="294">
        <v>2</v>
      </c>
      <c r="L23" s="261">
        <f>D23*K23</f>
        <v>150</v>
      </c>
      <c r="M23" s="40"/>
    </row>
    <row r="24" spans="2:13" ht="15" customHeight="1" x14ac:dyDescent="0.25">
      <c r="B24" s="245" t="s">
        <v>3</v>
      </c>
      <c r="C24" s="278" t="s">
        <v>4</v>
      </c>
      <c r="D24" s="215"/>
      <c r="E24" s="197"/>
      <c r="F24" s="311"/>
      <c r="G24" s="310"/>
      <c r="H24" s="295"/>
      <c r="I24" s="299"/>
      <c r="J24" s="301"/>
      <c r="K24" s="261"/>
      <c r="L24" s="261"/>
      <c r="M24" s="40"/>
    </row>
    <row r="25" spans="2:13" ht="32.25" customHeight="1" x14ac:dyDescent="0.25">
      <c r="B25" s="2"/>
      <c r="C25" s="59" t="s">
        <v>155</v>
      </c>
      <c r="D25" s="246">
        <v>0.03</v>
      </c>
      <c r="E25" s="197">
        <f>IF(F$12="Peru",$D$25,"")</f>
        <v>0.03</v>
      </c>
      <c r="F25" s="258">
        <f>IF(E25="","",$D$25*F8)</f>
        <v>247.76999999999998</v>
      </c>
      <c r="G25" s="274">
        <f>IF(H$12="Peru",$D$25,"")</f>
        <v>0.03</v>
      </c>
      <c r="H25" s="275">
        <f>IF(G25="","",$D$25*H8)</f>
        <v>340.95</v>
      </c>
      <c r="I25" s="399">
        <f>IF(J$12="Peru",$D$25,"")</f>
        <v>0.03</v>
      </c>
      <c r="J25" s="301">
        <f>IF(I25="","",$D$25*J8)</f>
        <v>409.97999999999996</v>
      </c>
      <c r="K25" s="261">
        <f>IF(L$12="Peru",$D$25,"")</f>
        <v>0.03</v>
      </c>
      <c r="L25" s="261">
        <f>IF(K25="","",$D$25*L8)</f>
        <v>353.19</v>
      </c>
      <c r="M25" s="40" t="s">
        <v>174</v>
      </c>
    </row>
    <row r="26" spans="2:13" ht="32.25" customHeight="1" x14ac:dyDescent="0.25">
      <c r="B26" s="2"/>
      <c r="C26" s="59" t="s">
        <v>156</v>
      </c>
      <c r="D26" s="246">
        <v>0.12</v>
      </c>
      <c r="E26" s="197">
        <f>IF(F$12="Peru",$D$26,"")</f>
        <v>0.12</v>
      </c>
      <c r="F26" s="296">
        <f>IF(E26="","",$D$26*F8)</f>
        <v>991.07999999999993</v>
      </c>
      <c r="G26" s="208">
        <f>IF(H$12="Peru",$D$26,"")</f>
        <v>0.12</v>
      </c>
      <c r="H26" s="297">
        <f>IF(G26="","",$D$26*H8)</f>
        <v>1363.8</v>
      </c>
      <c r="I26" s="399">
        <f>IF(J$12="Peru",$D$26,"")</f>
        <v>0.12</v>
      </c>
      <c r="J26" s="301">
        <f>IF(I26="","",$D$26*J8)</f>
        <v>1639.9199999999998</v>
      </c>
      <c r="K26" s="261">
        <f>IF(L$12="Peru",$D$26,"")</f>
        <v>0.12</v>
      </c>
      <c r="L26" s="261">
        <f>IF(K26="","",$D$26*L8)</f>
        <v>1412.76</v>
      </c>
      <c r="M26" s="40"/>
    </row>
    <row r="27" spans="2:13" ht="32.25" customHeight="1" x14ac:dyDescent="0.25">
      <c r="B27" s="2"/>
      <c r="C27" s="59" t="s">
        <v>166</v>
      </c>
      <c r="D27" s="246">
        <v>0.65</v>
      </c>
      <c r="E27" s="197">
        <f>F11</f>
        <v>32</v>
      </c>
      <c r="F27" s="258">
        <f>E27*$D$27*F6</f>
        <v>2790.5280000000002</v>
      </c>
      <c r="G27" s="314">
        <f>H11</f>
        <v>34</v>
      </c>
      <c r="H27" s="259">
        <f>G27*$D$27*H6</f>
        <v>3509.4800000000005</v>
      </c>
      <c r="I27" s="300">
        <f>J11</f>
        <v>34</v>
      </c>
      <c r="J27" s="301">
        <f>I27*$D$27*J6</f>
        <v>3560.7520000000004</v>
      </c>
      <c r="K27" s="260">
        <f>L11</f>
        <v>34</v>
      </c>
      <c r="L27" s="261">
        <f>K27*$D$27*L6</f>
        <v>3216.2130000000002</v>
      </c>
      <c r="M27" s="212" t="s">
        <v>152</v>
      </c>
    </row>
    <row r="28" spans="2:13" ht="32.25" customHeight="1" x14ac:dyDescent="0.25">
      <c r="B28" s="2"/>
      <c r="C28" s="59" t="s">
        <v>167</v>
      </c>
      <c r="D28" s="215">
        <v>155</v>
      </c>
      <c r="E28" s="197">
        <v>2</v>
      </c>
      <c r="F28" s="296">
        <f>D28*E28</f>
        <v>310</v>
      </c>
      <c r="G28" s="208">
        <v>2</v>
      </c>
      <c r="H28" s="295">
        <f>D28*G28</f>
        <v>310</v>
      </c>
      <c r="I28" s="400">
        <v>2</v>
      </c>
      <c r="J28" s="301">
        <f>D28*I28</f>
        <v>310</v>
      </c>
      <c r="K28" s="260">
        <v>2</v>
      </c>
      <c r="L28" s="261">
        <f>D28*K28</f>
        <v>310</v>
      </c>
      <c r="M28" s="40" t="s">
        <v>33</v>
      </c>
    </row>
    <row r="29" spans="2:13" ht="32.25" customHeight="1" x14ac:dyDescent="0.25">
      <c r="B29" s="2"/>
      <c r="C29" s="59" t="s">
        <v>49</v>
      </c>
      <c r="D29" s="217">
        <v>670</v>
      </c>
      <c r="E29" s="197">
        <v>1</v>
      </c>
      <c r="F29" s="296">
        <v>670</v>
      </c>
      <c r="G29" s="208">
        <v>1</v>
      </c>
      <c r="H29" s="295">
        <f>D29*G29</f>
        <v>670</v>
      </c>
      <c r="I29" s="300">
        <v>1</v>
      </c>
      <c r="J29" s="301">
        <f>D29*I29</f>
        <v>670</v>
      </c>
      <c r="K29" s="260">
        <v>1</v>
      </c>
      <c r="L29" s="261">
        <f>D29*K29</f>
        <v>670</v>
      </c>
      <c r="M29" s="40" t="s">
        <v>34</v>
      </c>
    </row>
    <row r="30" spans="2:13" ht="32.25" customHeight="1" x14ac:dyDescent="0.25">
      <c r="B30" s="2"/>
      <c r="C30" s="59" t="s">
        <v>51</v>
      </c>
      <c r="D30" s="217">
        <v>200</v>
      </c>
      <c r="E30" s="197">
        <v>1</v>
      </c>
      <c r="F30" s="279">
        <v>200</v>
      </c>
      <c r="G30" s="208">
        <v>1</v>
      </c>
      <c r="H30" s="295">
        <f>D30*G30</f>
        <v>200</v>
      </c>
      <c r="I30" s="300">
        <v>1</v>
      </c>
      <c r="J30" s="301">
        <f>D30*I30</f>
        <v>200</v>
      </c>
      <c r="K30" s="260">
        <v>1</v>
      </c>
      <c r="L30" s="261">
        <f>D30*K30</f>
        <v>200</v>
      </c>
      <c r="M30" s="40" t="s">
        <v>17</v>
      </c>
    </row>
    <row r="31" spans="2:13" ht="32.25" customHeight="1" x14ac:dyDescent="0.25">
      <c r="B31" s="2"/>
      <c r="C31" s="59" t="s">
        <v>52</v>
      </c>
      <c r="D31" s="217">
        <v>225</v>
      </c>
      <c r="E31" s="197">
        <v>2</v>
      </c>
      <c r="F31" s="279">
        <f>D31*E31</f>
        <v>450</v>
      </c>
      <c r="G31" s="208">
        <v>2</v>
      </c>
      <c r="H31" s="295">
        <f>D31*G31</f>
        <v>450</v>
      </c>
      <c r="I31" s="400">
        <v>2</v>
      </c>
      <c r="J31" s="301">
        <f>D31*I31</f>
        <v>450</v>
      </c>
      <c r="K31" s="260">
        <v>2</v>
      </c>
      <c r="L31" s="261">
        <f>D31*K31</f>
        <v>450</v>
      </c>
      <c r="M31" s="40" t="s">
        <v>151</v>
      </c>
    </row>
    <row r="32" spans="2:13" ht="15" customHeight="1" x14ac:dyDescent="0.25">
      <c r="B32" s="245" t="s">
        <v>5</v>
      </c>
      <c r="C32" s="278" t="s">
        <v>6</v>
      </c>
      <c r="D32" s="215"/>
      <c r="E32" s="197"/>
      <c r="F32" s="279"/>
      <c r="G32" s="310"/>
      <c r="H32" s="295"/>
      <c r="I32" s="299"/>
      <c r="J32" s="301"/>
      <c r="K32" s="261"/>
      <c r="L32" s="261"/>
      <c r="M32" s="41"/>
    </row>
    <row r="33" spans="2:13" ht="32.25" customHeight="1" x14ac:dyDescent="0.25">
      <c r="B33" s="2"/>
      <c r="C33" s="59" t="s">
        <v>7</v>
      </c>
      <c r="D33" s="309">
        <v>1100</v>
      </c>
      <c r="E33" s="197">
        <v>1</v>
      </c>
      <c r="F33" s="296">
        <f>D33</f>
        <v>1100</v>
      </c>
      <c r="G33" s="257">
        <v>1</v>
      </c>
      <c r="H33" s="295">
        <f>D33*G33</f>
        <v>1100</v>
      </c>
      <c r="I33" s="400">
        <v>1</v>
      </c>
      <c r="J33" s="301">
        <f>D33*I33</f>
        <v>1100</v>
      </c>
      <c r="K33" s="260">
        <v>1</v>
      </c>
      <c r="L33" s="261">
        <f>D33*K33</f>
        <v>1100</v>
      </c>
      <c r="M33" s="213" t="s">
        <v>35</v>
      </c>
    </row>
    <row r="34" spans="2:13" ht="32.25" customHeight="1" x14ac:dyDescent="0.25">
      <c r="B34" s="2"/>
      <c r="C34" s="59" t="s">
        <v>147</v>
      </c>
      <c r="D34" s="214">
        <v>200</v>
      </c>
      <c r="E34" s="197">
        <v>1</v>
      </c>
      <c r="F34" s="279">
        <f>D34</f>
        <v>200</v>
      </c>
      <c r="G34" s="257">
        <v>1</v>
      </c>
      <c r="H34" s="295">
        <f>D34*G34</f>
        <v>200</v>
      </c>
      <c r="I34" s="400">
        <v>1</v>
      </c>
      <c r="J34" s="301">
        <f>D34*I34</f>
        <v>200</v>
      </c>
      <c r="K34" s="260">
        <v>1</v>
      </c>
      <c r="L34" s="261">
        <f>D34*K34</f>
        <v>200</v>
      </c>
      <c r="M34" s="40" t="s">
        <v>54</v>
      </c>
    </row>
    <row r="35" spans="2:13" ht="32.25" customHeight="1" x14ac:dyDescent="0.25">
      <c r="B35" s="2"/>
      <c r="C35" s="59" t="s">
        <v>146</v>
      </c>
      <c r="D35" s="214">
        <v>200</v>
      </c>
      <c r="E35" s="197">
        <v>1</v>
      </c>
      <c r="F35" s="279">
        <f>D35</f>
        <v>200</v>
      </c>
      <c r="G35" s="257">
        <v>1</v>
      </c>
      <c r="H35" s="295">
        <f>D35*G35</f>
        <v>200</v>
      </c>
      <c r="I35" s="400">
        <v>1</v>
      </c>
      <c r="J35" s="301">
        <f>D35*I35</f>
        <v>200</v>
      </c>
      <c r="K35" s="260">
        <v>1</v>
      </c>
      <c r="L35" s="261">
        <f>D35*K35</f>
        <v>200</v>
      </c>
      <c r="M35" s="40" t="s">
        <v>54</v>
      </c>
    </row>
    <row r="36" spans="2:13" ht="32.25" customHeight="1" thickBot="1" x14ac:dyDescent="0.3">
      <c r="B36" s="2"/>
      <c r="C36" s="8"/>
      <c r="D36" s="215"/>
      <c r="E36" s="197"/>
      <c r="F36" s="279"/>
      <c r="G36" s="208"/>
      <c r="H36" s="312"/>
      <c r="I36" s="401"/>
      <c r="J36" s="313"/>
      <c r="K36" s="262"/>
      <c r="L36" s="261"/>
      <c r="M36" s="41"/>
    </row>
    <row r="37" spans="2:13" ht="16.5" thickBot="1" x14ac:dyDescent="0.3">
      <c r="B37" s="2"/>
      <c r="C37" s="6" t="s">
        <v>8</v>
      </c>
      <c r="D37" s="216"/>
      <c r="E37" s="194"/>
      <c r="F37" s="195">
        <f>SUM(F17:F35)</f>
        <v>23209.178</v>
      </c>
      <c r="G37" s="195"/>
      <c r="H37" s="195">
        <f>SUM(H17:H35)</f>
        <v>24394.03</v>
      </c>
      <c r="I37" s="195"/>
      <c r="J37" s="195">
        <f>SUM(J17:J35)</f>
        <v>24790.451999999997</v>
      </c>
      <c r="K37" s="195"/>
      <c r="L37" s="195">
        <f>SUM(L17:L35)</f>
        <v>24161.962999999996</v>
      </c>
      <c r="M37" s="277"/>
    </row>
    <row r="38" spans="2:13" x14ac:dyDescent="0.25">
      <c r="B38" s="2"/>
      <c r="C38" s="8"/>
      <c r="D38" s="8"/>
      <c r="E38" s="8"/>
      <c r="F38" s="14"/>
      <c r="G38" s="14"/>
      <c r="H38" s="14"/>
      <c r="I38" s="14"/>
      <c r="J38" s="14"/>
      <c r="K38" s="14"/>
      <c r="L38" s="14"/>
      <c r="M38" s="9"/>
    </row>
    <row r="39" spans="2:13" ht="20.100000000000001" customHeight="1" x14ac:dyDescent="0.25">
      <c r="B39" s="2"/>
      <c r="C39" s="184"/>
      <c r="D39" s="184"/>
      <c r="E39" s="184"/>
      <c r="F39" s="181"/>
      <c r="G39" s="181"/>
      <c r="H39" s="181"/>
      <c r="I39" s="181"/>
      <c r="J39" s="181"/>
      <c r="K39" s="181"/>
      <c r="L39" s="181"/>
      <c r="M39" s="185"/>
    </row>
    <row r="40" spans="2:13" ht="20.100000000000001" customHeight="1" x14ac:dyDescent="0.25">
      <c r="B40" s="2"/>
      <c r="C40" s="179" t="s">
        <v>9</v>
      </c>
      <c r="D40" s="179"/>
      <c r="E40" s="179"/>
      <c r="F40" s="180"/>
      <c r="G40" s="316"/>
      <c r="H40" s="316"/>
      <c r="I40" s="316"/>
      <c r="J40" s="316"/>
      <c r="K40" s="316"/>
      <c r="L40" s="316"/>
      <c r="M40" s="317"/>
    </row>
    <row r="41" spans="2:13" ht="20.100000000000001" customHeight="1" x14ac:dyDescent="0.25">
      <c r="B41" s="2"/>
      <c r="C41" s="179" t="s">
        <v>36</v>
      </c>
      <c r="D41" s="179"/>
      <c r="E41" s="179"/>
      <c r="F41" s="180"/>
      <c r="G41" s="186"/>
      <c r="H41" s="186"/>
      <c r="I41" s="186"/>
      <c r="J41" s="186"/>
      <c r="K41" s="186"/>
      <c r="L41" s="186"/>
      <c r="M41" s="187"/>
    </row>
    <row r="42" spans="2:13" ht="20.100000000000001" customHeight="1" x14ac:dyDescent="0.25">
      <c r="B42" s="2"/>
      <c r="C42" s="179" t="s">
        <v>26</v>
      </c>
      <c r="D42" s="179"/>
      <c r="E42" s="179"/>
      <c r="F42" s="180"/>
      <c r="G42" s="186"/>
      <c r="H42" s="186"/>
      <c r="I42" s="186"/>
      <c r="J42" s="186"/>
      <c r="K42" s="186"/>
      <c r="L42" s="186"/>
      <c r="M42" s="187"/>
    </row>
    <row r="43" spans="2:13" ht="20.100000000000001" customHeight="1" x14ac:dyDescent="0.25">
      <c r="B43" s="2"/>
      <c r="C43" s="406" t="s">
        <v>177</v>
      </c>
      <c r="D43" s="179"/>
      <c r="E43" s="179"/>
      <c r="F43" s="180"/>
      <c r="G43" s="186"/>
      <c r="H43" s="186"/>
      <c r="I43" s="186"/>
      <c r="J43" s="186"/>
      <c r="K43" s="186"/>
      <c r="L43" s="186"/>
      <c r="M43" s="187"/>
    </row>
    <row r="44" spans="2:13" ht="20.100000000000001" customHeight="1" x14ac:dyDescent="0.25">
      <c r="B44" s="2"/>
      <c r="C44" s="406" t="s">
        <v>178</v>
      </c>
      <c r="D44" s="179"/>
      <c r="E44" s="179"/>
      <c r="F44" s="180"/>
      <c r="G44" s="186"/>
      <c r="H44" s="186"/>
      <c r="I44" s="186"/>
      <c r="J44" s="186"/>
      <c r="K44" s="186"/>
      <c r="L44" s="186"/>
      <c r="M44" s="187"/>
    </row>
    <row r="45" spans="2:13" ht="20.100000000000001" customHeight="1" thickBot="1" x14ac:dyDescent="0.3">
      <c r="B45" s="7"/>
      <c r="C45" s="408" t="s">
        <v>179</v>
      </c>
      <c r="D45" s="407"/>
      <c r="E45" s="407"/>
      <c r="F45" s="407"/>
      <c r="G45" s="318"/>
      <c r="H45" s="318"/>
      <c r="I45" s="318"/>
      <c r="J45" s="318"/>
      <c r="K45" s="318"/>
      <c r="L45" s="318"/>
      <c r="M45" s="319"/>
    </row>
    <row r="46" spans="2:13" ht="15" customHeight="1" x14ac:dyDescent="0.25"/>
  </sheetData>
  <mergeCells count="12">
    <mergeCell ref="G40:M40"/>
    <mergeCell ref="G45:M45"/>
    <mergeCell ref="E4:F4"/>
    <mergeCell ref="G4:H4"/>
    <mergeCell ref="I4:J4"/>
    <mergeCell ref="K4:L4"/>
    <mergeCell ref="G15:G16"/>
    <mergeCell ref="I15:I16"/>
    <mergeCell ref="K15:K16"/>
    <mergeCell ref="D15:D16"/>
    <mergeCell ref="E15:E16"/>
    <mergeCell ref="C15:C16"/>
  </mergeCells>
  <pageMargins left="0.70866141732283472" right="0.31496062992125984" top="0.74803149606299213" bottom="0.74803149606299213" header="0.31496062992125984" footer="0.31496062992125984"/>
  <pageSetup paperSize="9" scale="27" orientation="portrait" r:id="rId1"/>
  <colBreaks count="1" manualBreakCount="1">
    <brk id="14" max="3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I37"/>
  <sheetViews>
    <sheetView view="pageBreakPreview" zoomScale="90" zoomScaleNormal="100" zoomScaleSheetLayoutView="90" workbookViewId="0">
      <selection activeCell="B24" sqref="B24:C24"/>
    </sheetView>
  </sheetViews>
  <sheetFormatPr baseColWidth="10" defaultRowHeight="15" x14ac:dyDescent="0.25"/>
  <cols>
    <col min="1" max="1" width="8.28515625" customWidth="1"/>
    <col min="2" max="2" width="30.5703125" customWidth="1"/>
    <col min="3" max="3" width="27.140625" customWidth="1"/>
    <col min="4" max="5" width="26.5703125" customWidth="1"/>
    <col min="6" max="6" width="24.5703125" customWidth="1"/>
    <col min="7" max="7" width="23.42578125" customWidth="1"/>
    <col min="8" max="8" width="19.140625" bestFit="1" customWidth="1"/>
    <col min="9" max="9" width="11.5703125" customWidth="1"/>
  </cols>
  <sheetData>
    <row r="1" spans="1:9" x14ac:dyDescent="0.25">
      <c r="A1" s="62"/>
      <c r="B1" s="62"/>
      <c r="C1" s="62"/>
      <c r="D1" s="62"/>
      <c r="E1" s="62"/>
      <c r="F1" s="62"/>
      <c r="G1" s="62"/>
      <c r="H1" s="62"/>
      <c r="I1" s="62"/>
    </row>
    <row r="2" spans="1:9" ht="26.25" x14ac:dyDescent="0.4">
      <c r="A2" s="62"/>
      <c r="B2" s="64" t="s">
        <v>123</v>
      </c>
      <c r="C2" s="61"/>
      <c r="D2" s="61"/>
      <c r="E2" s="61"/>
      <c r="F2" s="61"/>
      <c r="G2" s="61"/>
      <c r="H2" s="61"/>
      <c r="I2" s="62"/>
    </row>
    <row r="3" spans="1:9" ht="21.75" thickBot="1" x14ac:dyDescent="0.4">
      <c r="A3" s="62"/>
      <c r="B3" s="63"/>
      <c r="C3" s="61"/>
      <c r="D3" s="61"/>
      <c r="E3" s="61"/>
      <c r="F3" s="61"/>
      <c r="G3" s="61"/>
      <c r="H3" s="61"/>
      <c r="I3" s="62"/>
    </row>
    <row r="4" spans="1:9" ht="46.5" x14ac:dyDescent="0.25">
      <c r="A4" s="62"/>
      <c r="B4" s="351" t="s">
        <v>63</v>
      </c>
      <c r="C4" s="352"/>
      <c r="D4" s="68" t="s">
        <v>15</v>
      </c>
      <c r="E4" s="68" t="s">
        <v>126</v>
      </c>
      <c r="F4" s="68" t="s">
        <v>31</v>
      </c>
      <c r="G4" s="68" t="s">
        <v>41</v>
      </c>
      <c r="H4" s="69" t="s">
        <v>40</v>
      </c>
      <c r="I4" s="62"/>
    </row>
    <row r="5" spans="1:9" ht="52.5" customHeight="1" x14ac:dyDescent="0.25">
      <c r="A5" s="62"/>
      <c r="B5" s="353" t="s">
        <v>65</v>
      </c>
      <c r="C5" s="352"/>
      <c r="D5" s="98" t="s">
        <v>69</v>
      </c>
      <c r="E5" s="98" t="s">
        <v>127</v>
      </c>
      <c r="F5" s="98" t="s">
        <v>69</v>
      </c>
      <c r="G5" s="98" t="s">
        <v>69</v>
      </c>
      <c r="H5" s="99" t="s">
        <v>69</v>
      </c>
      <c r="I5" s="62"/>
    </row>
    <row r="6" spans="1:9" ht="23.25" x14ac:dyDescent="0.25">
      <c r="A6" s="62"/>
      <c r="B6" s="354" t="s">
        <v>45</v>
      </c>
      <c r="C6" s="355"/>
      <c r="D6" s="90" t="s">
        <v>43</v>
      </c>
      <c r="E6" s="90" t="s">
        <v>43</v>
      </c>
      <c r="F6" s="90" t="s">
        <v>43</v>
      </c>
      <c r="G6" s="90" t="s">
        <v>43</v>
      </c>
      <c r="H6" s="92" t="s">
        <v>43</v>
      </c>
      <c r="I6" s="62"/>
    </row>
    <row r="7" spans="1:9" ht="23.25" x14ac:dyDescent="0.25">
      <c r="A7" s="62"/>
      <c r="B7" s="349" t="s">
        <v>66</v>
      </c>
      <c r="C7" s="350"/>
      <c r="D7" s="71" t="e">
        <f>+#REF!+#REF!+#REF!+#REF!+#REF!+#REF!+#REF!+#REF!+#REF!</f>
        <v>#REF!</v>
      </c>
      <c r="E7" s="71">
        <f>+'ilo patio puerto'!D13+'ilo patio puerto'!D15+'ilo patio puerto'!D17+'ilo patio puerto'!D18+'ilo patio puerto'!D19+'ilo patio puerto'!D20+'ilo patio puerto'!D22+'ilo patio puerto'!D23</f>
        <v>5836</v>
      </c>
      <c r="F7" s="72" t="e">
        <f>+MATARANI!F25+MATARANI!F28+MATARANI!#REF!+MATARANI!F29+MATARANI!F30+MATARANI!F31+MATARANI!F33+MATARANI!F34</f>
        <v>#REF!</v>
      </c>
      <c r="G7" s="73" t="e">
        <f>+#REF!+#REF!+#REF!+#REF!+#REF!+#REF!+#REF!</f>
        <v>#REF!</v>
      </c>
      <c r="H7" s="74" t="e">
        <f>+#REF!+#REF!+#REF!+#REF!+#REF!+#REF!+#REF!</f>
        <v>#REF!</v>
      </c>
      <c r="I7" s="62"/>
    </row>
    <row r="8" spans="1:9" ht="23.25" x14ac:dyDescent="0.25">
      <c r="A8" s="62"/>
      <c r="B8" s="349" t="s">
        <v>46</v>
      </c>
      <c r="C8" s="350"/>
      <c r="D8" s="75">
        <v>3000</v>
      </c>
      <c r="E8" s="75">
        <f>+'ilo patio puerto'!D10</f>
        <v>3000</v>
      </c>
      <c r="F8" s="73"/>
      <c r="G8" s="73"/>
      <c r="H8" s="74"/>
      <c r="I8" s="62"/>
    </row>
    <row r="9" spans="1:9" ht="23.25" x14ac:dyDescent="0.25">
      <c r="A9" s="62"/>
      <c r="B9" s="349" t="s">
        <v>67</v>
      </c>
      <c r="C9" s="350"/>
      <c r="D9" s="75" t="e">
        <f>+#REF!</f>
        <v>#REF!</v>
      </c>
      <c r="E9" s="75">
        <f>+'ilo patio puerto'!D12</f>
        <v>4000</v>
      </c>
      <c r="F9" s="76"/>
      <c r="G9" s="77"/>
      <c r="H9" s="74" t="e">
        <f>+#REF!</f>
        <v>#REF!</v>
      </c>
      <c r="I9" s="62"/>
    </row>
    <row r="10" spans="1:9" ht="23.25" x14ac:dyDescent="0.25">
      <c r="A10" s="62"/>
      <c r="B10" s="349" t="s">
        <v>47</v>
      </c>
      <c r="C10" s="350"/>
      <c r="D10" s="71" t="e">
        <f>+#REF!</f>
        <v>#REF!</v>
      </c>
      <c r="E10" s="71">
        <f>+'ilo patio puerto'!D11</f>
        <v>4600</v>
      </c>
      <c r="F10" s="76" t="e">
        <f>+MATARANI!#REF!+MATARANI!#REF!+MATARANI!F21</f>
        <v>#REF!</v>
      </c>
      <c r="G10" s="72" t="e">
        <f>+#REF!</f>
        <v>#REF!</v>
      </c>
      <c r="H10" s="74"/>
      <c r="I10" s="62"/>
    </row>
    <row r="11" spans="1:9" ht="23.25" x14ac:dyDescent="0.25">
      <c r="A11" s="62"/>
      <c r="B11" s="360" t="s">
        <v>55</v>
      </c>
      <c r="C11" s="361"/>
      <c r="D11" s="75" t="e">
        <f>+#REF!</f>
        <v>#REF!</v>
      </c>
      <c r="E11" s="75">
        <f>+'ilo patio puerto'!D16</f>
        <v>1245</v>
      </c>
      <c r="F11" s="73">
        <f>+MATARANI!F27</f>
        <v>2790.5280000000002</v>
      </c>
      <c r="G11" s="73"/>
      <c r="H11" s="74" t="e">
        <f>+#REF!</f>
        <v>#REF!</v>
      </c>
      <c r="I11" s="62"/>
    </row>
    <row r="12" spans="1:9" ht="24" thickBot="1" x14ac:dyDescent="0.3">
      <c r="A12" s="62"/>
      <c r="B12" s="362"/>
      <c r="C12" s="363"/>
      <c r="D12" s="78"/>
      <c r="E12" s="78"/>
      <c r="F12" s="79"/>
      <c r="G12" s="79"/>
      <c r="H12" s="80"/>
      <c r="I12" s="62"/>
    </row>
    <row r="13" spans="1:9" ht="24" thickBot="1" x14ac:dyDescent="0.4">
      <c r="A13" s="62"/>
      <c r="B13" s="358" t="s">
        <v>44</v>
      </c>
      <c r="C13" s="359"/>
      <c r="D13" s="81" t="e">
        <f>SUM(D7:D11)</f>
        <v>#REF!</v>
      </c>
      <c r="E13" s="81">
        <f>SUM(E7:E11)</f>
        <v>18681</v>
      </c>
      <c r="F13" s="81" t="e">
        <f>SUM(F7:F11)</f>
        <v>#REF!</v>
      </c>
      <c r="G13" s="81" t="e">
        <f>SUM(G7:G11)</f>
        <v>#REF!</v>
      </c>
      <c r="H13" s="82" t="e">
        <f>SUM(H7:H11)</f>
        <v>#REF!</v>
      </c>
      <c r="I13" s="62"/>
    </row>
    <row r="14" spans="1:9" x14ac:dyDescent="0.25">
      <c r="A14" s="62"/>
      <c r="B14" s="62"/>
      <c r="C14" s="62"/>
      <c r="D14" s="110"/>
      <c r="E14" s="110"/>
      <c r="F14" s="110"/>
      <c r="G14" s="110"/>
      <c r="H14" s="110"/>
      <c r="I14" s="62"/>
    </row>
    <row r="15" spans="1:9" ht="15.75" thickBot="1" x14ac:dyDescent="0.3">
      <c r="A15" s="62"/>
      <c r="B15" s="62"/>
      <c r="C15" s="62"/>
      <c r="D15" s="110"/>
      <c r="E15" s="110"/>
      <c r="F15" s="110"/>
      <c r="G15" s="110"/>
      <c r="H15" s="110"/>
      <c r="I15" s="62"/>
    </row>
    <row r="16" spans="1:9" s="85" customFormat="1" ht="27" thickBot="1" x14ac:dyDescent="0.45">
      <c r="A16" s="109"/>
      <c r="B16" s="356" t="s">
        <v>64</v>
      </c>
      <c r="C16" s="357"/>
      <c r="D16" s="84" t="e">
        <f>+D13</f>
        <v>#REF!</v>
      </c>
      <c r="E16" s="84">
        <f>+E13</f>
        <v>18681</v>
      </c>
      <c r="F16" s="84" t="e">
        <f>+F13-F11</f>
        <v>#REF!</v>
      </c>
      <c r="G16" s="84" t="e">
        <f>+G13-G11</f>
        <v>#REF!</v>
      </c>
      <c r="H16" s="84" t="e">
        <f>+H13</f>
        <v>#REF!</v>
      </c>
      <c r="I16" s="109"/>
    </row>
    <row r="17" spans="1:9" x14ac:dyDescent="0.25">
      <c r="A17" s="62"/>
      <c r="B17" s="62"/>
      <c r="C17" s="62"/>
      <c r="D17" s="62"/>
      <c r="E17" s="62"/>
      <c r="F17" s="62"/>
      <c r="G17" s="62"/>
      <c r="H17" s="62"/>
      <c r="I17" s="62"/>
    </row>
    <row r="18" spans="1:9" x14ac:dyDescent="0.25">
      <c r="A18" s="62"/>
      <c r="B18" s="62"/>
      <c r="C18" s="62"/>
      <c r="D18" s="62"/>
      <c r="E18" s="62"/>
      <c r="F18" s="62"/>
      <c r="G18" s="62"/>
      <c r="H18" s="62"/>
      <c r="I18" s="62"/>
    </row>
    <row r="19" spans="1:9" x14ac:dyDescent="0.25">
      <c r="A19" s="62"/>
      <c r="B19" s="62"/>
      <c r="C19" s="62"/>
      <c r="D19" s="62"/>
      <c r="E19" s="62"/>
      <c r="F19" s="62"/>
      <c r="G19" s="62"/>
      <c r="H19" s="62"/>
      <c r="I19" s="62"/>
    </row>
    <row r="20" spans="1:9" ht="42.75" customHeight="1" x14ac:dyDescent="0.25">
      <c r="A20" s="62"/>
      <c r="B20" s="348" t="s">
        <v>125</v>
      </c>
      <c r="C20" s="348"/>
      <c r="D20" s="348"/>
      <c r="E20" s="348"/>
      <c r="F20" s="348"/>
      <c r="G20" s="348"/>
      <c r="H20" s="348"/>
      <c r="I20" s="62"/>
    </row>
    <row r="21" spans="1:9" ht="15.75" x14ac:dyDescent="0.25">
      <c r="A21" s="62"/>
      <c r="B21" s="112"/>
      <c r="C21" s="112"/>
      <c r="D21" s="112"/>
      <c r="E21" s="112"/>
      <c r="F21" s="112"/>
      <c r="G21" s="112"/>
      <c r="H21" s="112"/>
      <c r="I21" s="62"/>
    </row>
    <row r="22" spans="1:9" ht="15.75" x14ac:dyDescent="0.25">
      <c r="A22" s="62"/>
      <c r="B22" s="113" t="s">
        <v>73</v>
      </c>
      <c r="C22" s="112"/>
      <c r="D22" s="112"/>
      <c r="E22" s="112"/>
      <c r="F22" s="112"/>
      <c r="G22" s="112"/>
      <c r="H22" s="112"/>
      <c r="I22" s="62"/>
    </row>
    <row r="23" spans="1:9" ht="15.75" x14ac:dyDescent="0.25">
      <c r="A23" s="62"/>
      <c r="B23" s="114" t="s">
        <v>74</v>
      </c>
      <c r="C23" s="112"/>
      <c r="D23" s="112"/>
      <c r="E23" s="112"/>
      <c r="F23" s="112"/>
      <c r="G23" s="112"/>
      <c r="H23" s="112"/>
      <c r="I23" s="62"/>
    </row>
    <row r="24" spans="1:9" ht="15.75" x14ac:dyDescent="0.25">
      <c r="A24" s="62"/>
      <c r="B24" s="348" t="s">
        <v>75</v>
      </c>
      <c r="C24" s="348"/>
      <c r="D24" s="112"/>
      <c r="E24" s="112"/>
      <c r="F24" s="112"/>
      <c r="G24" s="112"/>
      <c r="H24" s="112"/>
      <c r="I24" s="62"/>
    </row>
    <row r="25" spans="1:9" ht="15" customHeight="1" x14ac:dyDescent="0.25">
      <c r="A25" s="62"/>
      <c r="B25" s="348" t="s">
        <v>81</v>
      </c>
      <c r="C25" s="348"/>
      <c r="D25" s="348"/>
      <c r="E25" s="348"/>
      <c r="F25" s="348"/>
      <c r="G25" s="348"/>
      <c r="H25" s="348"/>
      <c r="I25" s="62"/>
    </row>
    <row r="26" spans="1:9" ht="15" customHeight="1" x14ac:dyDescent="0.25">
      <c r="A26" s="62"/>
      <c r="B26" s="111"/>
      <c r="C26" s="111"/>
      <c r="D26" s="111"/>
      <c r="E26" s="111"/>
      <c r="F26" s="111"/>
      <c r="G26" s="111"/>
      <c r="H26" s="111"/>
      <c r="I26" s="62"/>
    </row>
    <row r="27" spans="1:9" ht="9.75" customHeight="1" x14ac:dyDescent="0.25">
      <c r="A27" s="62"/>
      <c r="B27" s="111"/>
      <c r="C27" s="111"/>
      <c r="D27" s="111"/>
      <c r="E27" s="111"/>
      <c r="F27" s="111"/>
      <c r="G27" s="111"/>
      <c r="H27" s="111"/>
      <c r="I27" s="62"/>
    </row>
    <row r="28" spans="1:9" hidden="1" x14ac:dyDescent="0.25">
      <c r="A28" s="62"/>
      <c r="B28" s="115"/>
      <c r="C28" s="115"/>
      <c r="D28" s="115"/>
      <c r="E28" s="115"/>
      <c r="F28" s="115"/>
      <c r="G28" s="115"/>
      <c r="H28" s="115"/>
      <c r="I28" s="62"/>
    </row>
    <row r="29" spans="1:9" x14ac:dyDescent="0.25">
      <c r="A29" s="62"/>
      <c r="B29" s="116" t="s">
        <v>118</v>
      </c>
      <c r="C29" s="115"/>
      <c r="D29" s="115"/>
      <c r="E29" s="115"/>
      <c r="F29" s="115"/>
      <c r="G29" s="115"/>
      <c r="H29" s="115"/>
      <c r="I29" s="62"/>
    </row>
    <row r="30" spans="1:9" x14ac:dyDescent="0.25">
      <c r="A30" s="62"/>
      <c r="B30" s="174">
        <f ca="1">+TODAY()</f>
        <v>46210</v>
      </c>
      <c r="C30" s="62"/>
      <c r="D30" s="62"/>
      <c r="E30" s="62"/>
      <c r="F30" s="62"/>
      <c r="G30" s="62"/>
      <c r="H30" s="62"/>
      <c r="I30" s="62"/>
    </row>
    <row r="31" spans="1:9" x14ac:dyDescent="0.25">
      <c r="A31" s="62"/>
      <c r="B31" s="62"/>
      <c r="C31" s="62"/>
      <c r="D31" s="62"/>
      <c r="E31" s="62"/>
      <c r="F31" s="62"/>
      <c r="G31" s="62"/>
      <c r="H31" s="62"/>
      <c r="I31" s="62"/>
    </row>
    <row r="35" ht="23.25" customHeight="1" x14ac:dyDescent="0.25"/>
    <row r="37" ht="23.25" customHeight="1" x14ac:dyDescent="0.25"/>
  </sheetData>
  <mergeCells count="14">
    <mergeCell ref="B25:H25"/>
    <mergeCell ref="B9:C9"/>
    <mergeCell ref="B4:C4"/>
    <mergeCell ref="B5:C5"/>
    <mergeCell ref="B6:C6"/>
    <mergeCell ref="B7:C7"/>
    <mergeCell ref="B8:C8"/>
    <mergeCell ref="B20:H20"/>
    <mergeCell ref="B16:C16"/>
    <mergeCell ref="B24:C24"/>
    <mergeCell ref="B10:C10"/>
    <mergeCell ref="B13:C13"/>
    <mergeCell ref="B11:C11"/>
    <mergeCell ref="B12:C12"/>
  </mergeCells>
  <pageMargins left="0.70866141732283472" right="0.70866141732283472" top="0.74803149606299213" bottom="0.74803149606299213" header="0.31496062992125984" footer="0.31496062992125984"/>
  <pageSetup scale="61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I26"/>
  <sheetViews>
    <sheetView view="pageBreakPreview" topLeftCell="A5" zoomScale="90" zoomScaleNormal="100" zoomScaleSheetLayoutView="90" workbookViewId="0">
      <selection activeCell="B11" sqref="B11:C11"/>
    </sheetView>
  </sheetViews>
  <sheetFormatPr baseColWidth="10" defaultRowHeight="15" x14ac:dyDescent="0.25"/>
  <cols>
    <col min="1" max="1" width="8.42578125" customWidth="1"/>
    <col min="3" max="3" width="75" customWidth="1"/>
    <col min="4" max="4" width="22.28515625" customWidth="1"/>
    <col min="5" max="6" width="24.28515625" customWidth="1"/>
    <col min="7" max="7" width="31.42578125" customWidth="1"/>
    <col min="9" max="9" width="6.85546875" customWidth="1"/>
  </cols>
  <sheetData>
    <row r="1" spans="1:9" x14ac:dyDescent="0.25">
      <c r="A1" s="62"/>
      <c r="B1" s="62"/>
      <c r="C1" s="62"/>
      <c r="D1" s="62"/>
      <c r="E1" s="62"/>
      <c r="F1" s="62"/>
      <c r="G1" s="62"/>
      <c r="H1" s="62"/>
      <c r="I1" s="62"/>
    </row>
    <row r="2" spans="1:9" ht="26.25" x14ac:dyDescent="0.4">
      <c r="A2" s="62"/>
      <c r="B2" s="64" t="s">
        <v>124</v>
      </c>
      <c r="C2" s="61"/>
      <c r="D2" s="61"/>
      <c r="E2" s="61"/>
      <c r="F2" s="61"/>
      <c r="G2" s="62"/>
      <c r="H2" s="62"/>
      <c r="I2" s="62"/>
    </row>
    <row r="3" spans="1:9" x14ac:dyDescent="0.25">
      <c r="A3" s="62"/>
      <c r="B3" s="62"/>
      <c r="C3" s="62"/>
      <c r="D3" s="62"/>
      <c r="E3" s="62"/>
      <c r="F3" s="62"/>
      <c r="G3" s="62"/>
      <c r="H3" s="62"/>
      <c r="I3" s="62"/>
    </row>
    <row r="4" spans="1:9" x14ac:dyDescent="0.25">
      <c r="A4" s="62"/>
      <c r="B4" s="62"/>
      <c r="C4" s="62"/>
      <c r="D4" s="62"/>
      <c r="E4" s="62"/>
      <c r="F4" s="62"/>
      <c r="G4" s="62"/>
      <c r="H4" s="62"/>
      <c r="I4" s="62"/>
    </row>
    <row r="5" spans="1:9" ht="15.75" thickBot="1" x14ac:dyDescent="0.3">
      <c r="A5" s="62"/>
      <c r="B5" s="62"/>
      <c r="C5" s="62"/>
      <c r="D5" s="62"/>
      <c r="E5" s="62"/>
      <c r="F5" s="62"/>
      <c r="G5" s="62"/>
      <c r="H5" s="62"/>
      <c r="I5" s="62"/>
    </row>
    <row r="6" spans="1:9" ht="46.5" x14ac:dyDescent="0.25">
      <c r="B6" s="366" t="s">
        <v>63</v>
      </c>
      <c r="C6" s="367"/>
      <c r="D6" s="68" t="s">
        <v>48</v>
      </c>
      <c r="E6" s="68" t="s">
        <v>56</v>
      </c>
      <c r="F6" s="69" t="s">
        <v>119</v>
      </c>
      <c r="G6" s="165" t="s">
        <v>30</v>
      </c>
    </row>
    <row r="7" spans="1:9" ht="23.25" x14ac:dyDescent="0.25">
      <c r="B7" s="353" t="s">
        <v>62</v>
      </c>
      <c r="C7" s="352"/>
      <c r="D7" s="89"/>
      <c r="E7" s="89"/>
      <c r="F7" s="91"/>
      <c r="G7" s="166"/>
    </row>
    <row r="8" spans="1:9" ht="23.25" x14ac:dyDescent="0.25">
      <c r="B8" s="368" t="s">
        <v>45</v>
      </c>
      <c r="C8" s="369"/>
      <c r="D8" s="90" t="s">
        <v>43</v>
      </c>
      <c r="E8" s="90" t="s">
        <v>43</v>
      </c>
      <c r="F8" s="92" t="s">
        <v>43</v>
      </c>
      <c r="G8" s="167" t="s">
        <v>43</v>
      </c>
    </row>
    <row r="9" spans="1:9" ht="46.5" customHeight="1" x14ac:dyDescent="0.25">
      <c r="B9" s="370" t="s">
        <v>61</v>
      </c>
      <c r="C9" s="371"/>
      <c r="D9" s="86">
        <f>42850-17000-10400</f>
        <v>15450</v>
      </c>
      <c r="E9" s="86" t="e">
        <f>+#REF!-#REF!-#REF!</f>
        <v>#REF!</v>
      </c>
      <c r="F9" s="93" t="e">
        <f>+#REF!-#REF!-#REF!</f>
        <v>#REF!</v>
      </c>
      <c r="G9" s="168" t="e">
        <f>+#REF!+#REF!+#REF!+#REF!+#REF!+#REF!+#REF!+#REF!+#REF!+#REF!+#REF!</f>
        <v>#REF!</v>
      </c>
    </row>
    <row r="10" spans="1:9" ht="36.75" customHeight="1" x14ac:dyDescent="0.25">
      <c r="B10" s="349" t="s">
        <v>60</v>
      </c>
      <c r="C10" s="350"/>
      <c r="D10" s="86" t="e">
        <f>+#REF!</f>
        <v>#REF!</v>
      </c>
      <c r="E10" s="86" t="e">
        <f>+#REF!</f>
        <v>#REF!</v>
      </c>
      <c r="F10" s="93" t="e">
        <f>+#REF!</f>
        <v>#REF!</v>
      </c>
      <c r="G10" s="169" t="e">
        <f>+#REF!</f>
        <v>#REF!</v>
      </c>
    </row>
    <row r="11" spans="1:9" ht="36" customHeight="1" x14ac:dyDescent="0.25">
      <c r="B11" s="349" t="s">
        <v>58</v>
      </c>
      <c r="C11" s="350"/>
      <c r="D11" s="86" t="e">
        <f>+#REF!</f>
        <v>#REF!</v>
      </c>
      <c r="E11" s="86"/>
      <c r="F11" s="93"/>
      <c r="G11" s="168" t="e">
        <f>+#REF!</f>
        <v>#REF!</v>
      </c>
    </row>
    <row r="12" spans="1:9" ht="39.75" customHeight="1" thickBot="1" x14ac:dyDescent="0.3">
      <c r="B12" s="349" t="s">
        <v>59</v>
      </c>
      <c r="C12" s="350"/>
      <c r="D12" s="87" t="e">
        <f>+#REF!</f>
        <v>#REF!</v>
      </c>
      <c r="E12" s="87" t="e">
        <f>+#REF!</f>
        <v>#REF!</v>
      </c>
      <c r="F12" s="95" t="e">
        <f>+#REF!</f>
        <v>#REF!</v>
      </c>
      <c r="G12" s="170" t="e">
        <f>+#REF!</f>
        <v>#REF!</v>
      </c>
    </row>
    <row r="13" spans="1:9" ht="24" thickBot="1" x14ac:dyDescent="0.4">
      <c r="B13" s="358" t="s">
        <v>68</v>
      </c>
      <c r="C13" s="359"/>
      <c r="D13" s="88" t="e">
        <f>SUM(D9:D12)</f>
        <v>#REF!</v>
      </c>
      <c r="E13" s="88" t="e">
        <f>SUM(E9:E12)</f>
        <v>#REF!</v>
      </c>
      <c r="F13" s="97" t="e">
        <f>SUM(F9:F12)</f>
        <v>#REF!</v>
      </c>
      <c r="G13" s="171" t="e">
        <f>SUM(G9:G12)</f>
        <v>#REF!</v>
      </c>
    </row>
    <row r="14" spans="1:9" x14ac:dyDescent="0.25">
      <c r="B14" s="2"/>
      <c r="D14" s="83"/>
      <c r="E14" s="83"/>
      <c r="F14" s="96"/>
      <c r="G14" s="96"/>
    </row>
    <row r="15" spans="1:9" ht="15.75" thickBot="1" x14ac:dyDescent="0.3">
      <c r="B15" s="2"/>
      <c r="D15" s="83"/>
      <c r="E15" s="83"/>
      <c r="F15" s="96"/>
      <c r="G15" s="96"/>
    </row>
    <row r="16" spans="1:9" s="70" customFormat="1" ht="24" thickBot="1" x14ac:dyDescent="0.4">
      <c r="B16" s="372" t="s">
        <v>83</v>
      </c>
      <c r="C16" s="373"/>
      <c r="D16" s="88" t="e">
        <f>+D13-D10</f>
        <v>#REF!</v>
      </c>
      <c r="E16" s="88" t="e">
        <f t="shared" ref="E16" si="0">+E13-E10</f>
        <v>#REF!</v>
      </c>
      <c r="F16" s="97" t="e">
        <f>+F13-F10</f>
        <v>#REF!</v>
      </c>
      <c r="G16" s="172" t="e">
        <f>+G13-G10-G11</f>
        <v>#REF!</v>
      </c>
    </row>
    <row r="17" spans="2:8" x14ac:dyDescent="0.25">
      <c r="D17" s="83"/>
      <c r="E17" s="83"/>
      <c r="F17" s="83"/>
      <c r="G17" s="83"/>
    </row>
    <row r="20" spans="2:8" ht="15" customHeight="1" x14ac:dyDescent="0.25">
      <c r="B20" s="365" t="s">
        <v>76</v>
      </c>
      <c r="C20" s="365"/>
      <c r="D20" s="365"/>
      <c r="E20" s="365"/>
      <c r="F20" s="365"/>
      <c r="G20" s="365"/>
      <c r="H20" s="365"/>
    </row>
    <row r="21" spans="2:8" x14ac:dyDescent="0.25">
      <c r="B21" s="107"/>
      <c r="C21" s="107"/>
      <c r="D21" s="107"/>
      <c r="E21" s="107"/>
      <c r="F21" s="107"/>
      <c r="G21" s="107"/>
      <c r="H21" s="107"/>
    </row>
    <row r="22" spans="2:8" x14ac:dyDescent="0.25">
      <c r="B22" s="105" t="s">
        <v>72</v>
      </c>
      <c r="C22" s="106"/>
      <c r="D22" s="106"/>
      <c r="E22" s="106"/>
      <c r="F22" s="106"/>
      <c r="G22" s="106"/>
      <c r="H22" s="106"/>
    </row>
    <row r="23" spans="2:8" ht="36" customHeight="1" x14ac:dyDescent="0.25">
      <c r="B23" s="364" t="s">
        <v>77</v>
      </c>
      <c r="C23" s="364"/>
      <c r="D23" s="364"/>
      <c r="E23" s="364"/>
      <c r="F23" s="364"/>
      <c r="G23" s="364"/>
      <c r="H23" s="106"/>
    </row>
    <row r="24" spans="2:8" x14ac:dyDescent="0.25">
      <c r="B24" s="104"/>
      <c r="C24" s="104"/>
      <c r="D24" s="104"/>
      <c r="E24" s="104"/>
      <c r="F24" s="104"/>
      <c r="G24" s="104"/>
      <c r="H24" s="104"/>
    </row>
    <row r="25" spans="2:8" x14ac:dyDescent="0.25">
      <c r="B25" s="4" t="str">
        <f>+'RESUMEN PERU'!B29</f>
        <v>H/P Naviera Petral / Sandra Galvez</v>
      </c>
      <c r="C25" s="104"/>
      <c r="D25" s="104"/>
      <c r="E25" s="104"/>
      <c r="F25" s="104"/>
      <c r="G25" s="104"/>
      <c r="H25" s="104"/>
    </row>
    <row r="26" spans="2:8" x14ac:dyDescent="0.25">
      <c r="B26" s="173">
        <f ca="1">+TODAY()</f>
        <v>46210</v>
      </c>
    </row>
  </sheetData>
  <mergeCells count="11">
    <mergeCell ref="B23:G23"/>
    <mergeCell ref="B20:H20"/>
    <mergeCell ref="B6:C6"/>
    <mergeCell ref="B7:C7"/>
    <mergeCell ref="B8:C8"/>
    <mergeCell ref="B9:C9"/>
    <mergeCell ref="B16:C16"/>
    <mergeCell ref="B13:C13"/>
    <mergeCell ref="B11:C11"/>
    <mergeCell ref="B10:C10"/>
    <mergeCell ref="B12:C12"/>
  </mergeCells>
  <pageMargins left="0.70866141732283472" right="0.70866141732283472" top="0.74803149606299213" bottom="0.74803149606299213" header="0.31496062992125984" footer="0.31496062992125984"/>
  <pageSetup scale="58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R22"/>
  <sheetViews>
    <sheetView view="pageBreakPreview" topLeftCell="C1" zoomScale="90" zoomScaleNormal="100" zoomScaleSheetLayoutView="90" workbookViewId="0">
      <selection activeCell="F22" sqref="F22"/>
    </sheetView>
  </sheetViews>
  <sheetFormatPr baseColWidth="10" defaultRowHeight="15" x14ac:dyDescent="0.25"/>
  <cols>
    <col min="3" max="3" width="100" customWidth="1"/>
    <col min="4" max="4" width="21.85546875" customWidth="1"/>
    <col min="5" max="5" width="19.28515625" customWidth="1"/>
    <col min="6" max="6" width="23.5703125" customWidth="1"/>
  </cols>
  <sheetData>
    <row r="1" spans="2:18" ht="15.75" thickBot="1" x14ac:dyDescent="0.3"/>
    <row r="2" spans="2:18" ht="33.75" x14ac:dyDescent="0.35">
      <c r="B2" s="374" t="s">
        <v>62</v>
      </c>
      <c r="C2" s="375"/>
      <c r="D2" s="125" t="s">
        <v>97</v>
      </c>
      <c r="E2" s="125">
        <v>2024</v>
      </c>
      <c r="F2" s="126" t="s">
        <v>103</v>
      </c>
    </row>
    <row r="3" spans="2:18" ht="33.75" x14ac:dyDescent="0.25">
      <c r="B3" s="380" t="s">
        <v>96</v>
      </c>
      <c r="C3" s="381"/>
      <c r="D3" s="123" t="s">
        <v>43</v>
      </c>
      <c r="E3" s="123" t="s">
        <v>43</v>
      </c>
      <c r="F3" s="124" t="s">
        <v>43</v>
      </c>
      <c r="H3" s="117" t="s">
        <v>84</v>
      </c>
      <c r="L3">
        <v>1480</v>
      </c>
      <c r="M3">
        <f>+L3-1800</f>
        <v>-320</v>
      </c>
      <c r="P3">
        <v>34</v>
      </c>
      <c r="R3">
        <f>+P3*320</f>
        <v>10880</v>
      </c>
    </row>
    <row r="4" spans="2:18" x14ac:dyDescent="0.25">
      <c r="B4" s="382"/>
      <c r="C4" s="383"/>
      <c r="D4" s="121"/>
      <c r="E4" s="121"/>
      <c r="F4" s="122"/>
      <c r="H4" s="117"/>
    </row>
    <row r="5" spans="2:18" ht="23.25" customHeight="1" x14ac:dyDescent="0.25">
      <c r="B5" s="376" t="s">
        <v>98</v>
      </c>
      <c r="C5" s="377"/>
      <c r="D5" s="86">
        <v>1480</v>
      </c>
      <c r="E5" s="86">
        <v>1800</v>
      </c>
      <c r="F5" s="94">
        <f>+E5-D5</f>
        <v>320</v>
      </c>
      <c r="H5" s="117" t="s">
        <v>85</v>
      </c>
    </row>
    <row r="6" spans="2:18" ht="23.25" customHeight="1" x14ac:dyDescent="0.25">
      <c r="B6" s="349" t="s">
        <v>102</v>
      </c>
      <c r="C6" s="350"/>
      <c r="D6" s="86">
        <v>340</v>
      </c>
      <c r="E6" s="86">
        <v>340</v>
      </c>
      <c r="F6" s="94">
        <f t="shared" ref="F6:F9" si="0">+E6-D6</f>
        <v>0</v>
      </c>
      <c r="H6" s="117" t="s">
        <v>86</v>
      </c>
    </row>
    <row r="7" spans="2:18" ht="23.25" customHeight="1" x14ac:dyDescent="0.25">
      <c r="B7" s="349" t="s">
        <v>101</v>
      </c>
      <c r="C7" s="350"/>
      <c r="D7" s="86">
        <v>150</v>
      </c>
      <c r="E7" s="86">
        <v>150</v>
      </c>
      <c r="F7" s="94">
        <f t="shared" si="0"/>
        <v>0</v>
      </c>
      <c r="H7" s="117"/>
    </row>
    <row r="8" spans="2:18" ht="47.25" customHeight="1" x14ac:dyDescent="0.25">
      <c r="B8" s="376" t="s">
        <v>99</v>
      </c>
      <c r="C8" s="377"/>
      <c r="D8" s="86">
        <v>510</v>
      </c>
      <c r="E8" s="86">
        <v>510</v>
      </c>
      <c r="F8" s="94">
        <f t="shared" si="0"/>
        <v>0</v>
      </c>
      <c r="H8" s="117" t="s">
        <v>87</v>
      </c>
    </row>
    <row r="9" spans="2:18" ht="47.25" customHeight="1" x14ac:dyDescent="0.25">
      <c r="B9" s="376" t="s">
        <v>100</v>
      </c>
      <c r="C9" s="377"/>
      <c r="D9" s="86">
        <v>220</v>
      </c>
      <c r="E9" s="86">
        <v>220</v>
      </c>
      <c r="F9" s="94">
        <f t="shared" si="0"/>
        <v>0</v>
      </c>
      <c r="H9" s="117"/>
    </row>
    <row r="10" spans="2:18" ht="24" thickBot="1" x14ac:dyDescent="0.4">
      <c r="B10" s="378" t="s">
        <v>44</v>
      </c>
      <c r="C10" s="379"/>
      <c r="D10" s="127">
        <f>SUM(D5:D6)</f>
        <v>1820</v>
      </c>
      <c r="E10" s="127">
        <f>SUM(E5:E6)</f>
        <v>2140</v>
      </c>
      <c r="F10" s="128">
        <f>SUM(F5:F8)</f>
        <v>320</v>
      </c>
      <c r="H10" s="117" t="s">
        <v>88</v>
      </c>
    </row>
    <row r="11" spans="2:18" x14ac:dyDescent="0.25">
      <c r="D11" s="83"/>
      <c r="E11" s="83"/>
      <c r="F11" s="83"/>
      <c r="H11" s="119"/>
    </row>
    <row r="12" spans="2:18" x14ac:dyDescent="0.25">
      <c r="D12" s="83"/>
      <c r="E12" s="83"/>
      <c r="F12" s="83"/>
      <c r="H12" s="117" t="s">
        <v>89</v>
      </c>
    </row>
    <row r="13" spans="2:18" x14ac:dyDescent="0.25">
      <c r="B13" t="s">
        <v>71</v>
      </c>
      <c r="H13" s="119" t="s">
        <v>90</v>
      </c>
    </row>
    <row r="14" spans="2:18" x14ac:dyDescent="0.25">
      <c r="B14" t="s">
        <v>104</v>
      </c>
      <c r="H14" s="119"/>
    </row>
    <row r="15" spans="2:18" x14ac:dyDescent="0.25">
      <c r="H15" s="117" t="s">
        <v>91</v>
      </c>
      <c r="L15">
        <v>350</v>
      </c>
    </row>
    <row r="16" spans="2:18" x14ac:dyDescent="0.25">
      <c r="H16" s="117" t="s">
        <v>92</v>
      </c>
      <c r="L16">
        <v>150</v>
      </c>
    </row>
    <row r="17" spans="8:12" x14ac:dyDescent="0.25">
      <c r="H17" s="120"/>
    </row>
    <row r="18" spans="8:12" x14ac:dyDescent="0.25">
      <c r="H18" s="119" t="s">
        <v>93</v>
      </c>
    </row>
    <row r="19" spans="8:12" x14ac:dyDescent="0.25">
      <c r="H19" s="119"/>
    </row>
    <row r="20" spans="8:12" x14ac:dyDescent="0.25">
      <c r="H20" s="117" t="s">
        <v>94</v>
      </c>
      <c r="L20">
        <v>510</v>
      </c>
    </row>
    <row r="21" spans="8:12" x14ac:dyDescent="0.25">
      <c r="H21" s="117" t="s">
        <v>95</v>
      </c>
      <c r="L21">
        <v>220</v>
      </c>
    </row>
    <row r="22" spans="8:12" x14ac:dyDescent="0.25">
      <c r="H22" s="118"/>
    </row>
  </sheetData>
  <mergeCells count="9">
    <mergeCell ref="B2:C2"/>
    <mergeCell ref="B5:C5"/>
    <mergeCell ref="B6:C6"/>
    <mergeCell ref="B8:C8"/>
    <mergeCell ref="B10:C10"/>
    <mergeCell ref="B7:C7"/>
    <mergeCell ref="B9:C9"/>
    <mergeCell ref="B3:C3"/>
    <mergeCell ref="B4:C4"/>
  </mergeCells>
  <pageMargins left="0.31496062992125984" right="0.31496062992125984" top="1.1417322834645669" bottom="0.74803149606299213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28"/>
  <sheetViews>
    <sheetView topLeftCell="A8" workbookViewId="0">
      <selection activeCell="F22" sqref="F22"/>
    </sheetView>
  </sheetViews>
  <sheetFormatPr baseColWidth="10" defaultRowHeight="15" x14ac:dyDescent="0.25"/>
  <cols>
    <col min="1" max="1" width="4.42578125" customWidth="1"/>
    <col min="2" max="2" width="5.5703125" customWidth="1"/>
    <col min="3" max="3" width="32.28515625" customWidth="1"/>
    <col min="4" max="4" width="18.42578125" customWidth="1"/>
    <col min="5" max="5" width="18" customWidth="1"/>
    <col min="6" max="6" width="67.85546875" customWidth="1"/>
    <col min="7" max="7" width="5" customWidth="1"/>
  </cols>
  <sheetData>
    <row r="3" spans="2:6" ht="15.75" thickBot="1" x14ac:dyDescent="0.3"/>
    <row r="4" spans="2:6" ht="33" customHeight="1" x14ac:dyDescent="0.3">
      <c r="B4" s="1"/>
      <c r="C4" s="340" t="s">
        <v>13</v>
      </c>
      <c r="D4" s="340"/>
      <c r="E4" s="340"/>
      <c r="F4" s="341"/>
    </row>
    <row r="5" spans="2:6" ht="15.75" x14ac:dyDescent="0.25">
      <c r="B5" s="2"/>
      <c r="C5" s="346" t="s">
        <v>119</v>
      </c>
      <c r="D5" s="346"/>
      <c r="E5" s="346"/>
      <c r="F5" s="347"/>
    </row>
    <row r="6" spans="2:6" ht="16.5" thickBot="1" x14ac:dyDescent="0.3">
      <c r="B6" s="2"/>
      <c r="C6" s="3"/>
      <c r="D6" s="8"/>
      <c r="E6" s="8"/>
      <c r="F6" s="9"/>
    </row>
    <row r="7" spans="2:6" ht="15.75" x14ac:dyDescent="0.25">
      <c r="B7" s="2"/>
      <c r="C7" s="4"/>
      <c r="D7" s="16" t="s">
        <v>79</v>
      </c>
      <c r="E7" s="17"/>
      <c r="F7" s="36" t="s">
        <v>10</v>
      </c>
    </row>
    <row r="8" spans="2:6" ht="16.5" thickBot="1" x14ac:dyDescent="0.3">
      <c r="B8" s="2"/>
      <c r="C8" s="8"/>
      <c r="D8" s="18" t="s">
        <v>0</v>
      </c>
      <c r="E8" s="19" t="s">
        <v>14</v>
      </c>
      <c r="F8" s="30"/>
    </row>
    <row r="9" spans="2:6" x14ac:dyDescent="0.25">
      <c r="B9" s="5" t="s">
        <v>1</v>
      </c>
      <c r="C9" s="4" t="s">
        <v>2</v>
      </c>
      <c r="D9" s="20"/>
      <c r="E9" s="21"/>
      <c r="F9" s="31"/>
    </row>
    <row r="10" spans="2:6" ht="29.25" customHeight="1" x14ac:dyDescent="0.25">
      <c r="B10" s="2"/>
      <c r="C10" s="15" t="s">
        <v>27</v>
      </c>
      <c r="D10" s="22">
        <v>10400</v>
      </c>
      <c r="E10" s="102">
        <f>+D10*100/$D$18</f>
        <v>46.436863725665297</v>
      </c>
      <c r="F10" s="37" t="s">
        <v>121</v>
      </c>
    </row>
    <row r="11" spans="2:6" x14ac:dyDescent="0.25">
      <c r="B11" s="2"/>
      <c r="C11" s="8"/>
      <c r="D11" s="23"/>
      <c r="E11" s="102"/>
      <c r="F11" s="34"/>
    </row>
    <row r="12" spans="2:6" x14ac:dyDescent="0.25">
      <c r="B12" s="5" t="s">
        <v>3</v>
      </c>
      <c r="C12" s="4" t="s">
        <v>4</v>
      </c>
      <c r="D12" s="24"/>
      <c r="E12" s="102"/>
      <c r="F12" s="34"/>
    </row>
    <row r="13" spans="2:6" ht="32.25" customHeight="1" x14ac:dyDescent="0.25">
      <c r="B13" s="2"/>
      <c r="C13" s="15" t="s">
        <v>28</v>
      </c>
      <c r="D13" s="22">
        <v>5000</v>
      </c>
      <c r="E13" s="102">
        <f>+D13*100/$D$18</f>
        <v>22.325415252723701</v>
      </c>
      <c r="F13" s="32" t="s">
        <v>120</v>
      </c>
    </row>
    <row r="14" spans="2:6" ht="24" customHeight="1" x14ac:dyDescent="0.25">
      <c r="B14" s="2"/>
      <c r="C14" s="8" t="s">
        <v>39</v>
      </c>
      <c r="D14" s="26">
        <v>3996</v>
      </c>
      <c r="E14" s="102">
        <f>+D14*100/$D$18</f>
        <v>17.84247186997678</v>
      </c>
      <c r="F14" s="32" t="s">
        <v>57</v>
      </c>
    </row>
    <row r="15" spans="2:6" ht="25.5" customHeight="1" x14ac:dyDescent="0.25">
      <c r="B15" s="5" t="s">
        <v>5</v>
      </c>
      <c r="C15" s="4" t="s">
        <v>6</v>
      </c>
      <c r="D15" s="27"/>
      <c r="E15" s="102"/>
      <c r="F15" s="35"/>
    </row>
    <row r="16" spans="2:6" ht="57" customHeight="1" x14ac:dyDescent="0.25">
      <c r="B16" s="2"/>
      <c r="C16" s="15" t="s">
        <v>7</v>
      </c>
      <c r="D16" s="22">
        <v>1200</v>
      </c>
      <c r="E16" s="102">
        <f>+D16*100/$D$18</f>
        <v>5.3580996606536884</v>
      </c>
      <c r="F16" s="33" t="s">
        <v>37</v>
      </c>
    </row>
    <row r="17" spans="2:6" ht="48" customHeight="1" thickBot="1" x14ac:dyDescent="0.3">
      <c r="B17" s="2"/>
      <c r="C17" s="15" t="s">
        <v>122</v>
      </c>
      <c r="D17" s="22">
        <v>1800</v>
      </c>
      <c r="E17" s="164">
        <f>+D17*100/$D$18</f>
        <v>8.0371494909805321</v>
      </c>
      <c r="F17" s="35"/>
    </row>
    <row r="18" spans="2:6" ht="16.5" thickBot="1" x14ac:dyDescent="0.3">
      <c r="B18" s="2"/>
      <c r="C18" s="6" t="s">
        <v>8</v>
      </c>
      <c r="D18" s="28">
        <f>SUM(D10:D17)</f>
        <v>22396</v>
      </c>
      <c r="E18" s="103">
        <f>+D18*100/$D$18</f>
        <v>100</v>
      </c>
      <c r="F18" s="42"/>
    </row>
    <row r="19" spans="2:6" x14ac:dyDescent="0.25">
      <c r="B19" s="2"/>
      <c r="C19" s="8"/>
      <c r="D19" s="14"/>
      <c r="E19" s="14"/>
      <c r="F19" s="9"/>
    </row>
    <row r="20" spans="2:6" ht="21.75" customHeight="1" x14ac:dyDescent="0.25">
      <c r="B20" s="2"/>
      <c r="C20" s="8"/>
      <c r="D20" s="14"/>
      <c r="E20" s="14"/>
      <c r="F20" s="9"/>
    </row>
    <row r="21" spans="2:6" ht="35.25" customHeight="1" x14ac:dyDescent="0.25">
      <c r="B21" s="2"/>
      <c r="C21" s="10" t="s">
        <v>9</v>
      </c>
      <c r="D21" s="13"/>
      <c r="E21" s="13"/>
      <c r="F21" s="11"/>
    </row>
    <row r="22" spans="2:6" ht="26.25" customHeight="1" x14ac:dyDescent="0.25">
      <c r="B22" s="2"/>
      <c r="C22" s="10" t="s">
        <v>38</v>
      </c>
      <c r="D22" s="13"/>
      <c r="E22" s="13"/>
      <c r="F22" s="11"/>
    </row>
    <row r="23" spans="2:6" ht="54" customHeight="1" x14ac:dyDescent="0.25">
      <c r="B23" s="2"/>
      <c r="C23" s="108" t="s">
        <v>82</v>
      </c>
      <c r="D23" s="10"/>
      <c r="E23" s="10"/>
      <c r="F23" s="11"/>
    </row>
    <row r="24" spans="2:6" ht="33.75" customHeight="1" x14ac:dyDescent="0.25">
      <c r="B24" s="2"/>
      <c r="C24" s="384" t="s">
        <v>29</v>
      </c>
      <c r="D24" s="384"/>
      <c r="E24" s="384"/>
      <c r="F24" s="11"/>
    </row>
    <row r="25" spans="2:6" ht="33.75" customHeight="1" x14ac:dyDescent="0.25">
      <c r="B25" s="2"/>
      <c r="C25" s="101" t="s">
        <v>70</v>
      </c>
      <c r="D25" s="101"/>
      <c r="E25" s="101"/>
      <c r="F25" s="11"/>
    </row>
    <row r="26" spans="2:6" ht="65.25" customHeight="1" thickBot="1" x14ac:dyDescent="0.3">
      <c r="B26" s="7"/>
      <c r="C26" s="100"/>
      <c r="D26" s="100"/>
      <c r="E26" s="100"/>
      <c r="F26" s="12"/>
    </row>
    <row r="27" spans="2:6" ht="15" customHeight="1" x14ac:dyDescent="0.25"/>
    <row r="28" spans="2:6" x14ac:dyDescent="0.25">
      <c r="C28" s="60"/>
    </row>
  </sheetData>
  <mergeCells count="3">
    <mergeCell ref="C4:F4"/>
    <mergeCell ref="C5:F5"/>
    <mergeCell ref="C24:E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30"/>
  <sheetViews>
    <sheetView topLeftCell="A6" workbookViewId="0">
      <selection activeCell="F22" sqref="F22"/>
    </sheetView>
  </sheetViews>
  <sheetFormatPr baseColWidth="10" defaultRowHeight="15" x14ac:dyDescent="0.25"/>
  <cols>
    <col min="3" max="3" width="41.5703125" bestFit="1" customWidth="1"/>
    <col min="4" max="7" width="20.5703125" customWidth="1"/>
  </cols>
  <sheetData>
    <row r="1" spans="2:8" ht="26.25" x14ac:dyDescent="0.4">
      <c r="B1" s="129" t="s">
        <v>117</v>
      </c>
      <c r="C1" s="61"/>
      <c r="D1" s="61"/>
      <c r="E1" s="61"/>
      <c r="F1" s="61"/>
      <c r="G1" s="62"/>
      <c r="H1" s="62"/>
    </row>
    <row r="2" spans="2:8" ht="15.75" x14ac:dyDescent="0.25">
      <c r="B2" s="130" t="s">
        <v>116</v>
      </c>
      <c r="C2" s="62"/>
      <c r="D2" s="62"/>
      <c r="E2" s="62"/>
      <c r="F2" s="62"/>
      <c r="G2" s="62"/>
      <c r="H2" s="62"/>
    </row>
    <row r="3" spans="2:8" x14ac:dyDescent="0.25">
      <c r="B3" s="131" t="s">
        <v>105</v>
      </c>
      <c r="C3" s="62"/>
      <c r="D3" s="62"/>
      <c r="E3" s="62"/>
      <c r="F3" s="62"/>
      <c r="G3" s="62"/>
      <c r="H3" s="62"/>
    </row>
    <row r="4" spans="2:8" ht="15.75" thickBot="1" x14ac:dyDescent="0.3">
      <c r="B4" s="132"/>
      <c r="C4" s="62"/>
      <c r="D4" s="62"/>
      <c r="E4" s="62"/>
      <c r="F4" s="62"/>
      <c r="G4" s="62"/>
      <c r="H4" s="62"/>
    </row>
    <row r="5" spans="2:8" ht="24" thickBot="1" x14ac:dyDescent="0.3">
      <c r="B5" s="387" t="s">
        <v>106</v>
      </c>
      <c r="C5" s="388"/>
      <c r="D5" s="133" t="s">
        <v>48</v>
      </c>
      <c r="E5" s="133" t="s">
        <v>48</v>
      </c>
      <c r="F5" s="134" t="s">
        <v>48</v>
      </c>
      <c r="G5" s="134" t="s">
        <v>48</v>
      </c>
      <c r="H5" s="62"/>
    </row>
    <row r="6" spans="2:8" ht="23.25" x14ac:dyDescent="0.25">
      <c r="B6" s="389" t="s">
        <v>62</v>
      </c>
      <c r="C6" s="390"/>
      <c r="D6" s="135">
        <v>2021</v>
      </c>
      <c r="E6" s="135">
        <v>2022</v>
      </c>
      <c r="F6" s="136">
        <v>2023</v>
      </c>
      <c r="G6" s="136">
        <v>2024</v>
      </c>
      <c r="H6" s="62"/>
    </row>
    <row r="7" spans="2:8" ht="23.25" x14ac:dyDescent="0.25">
      <c r="B7" s="391" t="s">
        <v>45</v>
      </c>
      <c r="C7" s="392"/>
      <c r="D7" s="137" t="s">
        <v>43</v>
      </c>
      <c r="E7" s="137" t="s">
        <v>43</v>
      </c>
      <c r="F7" s="138" t="s">
        <v>43</v>
      </c>
      <c r="G7" s="138" t="s">
        <v>43</v>
      </c>
      <c r="H7" s="62"/>
    </row>
    <row r="8" spans="2:8" ht="23.25" x14ac:dyDescent="0.25">
      <c r="B8" s="393" t="s">
        <v>107</v>
      </c>
      <c r="C8" s="394"/>
      <c r="D8" s="139">
        <v>12500</v>
      </c>
      <c r="E8" s="140">
        <v>13000</v>
      </c>
      <c r="F8" s="86">
        <f>42850-17000-10400</f>
        <v>15450</v>
      </c>
      <c r="G8" s="141">
        <v>15450</v>
      </c>
      <c r="H8" s="62"/>
    </row>
    <row r="9" spans="2:8" ht="23.25" x14ac:dyDescent="0.25">
      <c r="B9" s="385" t="s">
        <v>60</v>
      </c>
      <c r="C9" s="386"/>
      <c r="D9" s="139">
        <v>15455</v>
      </c>
      <c r="E9" s="140">
        <v>16000</v>
      </c>
      <c r="F9" s="140">
        <v>16000</v>
      </c>
      <c r="G9" s="141">
        <v>17000</v>
      </c>
      <c r="H9" s="62"/>
    </row>
    <row r="10" spans="2:8" ht="23.25" x14ac:dyDescent="0.25">
      <c r="B10" s="385" t="s">
        <v>58</v>
      </c>
      <c r="C10" s="386"/>
      <c r="D10" s="142"/>
      <c r="E10" s="143"/>
      <c r="F10" s="86"/>
      <c r="G10" s="144"/>
      <c r="H10" s="62"/>
    </row>
    <row r="11" spans="2:8" ht="23.25" x14ac:dyDescent="0.25">
      <c r="B11" s="385" t="s">
        <v>108</v>
      </c>
      <c r="C11" s="386"/>
      <c r="D11" s="142"/>
      <c r="E11" s="143"/>
      <c r="F11" s="87"/>
      <c r="G11" s="144"/>
      <c r="H11" s="62"/>
    </row>
    <row r="12" spans="2:8" ht="24" thickBot="1" x14ac:dyDescent="0.3">
      <c r="B12" s="385" t="s">
        <v>109</v>
      </c>
      <c r="C12" s="386"/>
      <c r="D12" s="143">
        <v>8400</v>
      </c>
      <c r="E12" s="143">
        <v>9200</v>
      </c>
      <c r="F12" s="145">
        <v>10000</v>
      </c>
      <c r="G12" s="145">
        <v>10400</v>
      </c>
      <c r="H12" s="62"/>
    </row>
    <row r="13" spans="2:8" ht="24" thickBot="1" x14ac:dyDescent="0.4">
      <c r="B13" s="395" t="s">
        <v>68</v>
      </c>
      <c r="C13" s="396"/>
      <c r="D13" s="146">
        <f>SUM(D8:D12)</f>
        <v>36355</v>
      </c>
      <c r="E13" s="146">
        <f t="shared" ref="E13" si="0">SUM(E8:E12)</f>
        <v>38200</v>
      </c>
      <c r="F13" s="147">
        <f>SUM(F8:F12)</f>
        <v>41450</v>
      </c>
      <c r="G13" s="147">
        <f>SUM(G8:G12)</f>
        <v>42850</v>
      </c>
      <c r="H13" s="62"/>
    </row>
    <row r="14" spans="2:8" x14ac:dyDescent="0.25">
      <c r="B14" s="148"/>
      <c r="C14" s="62"/>
      <c r="D14" s="62"/>
      <c r="E14" s="62"/>
      <c r="F14" s="149"/>
      <c r="G14" s="149"/>
      <c r="H14" s="62"/>
    </row>
    <row r="15" spans="2:8" ht="15.75" thickBot="1" x14ac:dyDescent="0.3">
      <c r="B15" s="148"/>
      <c r="C15" s="62"/>
      <c r="D15" s="62"/>
      <c r="E15" s="62"/>
      <c r="F15" s="149"/>
      <c r="G15" s="149"/>
      <c r="H15" s="62"/>
    </row>
    <row r="16" spans="2:8" ht="26.25" x14ac:dyDescent="0.4">
      <c r="B16" s="397" t="s">
        <v>110</v>
      </c>
      <c r="C16" s="397"/>
      <c r="D16" s="150">
        <f t="shared" ref="D16:E16" si="1">+D13-D9</f>
        <v>20900</v>
      </c>
      <c r="E16" s="150">
        <f t="shared" si="1"/>
        <v>22200</v>
      </c>
      <c r="F16" s="151">
        <f>+F13-F9</f>
        <v>25450</v>
      </c>
      <c r="G16" s="151">
        <f>+G13-G9</f>
        <v>25850</v>
      </c>
      <c r="H16" s="62"/>
    </row>
    <row r="17" spans="2:8" ht="15.75" thickBot="1" x14ac:dyDescent="0.3">
      <c r="B17" s="62"/>
      <c r="C17" s="62"/>
      <c r="D17" s="62"/>
      <c r="E17" s="62"/>
      <c r="F17" s="62"/>
      <c r="G17" s="62"/>
      <c r="H17" s="62"/>
    </row>
    <row r="18" spans="2:8" ht="27" thickBot="1" x14ac:dyDescent="0.45">
      <c r="B18" s="152"/>
      <c r="C18" s="153" t="s">
        <v>111</v>
      </c>
      <c r="D18" s="154"/>
      <c r="E18" s="154">
        <f>+E16-D16</f>
        <v>1300</v>
      </c>
      <c r="F18" s="155">
        <f>+F16-E16</f>
        <v>3250</v>
      </c>
      <c r="G18" s="156">
        <f>+G16-F16</f>
        <v>400</v>
      </c>
      <c r="H18" s="62"/>
    </row>
    <row r="19" spans="2:8" x14ac:dyDescent="0.25">
      <c r="B19" s="62"/>
      <c r="C19" s="62"/>
      <c r="D19" s="62"/>
      <c r="E19" s="62"/>
      <c r="F19" s="62"/>
      <c r="G19" s="62"/>
      <c r="H19" s="62"/>
    </row>
    <row r="20" spans="2:8" ht="15.75" thickBot="1" x14ac:dyDescent="0.3">
      <c r="B20" s="62"/>
      <c r="C20" s="62"/>
      <c r="D20" s="62"/>
      <c r="E20" s="62"/>
      <c r="F20" s="62"/>
      <c r="G20" s="62"/>
      <c r="H20" s="62"/>
    </row>
    <row r="21" spans="2:8" ht="24" thickBot="1" x14ac:dyDescent="0.4">
      <c r="B21" s="157"/>
      <c r="C21" s="158" t="s">
        <v>112</v>
      </c>
      <c r="D21" s="160">
        <f t="shared" ref="D21:G21" si="2">+D18*1/D16</f>
        <v>0</v>
      </c>
      <c r="E21" s="159">
        <f t="shared" si="2"/>
        <v>5.8558558558558557E-2</v>
      </c>
      <c r="F21" s="159">
        <f t="shared" si="2"/>
        <v>0.12770137524557956</v>
      </c>
      <c r="G21" s="161">
        <f t="shared" si="2"/>
        <v>1.5473887814313346E-2</v>
      </c>
      <c r="H21" s="62"/>
    </row>
    <row r="22" spans="2:8" x14ac:dyDescent="0.25">
      <c r="B22" s="62"/>
      <c r="C22" s="62"/>
      <c r="D22" s="62"/>
      <c r="E22" s="62"/>
      <c r="F22" s="62"/>
      <c r="G22" s="62"/>
      <c r="H22" s="62"/>
    </row>
    <row r="23" spans="2:8" ht="18.75" customHeight="1" x14ac:dyDescent="0.25">
      <c r="B23" s="365" t="s">
        <v>113</v>
      </c>
      <c r="C23" s="365"/>
      <c r="D23" s="365"/>
      <c r="E23" s="365"/>
      <c r="F23" s="365"/>
      <c r="G23" s="365"/>
      <c r="H23" s="62"/>
    </row>
    <row r="24" spans="2:8" x14ac:dyDescent="0.25">
      <c r="B24" s="62"/>
      <c r="C24" s="62"/>
      <c r="D24" s="62"/>
      <c r="E24" s="62"/>
      <c r="F24" s="62"/>
      <c r="G24" s="62"/>
      <c r="H24" s="62"/>
    </row>
    <row r="25" spans="2:8" x14ac:dyDescent="0.25">
      <c r="B25" s="113" t="s">
        <v>114</v>
      </c>
      <c r="C25" s="115"/>
      <c r="D25" s="115"/>
      <c r="E25" s="115"/>
      <c r="F25" s="115"/>
      <c r="G25" s="162"/>
      <c r="H25" s="162"/>
    </row>
    <row r="26" spans="2:8" x14ac:dyDescent="0.25">
      <c r="B26" s="113" t="s">
        <v>115</v>
      </c>
      <c r="C26" s="115"/>
      <c r="D26" s="115"/>
      <c r="E26" s="115"/>
      <c r="F26" s="115"/>
      <c r="G26" s="162"/>
      <c r="H26" s="162"/>
    </row>
    <row r="27" spans="2:8" x14ac:dyDescent="0.25">
      <c r="B27" s="113"/>
      <c r="C27" s="115"/>
      <c r="D27" s="115"/>
      <c r="E27" s="115"/>
      <c r="F27" s="115"/>
      <c r="G27" s="162"/>
      <c r="H27" s="162"/>
    </row>
    <row r="28" spans="2:8" x14ac:dyDescent="0.25">
      <c r="B28" s="4" t="s">
        <v>71</v>
      </c>
      <c r="C28" s="115"/>
      <c r="D28" s="115"/>
      <c r="E28" s="115"/>
      <c r="F28" s="115"/>
      <c r="G28" s="162"/>
      <c r="H28" s="162"/>
    </row>
    <row r="29" spans="2:8" x14ac:dyDescent="0.25">
      <c r="B29" s="163">
        <v>45292</v>
      </c>
      <c r="C29" s="115"/>
      <c r="D29" s="115"/>
      <c r="E29" s="115"/>
      <c r="F29" s="115"/>
      <c r="G29" s="162"/>
      <c r="H29" s="162"/>
    </row>
    <row r="30" spans="2:8" x14ac:dyDescent="0.25">
      <c r="B30" s="115"/>
      <c r="C30" s="115"/>
      <c r="D30" s="115"/>
      <c r="E30" s="115"/>
      <c r="F30" s="115"/>
      <c r="G30" s="62"/>
      <c r="H30" s="62"/>
    </row>
  </sheetData>
  <mergeCells count="11">
    <mergeCell ref="B11:C11"/>
    <mergeCell ref="B12:C12"/>
    <mergeCell ref="B13:C13"/>
    <mergeCell ref="B16:C16"/>
    <mergeCell ref="B23:G23"/>
    <mergeCell ref="B10:C10"/>
    <mergeCell ref="B5:C5"/>
    <mergeCell ref="B6:C6"/>
    <mergeCell ref="B7:C7"/>
    <mergeCell ref="B8:C8"/>
    <mergeCell ref="B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ilo patio puerto</vt:lpstr>
      <vt:lpstr>MATARANI</vt:lpstr>
      <vt:lpstr>RESUMEN PERU</vt:lpstr>
      <vt:lpstr> RESUMEN CHILE</vt:lpstr>
      <vt:lpstr>Hoja2</vt:lpstr>
      <vt:lpstr>Hoja1</vt:lpstr>
      <vt:lpstr>BOMAR PORT COST 2021-2024</vt:lpstr>
      <vt:lpstr>' RESUMEN CHILE'!Área_de_impresión</vt:lpstr>
      <vt:lpstr>Hoja2!Área_de_impresión</vt:lpstr>
      <vt:lpstr>MATARANI!Área_de_impresión</vt:lpstr>
      <vt:lpstr>'RESUMEN PERU'!Área_de_impresión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Petral Operations</cp:lastModifiedBy>
  <cp:lastPrinted>2026-07-02T22:38:16Z</cp:lastPrinted>
  <dcterms:created xsi:type="dcterms:W3CDTF">2018-10-23T17:50:03Z</dcterms:created>
  <dcterms:modified xsi:type="dcterms:W3CDTF">2026-07-07T22:17:23Z</dcterms:modified>
</cp:coreProperties>
</file>
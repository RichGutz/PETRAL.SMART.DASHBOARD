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E:\TAREAS IOSEF\"/>
    </mc:Choice>
  </mc:AlternateContent>
  <xr:revisionPtr revIDLastSave="0" documentId="13_ncr:1_{B1258BEF-94E3-4247-9FD7-92BCFB452B96}" xr6:coauthVersionLast="47" xr6:coauthVersionMax="47" xr10:uidLastSave="{00000000-0000-0000-0000-000000000000}"/>
  <bookViews>
    <workbookView xWindow="28680" yWindow="-135" windowWidth="29040" windowHeight="15720" firstSheet="1" activeTab="1" xr2:uid="{00000000-000D-0000-FFFF-FFFF00000000}"/>
  </bookViews>
  <sheets>
    <sheet name="ilo patio puerto" sheetId="18" state="hidden" r:id="rId1"/>
    <sheet name="MARCONA" sheetId="9" r:id="rId2"/>
    <sheet name="RESUMEN PERU" sheetId="11" r:id="rId3"/>
    <sheet name=" RESUMEN CHILE" sheetId="13" r:id="rId4"/>
    <sheet name="Hoja2" sheetId="15" state="hidden" r:id="rId5"/>
    <sheet name="Hoja1" sheetId="17" state="hidden" r:id="rId6"/>
    <sheet name="BOMAR PORT COST 2021-2024" sheetId="14" state="hidden" r:id="rId7"/>
  </sheets>
  <definedNames>
    <definedName name="_xlnm.Print_Area" localSheetId="3">' RESUMEN CHILE'!$A$1:$H$28</definedName>
    <definedName name="_xlnm.Print_Area" localSheetId="4">Hoja2!$A$1:$G$15</definedName>
    <definedName name="_xlnm.Print_Area" localSheetId="1">MARCONA!$A$1:$N$44</definedName>
    <definedName name="_xlnm.Print_Area" localSheetId="2">'RESUMEN PERU'!$A$1:$I$31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 i="9" l="1"/>
  <c r="J36" i="9"/>
  <c r="H36" i="9"/>
  <c r="F36" i="9"/>
  <c r="L18" i="9"/>
  <c r="J18" i="9"/>
  <c r="H18" i="9"/>
  <c r="F18" i="9"/>
  <c r="F20" i="9"/>
  <c r="H20" i="9"/>
  <c r="L20" i="9"/>
  <c r="J20" i="9"/>
  <c r="H21" i="9"/>
  <c r="L19" i="9"/>
  <c r="H19" i="9"/>
  <c r="J19" i="9"/>
  <c r="F19" i="9"/>
  <c r="L28" i="9"/>
  <c r="J28" i="9"/>
  <c r="H28" i="9"/>
  <c r="F28" i="9"/>
  <c r="K23" i="9"/>
  <c r="L23" i="9" s="1"/>
  <c r="K24" i="9"/>
  <c r="L24" i="9" s="1"/>
  <c r="I24" i="9"/>
  <c r="J24" i="9" s="1"/>
  <c r="I23" i="9"/>
  <c r="J23" i="9" s="1"/>
  <c r="G24" i="9"/>
  <c r="H24" i="9" s="1"/>
  <c r="G23" i="9"/>
  <c r="H23" i="9" s="1"/>
  <c r="E24" i="9"/>
  <c r="F24" i="9" s="1"/>
  <c r="E23" i="9"/>
  <c r="F23" i="9" s="1"/>
  <c r="L27" i="9"/>
  <c r="J27" i="9"/>
  <c r="H27" i="9"/>
  <c r="F27" i="9"/>
  <c r="L26" i="9"/>
  <c r="J26" i="9"/>
  <c r="H26" i="9"/>
  <c r="F26" i="9"/>
  <c r="L21" i="9"/>
  <c r="J21" i="9"/>
  <c r="F21" i="9"/>
  <c r="L25" i="9"/>
  <c r="J25" i="9"/>
  <c r="H25" i="9"/>
  <c r="F25" i="9"/>
  <c r="L32" i="9"/>
  <c r="J32" i="9"/>
  <c r="H32" i="9"/>
  <c r="F32" i="9"/>
  <c r="F33" i="9"/>
  <c r="H33" i="9"/>
  <c r="J33" i="9"/>
  <c r="L33" i="9"/>
  <c r="L34" i="9"/>
  <c r="J34" i="9"/>
  <c r="H34" i="9"/>
  <c r="F34" i="9"/>
  <c r="L11" i="9" l="1"/>
  <c r="K29" i="9" s="1"/>
  <c r="L29" i="9" s="1"/>
  <c r="J11" i="9"/>
  <c r="I29" i="9" s="1"/>
  <c r="J29" i="9" s="1"/>
  <c r="H11" i="9"/>
  <c r="G29" i="9" s="1"/>
  <c r="H29" i="9" s="1"/>
  <c r="F11" i="9"/>
  <c r="E29" i="9" s="1"/>
  <c r="F29" i="9" s="1"/>
  <c r="B26" i="13" l="1"/>
  <c r="E9" i="11"/>
  <c r="E10" i="11"/>
  <c r="E7" i="11"/>
  <c r="D24" i="18"/>
  <c r="D27" i="18" s="1"/>
  <c r="E11" i="11"/>
  <c r="E8" i="11"/>
  <c r="D7" i="11"/>
  <c r="E13" i="11" l="1"/>
  <c r="E16" i="11" s="1"/>
  <c r="B30" i="11"/>
  <c r="E24" i="18" l="1"/>
  <c r="E20" i="18"/>
  <c r="E17" i="18"/>
  <c r="E15" i="18"/>
  <c r="E23" i="18"/>
  <c r="E18" i="18"/>
  <c r="E16" i="18"/>
  <c r="E14" i="18"/>
  <c r="E12" i="18"/>
  <c r="E10" i="18"/>
  <c r="E22" i="18"/>
  <c r="E21" i="18"/>
  <c r="E19" i="18"/>
  <c r="E13" i="18"/>
  <c r="E11" i="18"/>
  <c r="G10" i="11"/>
  <c r="D11" i="13"/>
  <c r="D10" i="13"/>
  <c r="D18" i="17" l="1"/>
  <c r="E17" i="17" s="1"/>
  <c r="F12" i="13"/>
  <c r="F10" i="13"/>
  <c r="B25" i="13"/>
  <c r="D13" i="14"/>
  <c r="F9" i="13" l="1"/>
  <c r="F13" i="13" s="1"/>
  <c r="F16" i="13" s="1"/>
  <c r="E18" i="17"/>
  <c r="E13" i="17"/>
  <c r="E14" i="17"/>
  <c r="E16" i="17"/>
  <c r="E10" i="17"/>
  <c r="F8" i="14"/>
  <c r="F13" i="14" s="1"/>
  <c r="F16" i="14" s="1"/>
  <c r="G13" i="14"/>
  <c r="G16" i="14" s="1"/>
  <c r="E13" i="14"/>
  <c r="E16" i="14" s="1"/>
  <c r="D16" i="14"/>
  <c r="E18" i="14" l="1"/>
  <c r="E21" i="14" s="1"/>
  <c r="G18" i="14"/>
  <c r="G21" i="14" s="1"/>
  <c r="F18" i="14"/>
  <c r="F21" i="14" s="1"/>
  <c r="D21" i="14"/>
  <c r="D9" i="13" l="1"/>
  <c r="F6" i="15" l="1"/>
  <c r="F7" i="15"/>
  <c r="F8" i="15"/>
  <c r="F9" i="15"/>
  <c r="F5" i="15"/>
  <c r="R3" i="15" l="1"/>
  <c r="M3" i="15" l="1"/>
  <c r="F10" i="15"/>
  <c r="E10" i="15"/>
  <c r="D10" i="15"/>
  <c r="G11" i="13" l="1"/>
  <c r="G7" i="11" l="1"/>
  <c r="G12" i="13" l="1"/>
  <c r="E12" i="13"/>
  <c r="D12" i="13"/>
  <c r="G10" i="13"/>
  <c r="E10" i="13"/>
  <c r="D13" i="13" l="1"/>
  <c r="D16" i="13" s="1"/>
  <c r="H7" i="11" l="1"/>
  <c r="H9" i="11"/>
  <c r="H11" i="11"/>
  <c r="F7" i="11"/>
  <c r="F11" i="11"/>
  <c r="F10" i="11"/>
  <c r="D9" i="11"/>
  <c r="D10" i="11"/>
  <c r="D11" i="11"/>
  <c r="E9" i="13" l="1"/>
  <c r="E13" i="13" s="1"/>
  <c r="E16" i="13" s="1"/>
  <c r="H13" i="11"/>
  <c r="G9" i="13" l="1"/>
  <c r="H16" i="11"/>
  <c r="F13" i="11"/>
  <c r="F16" i="11" s="1"/>
  <c r="G13" i="13" l="1"/>
  <c r="G16" i="13" s="1"/>
  <c r="D13" i="11"/>
  <c r="D16" i="11" s="1"/>
  <c r="G13" i="11" l="1"/>
  <c r="G16" i="11" s="1"/>
</calcChain>
</file>

<file path=xl/sharedStrings.xml><?xml version="1.0" encoding="utf-8"?>
<sst xmlns="http://schemas.openxmlformats.org/spreadsheetml/2006/main" count="266" uniqueCount="180">
  <si>
    <t>US$</t>
  </si>
  <si>
    <t>A)</t>
  </si>
  <si>
    <t>Shifting Expenses</t>
  </si>
  <si>
    <t>B)</t>
  </si>
  <si>
    <t>General Port Expenses</t>
  </si>
  <si>
    <t>C)</t>
  </si>
  <si>
    <t>Agency Expenses</t>
  </si>
  <si>
    <t>Agency Fee</t>
  </si>
  <si>
    <t>T O T A L</t>
  </si>
  <si>
    <t>OBSERVACIONES :</t>
  </si>
  <si>
    <t>OBSERVACIONES</t>
  </si>
  <si>
    <t>Tarifa fija según Sanidad maritima.</t>
  </si>
  <si>
    <t>Launch Hire.</t>
  </si>
  <si>
    <t>COMPARATIVO DE COSTOS B/T MOQUEGUA</t>
  </si>
  <si>
    <t>%</t>
  </si>
  <si>
    <t>ILO</t>
  </si>
  <si>
    <t>Tarifa Direccion de Hidrografia y navegacion</t>
  </si>
  <si>
    <t>Tarifa APN.</t>
  </si>
  <si>
    <t>Practicaje</t>
  </si>
  <si>
    <t>Dockage /Muellaje</t>
  </si>
  <si>
    <t>Transtotal. Tarifa Fija por Nave.</t>
  </si>
  <si>
    <t xml:space="preserve">Region Moquegua. Tarifa </t>
  </si>
  <si>
    <t>Tarifa fija. Transtotal por Agenciamiento de Nave.</t>
  </si>
  <si>
    <t>Tarifa fija. Transtotal por Nave.</t>
  </si>
  <si>
    <t>Tarifa Port Opeartions $ 1,500 por maniobra.</t>
  </si>
  <si>
    <t>SPCC, Tarifa deAmarre y desamarre $ 300.00 , y  Muelle SPCC $ 0.05 x Trb x dia.</t>
  </si>
  <si>
    <t>*NO INCLUYE IGV.</t>
  </si>
  <si>
    <t>Towage.</t>
  </si>
  <si>
    <t>Ligth  Dues.</t>
  </si>
  <si>
    <t>* ADELANTOS  POR  CADA VIAJES MENSUALES  $ 18,000.00 para B&amp;M.</t>
  </si>
  <si>
    <t>BARQUITO</t>
  </si>
  <si>
    <t>MATARANI</t>
  </si>
  <si>
    <t>Recargos</t>
  </si>
  <si>
    <t xml:space="preserve">Tarifa fija Transtotal por Agenciamiento de Nave.         </t>
  </si>
  <si>
    <t xml:space="preserve">*INCLUYE MUELLAJE. </t>
  </si>
  <si>
    <t xml:space="preserve">Tarifa fija.B&amp;M por Agenciamiento de Nave.                </t>
  </si>
  <si>
    <t xml:space="preserve">*NO INCLUYE MUELLAJE </t>
  </si>
  <si>
    <t>Loading Master</t>
  </si>
  <si>
    <t>CALLAO</t>
  </si>
  <si>
    <t>MARCONA</t>
  </si>
  <si>
    <t>Tarifa PSA MARINE ($4,980*Mnver + 18%vat) por maniobra.</t>
  </si>
  <si>
    <t>Towage /Remolcaje</t>
  </si>
  <si>
    <t>Launch  for Authorities</t>
  </si>
  <si>
    <t xml:space="preserve">*NO INCLUYE MUELLAJE. </t>
  </si>
  <si>
    <t>USD</t>
  </si>
  <si>
    <t>TOTAL  USD</t>
  </si>
  <si>
    <t>*</t>
  </si>
  <si>
    <t>Port Operation &amp; Services- Practicaje</t>
  </si>
  <si>
    <t>Remolcaje PSA Marine</t>
  </si>
  <si>
    <t>MEJILLONES</t>
  </si>
  <si>
    <t>Tarifa PSA MARINE ( $18,000*Mnver + 18%vat) por maniobra 2.</t>
  </si>
  <si>
    <t>* NO APLICA RECARGOS.</t>
  </si>
  <si>
    <t xml:space="preserve">Sanitary Inspection (Reception/Dispatch) </t>
  </si>
  <si>
    <t>Clearance Expenses (In/Out)</t>
  </si>
  <si>
    <t>Las tarifas resaltadas corresponden a servicios licitados por Marcobre, para el cual la empresa ganadora fue PSA Marine; dichas tarifas se encuentran confirmadas.
Servicio de Remolcaje Stand By  a partir de 60 horas aplica  USD  3,000.00 diario por cada remolcador por dia y fraccion.
Aún no se ha confirmado por el lado del terminal si estarán considerando una tarifa por el Uso de Amarradero o si se requerirá de una Lancha de Permanencia para los operativos, lo cual incrementaría los costos de la proforma en caso se confirmen.
Se está considerando que la nave procede de un Puerto Nacional y será despachada a un Puerto Nacional.</t>
  </si>
  <si>
    <t>$40X HORA aproximado de  40 horas (Tarifa PSA Marine SA)</t>
  </si>
  <si>
    <t>Transportation</t>
  </si>
  <si>
    <t>Clearance (In/Out)</t>
  </si>
  <si>
    <t xml:space="preserve">Coordinator on board     </t>
  </si>
  <si>
    <t>$ 3,000.00  * a partir de 60 horas.</t>
  </si>
  <si>
    <t xml:space="preserve">Lighthouse Dues                 </t>
  </si>
  <si>
    <t xml:space="preserve">Tarifa fija Transtotal </t>
  </si>
  <si>
    <t>Southern /TISUR/APM</t>
  </si>
  <si>
    <t>MEJILLONES INTERACID</t>
  </si>
  <si>
    <t>Tarifa fija según Puerto Mejillones.por nominacion usd 2401.90</t>
  </si>
  <si>
    <t>B&amp;M /Remolcaje Stand by ULTRATUG</t>
  </si>
  <si>
    <t>B&amp;M/Remolcaje ULTRATUG</t>
  </si>
  <si>
    <t xml:space="preserve">B&amp;M / Dockage-Muellaje </t>
  </si>
  <si>
    <t>B&amp;M Agencia Maritima/Puerto Mejillones /Autoridad Maritima</t>
  </si>
  <si>
    <t>B&amp;M AGENTES MARITIMOS</t>
  </si>
  <si>
    <t>PUERTOS DE DESTINO</t>
  </si>
  <si>
    <t>*TOTAL  USD  SIN MUELLAJE</t>
  </si>
  <si>
    <t>TRANSTOTAL AGENCIA MARITIMA</t>
  </si>
  <si>
    <t>Transtotal Agencia Maritima.</t>
  </si>
  <si>
    <t>Petranso-Petrolera Transoceanica</t>
  </si>
  <si>
    <t>*TOTAL  USD</t>
  </si>
  <si>
    <r>
      <t xml:space="preserve">SIN IGV </t>
    </r>
    <r>
      <rPr>
        <b/>
        <i/>
        <sz val="12"/>
        <color rgb="FFC00000"/>
        <rFont val="Calibri"/>
        <family val="2"/>
        <scheme val="minor"/>
      </rPr>
      <t>*</t>
    </r>
  </si>
  <si>
    <t xml:space="preserve">*CARGA DE 13,500 TM -SUA </t>
  </si>
  <si>
    <t xml:space="preserve">H/P Naviera Petral </t>
  </si>
  <si>
    <t>* Incluye cargo de remolcadores  correspondiente a regulacion local con tarifa correspondiente  según acuerdo con remolcador Ultratug.</t>
  </si>
  <si>
    <t>* No incluye IGV.</t>
  </si>
  <si>
    <t>* No incluye Muellaje</t>
  </si>
  <si>
    <t>* No incluye recargos.</t>
  </si>
  <si>
    <t>* Informacion preparada en base a  proformas de Agente Maritimo B&amp;M.</t>
  </si>
  <si>
    <t xml:space="preserve">  para Barquito un aproximado de 40 horas de estadia.</t>
  </si>
  <si>
    <t xml:space="preserve">TRANSTOTAL </t>
  </si>
  <si>
    <t xml:space="preserve">B&amp;M </t>
  </si>
  <si>
    <t>TRANSTOTAL</t>
  </si>
  <si>
    <t>* Costo PSA Marine en Puerto Marcona  ( sin incluir recargos )</t>
  </si>
  <si>
    <t xml:space="preserve">*LIGHT DUES CHILE = USD 3.74 /GRT POR AÑO : USD 30,888.66
</t>
  </si>
  <si>
    <t>TOTAL  USD  SIN MUELLAJE-REMOLCAJE STAND BY BARQUITO</t>
  </si>
  <si>
    <r>
      <t xml:space="preserve">A. Detalle de servicios. </t>
    </r>
    <r>
      <rPr>
        <b/>
        <i/>
        <sz val="11"/>
        <color theme="1"/>
        <rFont val="Calibri"/>
        <family val="2"/>
        <scheme val="minor"/>
      </rPr>
      <t>USD 1,800</t>
    </r>
  </si>
  <si>
    <t>2 lanchas para Amarra</t>
  </si>
  <si>
    <t>1 lancha para desamarra</t>
  </si>
  <si>
    <t>1 recepción</t>
  </si>
  <si>
    <t xml:space="preserve">1 despacho </t>
  </si>
  <si>
    <t xml:space="preserve">B. Servicios adicionales </t>
  </si>
  <si>
    <t xml:space="preserve">Adicional horario normal (hábil) </t>
  </si>
  <si>
    <t>Fondeo                : USD 340 X HR</t>
  </si>
  <si>
    <t>Viajes                   : USD 150 X HR</t>
  </si>
  <si>
    <t>Adicional horario nocturno y festivos</t>
  </si>
  <si>
    <t>Fondeo                : USD 510 X HR</t>
  </si>
  <si>
    <t>Viajes                   : USD 225 X HR.</t>
  </si>
  <si>
    <t xml:space="preserve"> Serv.Transporte Maritimo Atlantic Service.</t>
  </si>
  <si>
    <t>2017-2023</t>
  </si>
  <si>
    <t>Servicio de lanchas marre, desamarre, recepcion , despacho</t>
  </si>
  <si>
    <t>Recargos adicionales  fondeo / feriados y horas nocturnas/ por hora</t>
  </si>
  <si>
    <t>Recargos adicionales por  viajes / feriados y horas nocturnas/ por hora</t>
  </si>
  <si>
    <t>Recargos adicionales  viajes /horario normal / por hora</t>
  </si>
  <si>
    <t>Recargos adicionales  fondeo/horario normal / por hora</t>
  </si>
  <si>
    <t>INCREMENTO</t>
  </si>
  <si>
    <t>Enero 2024.</t>
  </si>
  <si>
    <t>Mtons 13,500.00</t>
  </si>
  <si>
    <t>PUERTO DE DESTINO</t>
  </si>
  <si>
    <t>B&amp;M Agencia Maritima/Puerto Mejillones /Autoridad Maritima/Lanchas/Faros y Balizas/Pilot/Loading Master/Salud.</t>
  </si>
  <si>
    <t xml:space="preserve">B&amp;M /Lancha Stand by </t>
  </si>
  <si>
    <t>B&amp;M/Remolcaje ULTRATUG *</t>
  </si>
  <si>
    <t>TOTAL  USD  SIN MUELLAJE</t>
  </si>
  <si>
    <t>DIFERENCIAL POR AÑO USD</t>
  </si>
  <si>
    <t>DIFERENCIAL POR AÑO  %</t>
  </si>
  <si>
    <t>Nota: El incremento de tarifa en los costos  se origina principalmente  por  el incremento de tarifa de Remolcaje con Ultratug.</t>
  </si>
  <si>
    <t>*Incluye cargo de remolcadores  correspondiente a regulacion local, con tarifa correspondiente  acuerdo con Ultratug vigente desde el mes de Agosto 2023 hasta Agosto 2024.</t>
  </si>
  <si>
    <t>** De acuerdo a proformas de Agentes Maritimos B&amp;M .</t>
  </si>
  <si>
    <t>BOMAR LYNX</t>
  </si>
  <si>
    <t>COSTOS PORTUARIOS  2021-2024</t>
  </si>
  <si>
    <t>H/P Naviera Petral / Sandra Galvez</t>
  </si>
  <si>
    <t>TERQUIM</t>
  </si>
  <si>
    <t>USD 3.74 /GRT por año./3 viajes.</t>
  </si>
  <si>
    <t>Tarifa Fija. 2024  $ 5,200  por maniobra mooring/unmooring- Remolcadores Ultratug Ltd.</t>
  </si>
  <si>
    <t>Hose conection</t>
  </si>
  <si>
    <t>COSTOS PORTUARIOS   BT MOQUEGUA 2026 SIN IGV.</t>
  </si>
  <si>
    <t>COSTOS PORTUARIOS   BT MOQUEGUA 2026</t>
  </si>
  <si>
    <t>* Informacion preparada en base a  proformas y tarifas por Agente Maritimo Transtotal , Psa Marine,Petranso, TISUR,APM,Port Operation aplicables a partir de Febrero 2026.</t>
  </si>
  <si>
    <t>ILO-PATIO PUERTO</t>
  </si>
  <si>
    <t>SIN IGV *</t>
  </si>
  <si>
    <t>ILO PATIO PUERTO</t>
  </si>
  <si>
    <t>Transtotal.Fija.Mooring /unmooring ,pilot,posicionamiento por maniobra/por lancha.</t>
  </si>
  <si>
    <t>*NO INCLUYE  RECARGOS PSA MARINE/PETRANSO</t>
  </si>
  <si>
    <t>Time in port (hrs) 30 -Carga de 13,500.00TN SUA.</t>
  </si>
  <si>
    <t>Tarifa-PSA Marine  $ 0.16 x  Trb.8259</t>
  </si>
  <si>
    <t>Petranso Remolcadores   Tarifa $ 0.1785 x Trb 8259 sujeta a 10% descuentos, posicionamiento $ 1400</t>
  </si>
  <si>
    <t>Eslora        :          134.16 mtrs.</t>
  </si>
  <si>
    <t>GRT           :          8,259.00 mtons.</t>
  </si>
  <si>
    <t>ITEMS</t>
  </si>
  <si>
    <t>TARIFA</t>
  </si>
  <si>
    <t>CANTIDAD</t>
  </si>
  <si>
    <t>t/c</t>
  </si>
  <si>
    <t>horas</t>
  </si>
  <si>
    <t>carga</t>
  </si>
  <si>
    <t>rtimo</t>
  </si>
  <si>
    <t>Peru</t>
  </si>
  <si>
    <t>Moquegua</t>
  </si>
  <si>
    <t>Tablones</t>
  </si>
  <si>
    <t>Comunication</t>
  </si>
  <si>
    <t>Transportation (Autoridades,coordinador y 
personal operativo)</t>
  </si>
  <si>
    <t>Huemul</t>
  </si>
  <si>
    <t>Concon Trader</t>
  </si>
  <si>
    <t>$ 225 per day +18%</t>
  </si>
  <si>
    <t>$ 200 * maneuver +18%</t>
  </si>
  <si>
    <t>Port toll /Land transport /terminal fee</t>
  </si>
  <si>
    <t>Tarifa PSA MARINE ($4,450*Launchboat + 18%vat) .(incluye 2 lanchas  y gavieras )</t>
  </si>
  <si>
    <t>Launch Hire (Stand By)</t>
  </si>
  <si>
    <t>DW            :                                 14,298.00 mtons.</t>
  </si>
  <si>
    <t>PAIS ORIGEN:</t>
  </si>
  <si>
    <t xml:space="preserve">Lighthouse Dues (Aplica si el buque viene de PUERTO NACIONAL)        </t>
  </si>
  <si>
    <t xml:space="preserve">Lighthouse Dues (Aplica si el buque viene de  PUERTO EXTRANJERO)                </t>
  </si>
  <si>
    <t xml:space="preserve">GRT           :     </t>
  </si>
  <si>
    <t xml:space="preserve">Eslora        :    </t>
  </si>
  <si>
    <t xml:space="preserve">DW            :        </t>
  </si>
  <si>
    <t>Eslora        :          </t>
  </si>
  <si>
    <t>DW            :     </t>
  </si>
  <si>
    <t>GRT           :       </t>
  </si>
  <si>
    <t>Eslora        :         </t>
  </si>
  <si>
    <t xml:space="preserve">DW            :       </t>
  </si>
  <si>
    <t>GRT     </t>
  </si>
  <si>
    <t>Tarifa Direccion de Hidrografia y navegacion.</t>
  </si>
  <si>
    <t>Linesmen /amarre y desamarre( Por maniobra)</t>
  </si>
  <si>
    <t>Towage /Remolcaje ( Por maniobra)</t>
  </si>
  <si>
    <t>Remolcaje Stand by.( Por maniobra)</t>
  </si>
  <si>
    <t>Practicaje + Launch for pílot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</si>
</sst>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409]#,##0.00"/>
    <numFmt numFmtId="166" formatCode="[$$-540A]#,##0.00"/>
  </numFmts>
  <fonts count="74" x14ac:knownFonts="1">
    <font>
      <sz val="11"/>
      <color theme="1"/>
      <name val="Calibri"/>
      <family val="2"/>
      <scheme val="minor"/>
    </font>
    <font>
      <b/>
      <i/>
      <sz val="10"/>
      <name val="Arial"/>
      <family val="2"/>
    </font>
    <font>
      <b/>
      <i/>
      <sz val="12"/>
      <name val="Arial"/>
      <family val="2"/>
    </font>
    <font>
      <b/>
      <i/>
      <u/>
      <sz val="10"/>
      <name val="Arial"/>
      <family val="2"/>
    </font>
    <font>
      <sz val="10"/>
      <name val="Arial"/>
      <family val="2"/>
    </font>
    <font>
      <b/>
      <i/>
      <u/>
      <sz val="14"/>
      <name val="Arial"/>
      <family val="2"/>
    </font>
    <font>
      <b/>
      <i/>
      <u/>
      <sz val="12"/>
      <name val="Arial"/>
      <family val="2"/>
    </font>
    <font>
      <b/>
      <i/>
      <sz val="10"/>
      <color rgb="FFC00000"/>
      <name val="Arial"/>
      <family val="2"/>
    </font>
    <font>
      <b/>
      <sz val="10"/>
      <name val="Arial"/>
      <family val="2"/>
    </font>
    <font>
      <sz val="11"/>
      <color theme="1"/>
      <name val="Arial"/>
      <family val="2"/>
    </font>
    <font>
      <sz val="10"/>
      <color theme="1"/>
      <name val="Arial"/>
      <family val="2"/>
    </font>
    <font>
      <b/>
      <i/>
      <sz val="10"/>
      <color rgb="FFFF0000"/>
      <name val="Arial"/>
      <family val="2"/>
    </font>
    <font>
      <b/>
      <sz val="10"/>
      <color theme="1"/>
      <name val="Arial"/>
      <family val="2"/>
    </font>
    <font>
      <sz val="11"/>
      <color rgb="FF1F497D"/>
      <name val="Calibri"/>
      <family val="2"/>
    </font>
    <font>
      <sz val="11"/>
      <color theme="1"/>
      <name val="Calibri"/>
      <family val="2"/>
      <scheme val="minor"/>
    </font>
    <font>
      <b/>
      <sz val="16"/>
      <color theme="1"/>
      <name val="Calibri"/>
      <family val="2"/>
      <scheme val="minor"/>
    </font>
    <font>
      <b/>
      <i/>
      <sz val="16"/>
      <color theme="1"/>
      <name val="Calibri"/>
      <family val="2"/>
      <scheme val="minor"/>
    </font>
    <font>
      <b/>
      <i/>
      <sz val="18"/>
      <color theme="1"/>
      <name val="Calibri"/>
      <family val="2"/>
      <scheme val="minor"/>
    </font>
    <font>
      <b/>
      <i/>
      <sz val="18"/>
      <color rgb="FFC00000"/>
      <name val="Calibri"/>
      <family val="2"/>
      <scheme val="minor"/>
    </font>
    <font>
      <b/>
      <i/>
      <sz val="18"/>
      <name val="Calibri"/>
      <family val="2"/>
      <scheme val="minor"/>
    </font>
    <font>
      <b/>
      <i/>
      <u/>
      <sz val="20"/>
      <color theme="1"/>
      <name val="Calibri"/>
      <family val="2"/>
      <scheme val="minor"/>
    </font>
    <font>
      <sz val="11"/>
      <name val="Arial"/>
      <family val="2"/>
    </font>
    <font>
      <b/>
      <i/>
      <sz val="10"/>
      <color theme="8" tint="-0.499984740745262"/>
      <name val="Arial"/>
      <family val="2"/>
    </font>
    <font>
      <b/>
      <sz val="10"/>
      <color theme="8" tint="-0.499984740745262"/>
      <name val="Arial"/>
      <family val="2"/>
    </font>
    <font>
      <b/>
      <i/>
      <sz val="18"/>
      <color theme="1" tint="0.249977111117893"/>
      <name val="Calibri"/>
      <family val="2"/>
      <scheme val="minor"/>
    </font>
    <font>
      <sz val="18"/>
      <color theme="1"/>
      <name val="Calibri"/>
      <family val="2"/>
      <scheme val="minor"/>
    </font>
    <font>
      <b/>
      <i/>
      <sz val="14"/>
      <color theme="1"/>
      <name val="Arial"/>
      <family val="2"/>
    </font>
    <font>
      <b/>
      <i/>
      <sz val="14"/>
      <name val="Arial"/>
      <family val="2"/>
    </font>
    <font>
      <i/>
      <sz val="11"/>
      <color theme="1"/>
      <name val="Calibri"/>
      <family val="2"/>
      <scheme val="minor"/>
    </font>
    <font>
      <b/>
      <i/>
      <sz val="20"/>
      <name val="Calibri"/>
      <family val="2"/>
      <scheme val="minor"/>
    </font>
    <font>
      <b/>
      <i/>
      <sz val="20"/>
      <color theme="1"/>
      <name val="Calibri"/>
      <family val="2"/>
      <scheme val="minor"/>
    </font>
    <font>
      <sz val="20"/>
      <color theme="1"/>
      <name val="Calibri"/>
      <family val="2"/>
      <scheme val="minor"/>
    </font>
    <font>
      <b/>
      <i/>
      <sz val="11"/>
      <color theme="1"/>
      <name val="Calibri"/>
      <family val="2"/>
      <scheme val="minor"/>
    </font>
    <font>
      <b/>
      <i/>
      <sz val="12"/>
      <color theme="1"/>
      <name val="Calibri"/>
      <family val="2"/>
      <scheme val="minor"/>
    </font>
    <font>
      <b/>
      <i/>
      <sz val="12"/>
      <color rgb="FFC00000"/>
      <name val="Calibri"/>
      <family val="2"/>
      <scheme val="minor"/>
    </font>
    <font>
      <b/>
      <sz val="10"/>
      <color theme="4" tint="-0.499984740745262"/>
      <name val="Arial"/>
      <family val="2"/>
    </font>
    <font>
      <sz val="11"/>
      <color rgb="FFC00000"/>
      <name val="Calibri"/>
      <family val="2"/>
      <scheme val="minor"/>
    </font>
    <font>
      <sz val="12"/>
      <name val="Calibri"/>
      <family val="2"/>
      <scheme val="minor"/>
    </font>
    <font>
      <b/>
      <i/>
      <sz val="11"/>
      <name val="Arial"/>
      <family val="2"/>
    </font>
    <font>
      <sz val="11"/>
      <name val="Calibri"/>
      <family val="2"/>
      <scheme val="minor"/>
    </font>
    <font>
      <b/>
      <i/>
      <sz val="18"/>
      <color rgb="FF002060"/>
      <name val="Calibri"/>
      <family val="2"/>
      <scheme val="minor"/>
    </font>
    <font>
      <b/>
      <i/>
      <sz val="10"/>
      <color theme="1"/>
      <name val="Arial"/>
      <family val="2"/>
    </font>
    <font>
      <b/>
      <i/>
      <sz val="16"/>
      <name val="Calibri"/>
      <family val="2"/>
      <scheme val="minor"/>
    </font>
    <font>
      <b/>
      <i/>
      <sz val="26"/>
      <color theme="4" tint="-0.499984740745262"/>
      <name val="Calibri"/>
      <family val="2"/>
      <scheme val="minor"/>
    </font>
    <font>
      <b/>
      <i/>
      <sz val="26"/>
      <color theme="1"/>
      <name val="Calibri"/>
      <family val="2"/>
      <scheme val="minor"/>
    </font>
    <font>
      <b/>
      <u/>
      <sz val="20"/>
      <color theme="1"/>
      <name val="Arial"/>
      <family val="2"/>
    </font>
    <font>
      <b/>
      <sz val="12"/>
      <color rgb="FF201F1E"/>
      <name val="Arial"/>
      <family val="2"/>
    </font>
    <font>
      <b/>
      <sz val="11"/>
      <color theme="1"/>
      <name val="Arial"/>
      <family val="2"/>
    </font>
    <font>
      <b/>
      <sz val="18"/>
      <color theme="1"/>
      <name val="Calibri"/>
      <family val="2"/>
      <scheme val="minor"/>
    </font>
    <font>
      <b/>
      <sz val="18"/>
      <color rgb="FF002060"/>
      <name val="Calibri"/>
      <family val="2"/>
      <scheme val="minor"/>
    </font>
    <font>
      <b/>
      <sz val="18"/>
      <name val="Calibri"/>
      <family val="2"/>
      <scheme val="minor"/>
    </font>
    <font>
      <b/>
      <sz val="14"/>
      <color theme="1"/>
      <name val="Arial"/>
      <family val="2"/>
    </font>
    <font>
      <b/>
      <sz val="20"/>
      <name val="Calibri"/>
      <family val="2"/>
      <scheme val="minor"/>
    </font>
    <font>
      <b/>
      <sz val="20"/>
      <color theme="1"/>
      <name val="Calibri"/>
      <family val="2"/>
      <scheme val="minor"/>
    </font>
    <font>
      <b/>
      <sz val="14"/>
      <color theme="4" tint="-0.499984740745262"/>
      <name val="Calibri"/>
      <family val="2"/>
      <scheme val="minor"/>
    </font>
    <font>
      <b/>
      <sz val="18"/>
      <color theme="4" tint="-0.499984740745262"/>
      <name val="Calibri"/>
      <family val="2"/>
      <scheme val="minor"/>
    </font>
    <font>
      <b/>
      <sz val="20"/>
      <color theme="4" tint="-0.499984740745262"/>
      <name val="Calibri"/>
      <family val="2"/>
      <scheme val="minor"/>
    </font>
    <font>
      <b/>
      <sz val="18"/>
      <color theme="4" tint="-0.499984740745262"/>
      <name val="Arial"/>
      <family val="2"/>
    </font>
    <font>
      <sz val="11"/>
      <color rgb="FF002060"/>
      <name val="Calibri"/>
      <family val="2"/>
      <scheme val="minor"/>
    </font>
    <font>
      <b/>
      <i/>
      <sz val="10"/>
      <color theme="5" tint="-0.499984740745262"/>
      <name val="Arial"/>
      <family val="2"/>
    </font>
    <font>
      <i/>
      <sz val="10"/>
      <name val="Arial"/>
      <family val="2"/>
    </font>
    <font>
      <i/>
      <sz val="11"/>
      <color theme="1"/>
      <name val="Arial"/>
      <family val="2"/>
    </font>
    <font>
      <i/>
      <sz val="11"/>
      <name val="Arial"/>
      <family val="2"/>
    </font>
    <font>
      <b/>
      <i/>
      <sz val="11"/>
      <name val="Times New Roman"/>
      <family val="1"/>
    </font>
    <font>
      <i/>
      <sz val="11"/>
      <name val="Times New Roman"/>
      <family val="1"/>
    </font>
    <font>
      <b/>
      <i/>
      <u/>
      <sz val="11"/>
      <name val="Arial"/>
      <family val="2"/>
    </font>
    <font>
      <i/>
      <sz val="12"/>
      <name val="Times New Roman"/>
      <family val="1"/>
    </font>
    <font>
      <i/>
      <sz val="12"/>
      <color theme="1"/>
      <name val="Times New Roman"/>
      <family val="1"/>
    </font>
    <font>
      <sz val="12"/>
      <color theme="1"/>
      <name val="Times New Roman"/>
      <family val="1"/>
    </font>
    <font>
      <b/>
      <i/>
      <sz val="12"/>
      <color rgb="FFFF0000"/>
      <name val="Times New Roman"/>
      <family val="1"/>
    </font>
    <font>
      <i/>
      <sz val="12"/>
      <color rgb="FFFF0000"/>
      <name val="Times New Roman"/>
      <family val="1"/>
    </font>
    <font>
      <b/>
      <i/>
      <sz val="11"/>
      <color theme="8" tint="-0.499984740745262"/>
      <name val="Arial"/>
      <family val="2"/>
    </font>
    <font>
      <b/>
      <sz val="11"/>
      <color theme="8" tint="-0.499984740745262"/>
      <name val="Arial"/>
      <family val="2"/>
    </font>
    <font>
      <i/>
      <sz val="11"/>
      <color rgb="FFC00000"/>
      <name val="Arial"/>
      <family val="2"/>
    </font>
  </fonts>
  <fills count="11">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46">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s>
  <cellStyleXfs count="6">
    <xf numFmtId="0" fontId="0" fillId="0" borderId="0"/>
    <xf numFmtId="0" fontId="4" fillId="0" borderId="0"/>
    <xf numFmtId="0" fontId="4" fillId="0" borderId="0"/>
    <xf numFmtId="164" fontId="14" fillId="0" borderId="0" applyFont="0" applyFill="0" applyBorder="0" applyAlignment="0" applyProtection="0"/>
    <xf numFmtId="9" fontId="14" fillId="0" borderId="0" applyFont="0" applyFill="0" applyBorder="0" applyAlignment="0" applyProtection="0"/>
    <xf numFmtId="0" fontId="4" fillId="0" borderId="0"/>
  </cellStyleXfs>
  <cellXfs count="405">
    <xf numFmtId="0" fontId="0" fillId="0" borderId="0" xfId="0"/>
    <xf numFmtId="0" fontId="0" fillId="0" borderId="2" xfId="0" applyBorder="1"/>
    <xf numFmtId="0" fontId="0" fillId="0" borderId="5" xfId="0" applyBorder="1"/>
    <xf numFmtId="0" fontId="2" fillId="0" borderId="0" xfId="0" applyFont="1" applyAlignment="1">
      <alignment horizontal="center"/>
    </xf>
    <xf numFmtId="0" fontId="1" fillId="0" borderId="0" xfId="0" applyFont="1"/>
    <xf numFmtId="0" fontId="1" fillId="0" borderId="5" xfId="0" applyFont="1" applyBorder="1"/>
    <xf numFmtId="0" fontId="2" fillId="0" borderId="8" xfId="0" applyFont="1" applyBorder="1" applyAlignment="1">
      <alignment horizontal="left"/>
    </xf>
    <xf numFmtId="0" fontId="0" fillId="0" borderId="6" xfId="0" applyBorder="1"/>
    <xf numFmtId="0" fontId="9" fillId="0" borderId="0" xfId="0" applyFont="1"/>
    <xf numFmtId="0" fontId="9" fillId="0" borderId="1" xfId="0" applyFont="1" applyBorder="1"/>
    <xf numFmtId="0" fontId="11" fillId="0" borderId="0" xfId="0" applyFont="1" applyAlignment="1">
      <alignment vertical="center"/>
    </xf>
    <xf numFmtId="0" fontId="11" fillId="0" borderId="1" xfId="0" applyFont="1" applyBorder="1"/>
    <xf numFmtId="0" fontId="11" fillId="0" borderId="7" xfId="0" applyFont="1" applyBorder="1"/>
    <xf numFmtId="165" fontId="11" fillId="0" borderId="0" xfId="0" applyNumberFormat="1" applyFont="1"/>
    <xf numFmtId="165" fontId="9" fillId="0" borderId="0" xfId="0" applyNumberFormat="1" applyFont="1"/>
    <xf numFmtId="0" fontId="9" fillId="0" borderId="0" xfId="0" applyFont="1" applyAlignment="1">
      <alignment vertical="center"/>
    </xf>
    <xf numFmtId="0" fontId="6" fillId="2" borderId="12" xfId="1" applyFont="1" applyFill="1" applyBorder="1" applyAlignment="1">
      <alignment horizontal="center"/>
    </xf>
    <xf numFmtId="0" fontId="6" fillId="2" borderId="4" xfId="1" applyFont="1" applyFill="1" applyBorder="1" applyAlignment="1">
      <alignment horizontal="center"/>
    </xf>
    <xf numFmtId="0" fontId="2" fillId="2" borderId="13" xfId="1" applyFont="1" applyFill="1" applyBorder="1" applyAlignment="1">
      <alignment horizontal="center"/>
    </xf>
    <xf numFmtId="0" fontId="2" fillId="2" borderId="7" xfId="1" applyFont="1" applyFill="1" applyBorder="1" applyAlignment="1">
      <alignment horizontal="center"/>
    </xf>
    <xf numFmtId="0" fontId="1" fillId="2" borderId="14" xfId="1" applyFont="1" applyFill="1" applyBorder="1"/>
    <xf numFmtId="0" fontId="1" fillId="2" borderId="1" xfId="1" applyFont="1" applyFill="1" applyBorder="1"/>
    <xf numFmtId="4" fontId="8" fillId="2" borderId="14" xfId="1" applyNumberFormat="1" applyFont="1" applyFill="1" applyBorder="1" applyAlignment="1">
      <alignment horizontal="center" vertical="center"/>
    </xf>
    <xf numFmtId="4" fontId="8" fillId="2" borderId="14" xfId="1" applyNumberFormat="1" applyFont="1" applyFill="1" applyBorder="1" applyAlignment="1">
      <alignment horizontal="center"/>
    </xf>
    <xf numFmtId="4" fontId="7"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vertical="center"/>
    </xf>
    <xf numFmtId="4" fontId="12" fillId="2" borderId="14" xfId="0" applyNumberFormat="1" applyFont="1" applyFill="1" applyBorder="1" applyAlignment="1">
      <alignment horizontal="center"/>
    </xf>
    <xf numFmtId="4" fontId="1" fillId="2" borderId="14" xfId="0" applyNumberFormat="1" applyFont="1" applyFill="1" applyBorder="1" applyAlignment="1">
      <alignment horizontal="center"/>
    </xf>
    <xf numFmtId="165" fontId="1" fillId="2" borderId="10" xfId="0" applyNumberFormat="1" applyFont="1" applyFill="1" applyBorder="1" applyAlignment="1">
      <alignment horizontal="center"/>
    </xf>
    <xf numFmtId="4" fontId="8" fillId="2" borderId="10" xfId="1" applyNumberFormat="1" applyFont="1" applyFill="1" applyBorder="1" applyAlignment="1">
      <alignment horizontal="center" vertical="center"/>
    </xf>
    <xf numFmtId="0" fontId="1" fillId="3" borderId="7"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left"/>
    </xf>
    <xf numFmtId="0" fontId="9" fillId="3" borderId="1" xfId="0" applyFont="1" applyFill="1" applyBorder="1" applyAlignment="1">
      <alignment horizontal="center"/>
    </xf>
    <xf numFmtId="0" fontId="3" fillId="3" borderId="4" xfId="0" applyFont="1" applyFill="1" applyBorder="1" applyAlignment="1">
      <alignment horizontal="center"/>
    </xf>
    <xf numFmtId="0" fontId="9" fillId="3" borderId="1" xfId="0" applyFont="1" applyFill="1" applyBorder="1" applyAlignment="1">
      <alignment horizontal="left" wrapText="1"/>
    </xf>
    <xf numFmtId="0" fontId="9" fillId="0" borderId="1" xfId="0" applyFont="1" applyBorder="1" applyAlignment="1">
      <alignment horizontal="left"/>
    </xf>
    <xf numFmtId="0" fontId="9" fillId="0" borderId="1" xfId="0" applyFont="1" applyBorder="1" applyAlignment="1">
      <alignment horizontal="center"/>
    </xf>
    <xf numFmtId="0" fontId="9" fillId="2" borderId="11" xfId="0"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1" fillId="2" borderId="14" xfId="1" applyFont="1" applyFill="1" applyBorder="1" applyAlignment="1">
      <alignment horizontal="center"/>
    </xf>
    <xf numFmtId="165" fontId="9" fillId="0" borderId="0" xfId="0" applyNumberFormat="1" applyFont="1" applyAlignment="1">
      <alignment horizontal="center"/>
    </xf>
    <xf numFmtId="165" fontId="11" fillId="0" borderId="0" xfId="0" applyNumberFormat="1" applyFont="1" applyAlignment="1">
      <alignment horizontal="center"/>
    </xf>
    <xf numFmtId="0" fontId="11" fillId="0" borderId="1" xfId="0" applyFont="1" applyBorder="1" applyAlignment="1">
      <alignment horizontal="center"/>
    </xf>
    <xf numFmtId="0" fontId="11" fillId="0" borderId="0" xfId="0" applyFont="1" applyAlignment="1">
      <alignment horizontal="center"/>
    </xf>
    <xf numFmtId="0" fontId="0" fillId="0" borderId="6" xfId="0" applyBorder="1" applyAlignment="1">
      <alignment horizontal="center"/>
    </xf>
    <xf numFmtId="0" fontId="11" fillId="0" borderId="7" xfId="0" applyFont="1"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0" fillId="0" borderId="5" xfId="0" applyBorder="1" applyAlignment="1">
      <alignment horizontal="left"/>
    </xf>
    <xf numFmtId="0" fontId="9" fillId="0" borderId="0" xfId="0" applyFont="1" applyAlignment="1">
      <alignment horizontal="left" vertical="center"/>
    </xf>
    <xf numFmtId="0" fontId="9" fillId="0" borderId="0" xfId="0" applyFont="1" applyAlignment="1">
      <alignment horizontal="left"/>
    </xf>
    <xf numFmtId="0" fontId="13" fillId="0" borderId="0" xfId="0" applyFont="1" applyAlignment="1">
      <alignment vertical="center" wrapText="1"/>
    </xf>
    <xf numFmtId="0" fontId="15" fillId="3" borderId="0" xfId="0" applyFont="1" applyFill="1"/>
    <xf numFmtId="0" fontId="0" fillId="3" borderId="0" xfId="0" applyFill="1"/>
    <xf numFmtId="0" fontId="16" fillId="3" borderId="0" xfId="0" applyFont="1" applyFill="1"/>
    <xf numFmtId="0" fontId="20" fillId="3" borderId="0" xfId="0" applyFont="1" applyFill="1"/>
    <xf numFmtId="0" fontId="22" fillId="2" borderId="1" xfId="1" applyFont="1" applyFill="1" applyBorder="1" applyAlignment="1">
      <alignment horizontal="center"/>
    </xf>
    <xf numFmtId="4" fontId="23" fillId="2" borderId="1" xfId="1" applyNumberFormat="1" applyFont="1" applyFill="1" applyBorder="1" applyAlignment="1">
      <alignment horizontal="center" vertical="center"/>
    </xf>
    <xf numFmtId="4" fontId="12" fillId="2" borderId="14" xfId="0" applyNumberFormat="1" applyFont="1" applyFill="1" applyBorder="1" applyAlignment="1">
      <alignment horizontal="center" vertical="center"/>
    </xf>
    <xf numFmtId="0" fontId="17" fillId="4" borderId="22"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25" fillId="0" borderId="0" xfId="0" applyFont="1"/>
    <xf numFmtId="166" fontId="27" fillId="0" borderId="17" xfId="0" applyNumberFormat="1" applyFont="1" applyBorder="1" applyAlignment="1">
      <alignment horizontal="right" vertical="center"/>
    </xf>
    <xf numFmtId="166" fontId="27" fillId="3" borderId="17" xfId="0" applyNumberFormat="1" applyFont="1" applyFill="1" applyBorder="1" applyAlignment="1">
      <alignment horizontal="right" vertical="center"/>
    </xf>
    <xf numFmtId="166" fontId="26" fillId="0" borderId="17" xfId="3" applyNumberFormat="1" applyFont="1" applyBorder="1" applyAlignment="1">
      <alignment horizontal="right" vertical="center"/>
    </xf>
    <xf numFmtId="166" fontId="26" fillId="0" borderId="25" xfId="3" applyNumberFormat="1" applyFont="1" applyBorder="1" applyAlignment="1">
      <alignment horizontal="right" vertical="center"/>
    </xf>
    <xf numFmtId="166" fontId="26" fillId="0" borderId="17" xfId="3" applyNumberFormat="1" applyFont="1" applyFill="1" applyBorder="1" applyAlignment="1">
      <alignment horizontal="right" vertical="center"/>
    </xf>
    <xf numFmtId="166" fontId="27" fillId="0" borderId="17" xfId="3" applyNumberFormat="1" applyFont="1" applyBorder="1" applyAlignment="1">
      <alignment horizontal="right" vertical="center"/>
    </xf>
    <xf numFmtId="166" fontId="27" fillId="3" borderId="17" xfId="3" applyNumberFormat="1" applyFont="1" applyFill="1" applyBorder="1" applyAlignment="1">
      <alignment horizontal="right" vertical="center"/>
    </xf>
    <xf numFmtId="166" fontId="26" fillId="0" borderId="19" xfId="3" applyNumberFormat="1" applyFont="1" applyFill="1" applyBorder="1" applyAlignment="1">
      <alignment horizontal="right" vertical="center"/>
    </xf>
    <xf numFmtId="166" fontId="26" fillId="0" borderId="19" xfId="3" applyNumberFormat="1" applyFont="1" applyBorder="1" applyAlignment="1">
      <alignment horizontal="right" vertical="center"/>
    </xf>
    <xf numFmtId="166" fontId="26" fillId="0" borderId="28" xfId="3" applyNumberFormat="1" applyFont="1" applyBorder="1" applyAlignment="1">
      <alignment horizontal="right" vertical="center"/>
    </xf>
    <xf numFmtId="166" fontId="17" fillId="5" borderId="21" xfId="3" applyNumberFormat="1" applyFont="1" applyFill="1" applyBorder="1" applyAlignment="1">
      <alignment horizontal="center"/>
    </xf>
    <xf numFmtId="166" fontId="17" fillId="5" borderId="29" xfId="3" applyNumberFormat="1" applyFont="1" applyFill="1" applyBorder="1" applyAlignment="1">
      <alignment horizontal="center"/>
    </xf>
    <xf numFmtId="166" fontId="28" fillId="0" borderId="0" xfId="0" applyNumberFormat="1" applyFont="1"/>
    <xf numFmtId="166" fontId="30" fillId="5" borderId="21" xfId="3" applyNumberFormat="1" applyFont="1" applyFill="1" applyBorder="1" applyAlignment="1">
      <alignment horizontal="center"/>
    </xf>
    <xf numFmtId="0" fontId="31" fillId="0" borderId="0" xfId="0" applyFont="1"/>
    <xf numFmtId="166" fontId="26" fillId="0" borderId="17" xfId="3" applyNumberFormat="1" applyFont="1" applyBorder="1" applyAlignment="1">
      <alignment vertical="center"/>
    </xf>
    <xf numFmtId="166" fontId="26" fillId="0" borderId="19" xfId="3" applyNumberFormat="1" applyFont="1" applyBorder="1" applyAlignment="1">
      <alignment vertical="center"/>
    </xf>
    <xf numFmtId="166" fontId="17" fillId="5" borderId="21" xfId="3" applyNumberFormat="1" applyFont="1" applyFill="1" applyBorder="1" applyAlignment="1"/>
    <xf numFmtId="0" fontId="32" fillId="4" borderId="17" xfId="0" applyFont="1" applyFill="1" applyBorder="1" applyAlignment="1">
      <alignment horizontal="center" wrapText="1"/>
    </xf>
    <xf numFmtId="0" fontId="32" fillId="4" borderId="17" xfId="0" applyFont="1" applyFill="1" applyBorder="1" applyAlignment="1">
      <alignment horizontal="center" vertical="top"/>
    </xf>
    <xf numFmtId="0" fontId="32" fillId="4" borderId="25" xfId="0" applyFont="1" applyFill="1" applyBorder="1" applyAlignment="1">
      <alignment horizontal="center" wrapText="1"/>
    </xf>
    <xf numFmtId="0" fontId="32" fillId="4" borderId="25" xfId="0" applyFont="1" applyFill="1" applyBorder="1" applyAlignment="1">
      <alignment horizontal="center" vertical="top"/>
    </xf>
    <xf numFmtId="166" fontId="26" fillId="0" borderId="25" xfId="3" applyNumberFormat="1" applyFont="1" applyBorder="1" applyAlignment="1">
      <alignment vertical="center"/>
    </xf>
    <xf numFmtId="166" fontId="27" fillId="3" borderId="25" xfId="0" applyNumberFormat="1" applyFont="1" applyFill="1" applyBorder="1" applyAlignment="1">
      <alignment vertical="center"/>
    </xf>
    <xf numFmtId="166" fontId="26" fillId="0" borderId="28" xfId="3" applyNumberFormat="1" applyFont="1" applyBorder="1" applyAlignment="1">
      <alignment vertical="center"/>
    </xf>
    <xf numFmtId="166" fontId="28" fillId="0" borderId="1" xfId="0" applyNumberFormat="1" applyFont="1" applyBorder="1"/>
    <xf numFmtId="166" fontId="17" fillId="5" borderId="29" xfId="3" applyNumberFormat="1" applyFont="1" applyFill="1" applyBorder="1" applyAlignment="1"/>
    <xf numFmtId="0" fontId="33" fillId="4" borderId="17" xfId="0" applyFont="1" applyFill="1" applyBorder="1" applyAlignment="1">
      <alignment horizontal="center" wrapText="1"/>
    </xf>
    <xf numFmtId="0" fontId="33" fillId="4" borderId="25" xfId="0" applyFont="1" applyFill="1" applyBorder="1" applyAlignment="1">
      <alignment horizontal="center" wrapText="1"/>
    </xf>
    <xf numFmtId="0" fontId="11" fillId="0" borderId="9" xfId="0" applyFont="1" applyBorder="1" applyAlignment="1">
      <alignment vertical="top" wrapText="1"/>
    </xf>
    <xf numFmtId="0" fontId="11" fillId="0" borderId="0" xfId="0" applyFont="1" applyAlignment="1">
      <alignment horizontal="left" vertical="top" wrapText="1"/>
    </xf>
    <xf numFmtId="4" fontId="35" fillId="2" borderId="1" xfId="1" applyNumberFormat="1" applyFont="1" applyFill="1" applyBorder="1" applyAlignment="1">
      <alignment horizontal="center" vertical="center"/>
    </xf>
    <xf numFmtId="4" fontId="35" fillId="2" borderId="10" xfId="1" applyNumberFormat="1" applyFont="1" applyFill="1" applyBorder="1" applyAlignment="1">
      <alignment horizontal="center" vertical="center"/>
    </xf>
    <xf numFmtId="0" fontId="36" fillId="0" borderId="0" xfId="0" applyFont="1" applyAlignment="1">
      <alignment horizontal="center"/>
    </xf>
    <xf numFmtId="0" fontId="39" fillId="0" borderId="0" xfId="0" applyFont="1"/>
    <xf numFmtId="0" fontId="2" fillId="0" borderId="0" xfId="0" applyFont="1" applyAlignment="1">
      <alignment vertical="center"/>
    </xf>
    <xf numFmtId="0" fontId="38" fillId="0" borderId="0" xfId="0" applyFont="1" applyAlignment="1">
      <alignment horizontal="left" vertical="top" wrapText="1"/>
    </xf>
    <xf numFmtId="0" fontId="2" fillId="0" borderId="0" xfId="0" applyFont="1" applyAlignment="1">
      <alignment horizontal="left" vertical="top" wrapText="1"/>
    </xf>
    <xf numFmtId="0" fontId="11" fillId="0" borderId="0" xfId="0" applyFont="1" applyAlignment="1">
      <alignment vertical="center" wrapText="1"/>
    </xf>
    <xf numFmtId="0" fontId="31" fillId="3" borderId="0" xfId="0" applyFont="1" applyFill="1"/>
    <xf numFmtId="166" fontId="28" fillId="3" borderId="0" xfId="0" applyNumberFormat="1" applyFont="1" applyFill="1"/>
    <xf numFmtId="0" fontId="2" fillId="3" borderId="0" xfId="0" applyFont="1" applyFill="1" applyAlignment="1">
      <alignment horizontal="left" vertical="top" wrapText="1"/>
    </xf>
    <xf numFmtId="0" fontId="37" fillId="3" borderId="0" xfId="0" applyFont="1" applyFill="1"/>
    <xf numFmtId="0" fontId="2" fillId="3" borderId="0" xfId="0" applyFont="1" applyFill="1" applyAlignment="1">
      <alignment vertical="center"/>
    </xf>
    <xf numFmtId="0" fontId="2" fillId="3" borderId="0" xfId="0" applyFont="1" applyFill="1" applyAlignment="1">
      <alignment horizontal="left" vertical="center"/>
    </xf>
    <xf numFmtId="0" fontId="39" fillId="3" borderId="0" xfId="0" applyFont="1" applyFill="1"/>
    <xf numFmtId="0" fontId="1" fillId="3" borderId="0" xfId="0" applyFont="1" applyFill="1"/>
    <xf numFmtId="0" fontId="28" fillId="0" borderId="0" xfId="0" applyFont="1" applyAlignment="1">
      <alignment horizontal="left" vertical="center" indent="1"/>
    </xf>
    <xf numFmtId="0" fontId="0" fillId="0" borderId="0" xfId="0" applyAlignment="1">
      <alignment vertical="center"/>
    </xf>
    <xf numFmtId="0" fontId="28" fillId="0" borderId="0" xfId="0" applyFont="1" applyAlignment="1">
      <alignment vertical="center"/>
    </xf>
    <xf numFmtId="0" fontId="28" fillId="0" borderId="0" xfId="0" applyFont="1" applyAlignment="1">
      <alignment horizontal="left" vertical="center" indent="5"/>
    </xf>
    <xf numFmtId="0" fontId="32" fillId="3" borderId="17" xfId="0" applyFont="1" applyFill="1" applyBorder="1" applyAlignment="1">
      <alignment horizontal="center" vertical="top"/>
    </xf>
    <xf numFmtId="0" fontId="32" fillId="3" borderId="25" xfId="0" applyFont="1" applyFill="1" applyBorder="1" applyAlignment="1">
      <alignment horizontal="center" vertical="top"/>
    </xf>
    <xf numFmtId="0" fontId="30" fillId="4" borderId="17" xfId="0" applyFont="1" applyFill="1" applyBorder="1" applyAlignment="1">
      <alignment horizontal="center" vertical="top"/>
    </xf>
    <xf numFmtId="0" fontId="30" fillId="4" borderId="25" xfId="0" applyFont="1" applyFill="1" applyBorder="1" applyAlignment="1">
      <alignment horizontal="center" vertical="top"/>
    </xf>
    <xf numFmtId="0" fontId="16" fillId="5" borderId="32" xfId="0" applyFont="1" applyFill="1" applyBorder="1" applyAlignment="1">
      <alignment horizontal="center" wrapText="1"/>
    </xf>
    <xf numFmtId="0" fontId="16" fillId="5" borderId="23" xfId="0" applyFont="1" applyFill="1" applyBorder="1" applyAlignment="1">
      <alignment horizontal="center" wrapText="1"/>
    </xf>
    <xf numFmtId="166" fontId="17" fillId="5" borderId="34" xfId="3" applyNumberFormat="1" applyFont="1" applyFill="1" applyBorder="1" applyAlignment="1"/>
    <xf numFmtId="166" fontId="17" fillId="5" borderId="35" xfId="3" applyNumberFormat="1" applyFont="1" applyFill="1" applyBorder="1" applyAlignment="1"/>
    <xf numFmtId="0" fontId="45" fillId="3" borderId="0" xfId="0" applyFont="1" applyFill="1"/>
    <xf numFmtId="4" fontId="46" fillId="3" borderId="0" xfId="0" applyNumberFormat="1" applyFont="1" applyFill="1"/>
    <xf numFmtId="0" fontId="47" fillId="3" borderId="0" xfId="0" applyFont="1" applyFill="1"/>
    <xf numFmtId="0" fontId="9" fillId="3" borderId="0" xfId="0" applyFont="1" applyFill="1"/>
    <xf numFmtId="0" fontId="48" fillId="4" borderId="21" xfId="0" applyFont="1" applyFill="1" applyBorder="1" applyAlignment="1">
      <alignment horizontal="center" vertical="center" wrapText="1"/>
    </xf>
    <xf numFmtId="0" fontId="48" fillId="4" borderId="29" xfId="0" applyFont="1" applyFill="1" applyBorder="1" applyAlignment="1">
      <alignment horizontal="center" vertical="center" wrapText="1"/>
    </xf>
    <xf numFmtId="0" fontId="48" fillId="6" borderId="38" xfId="0" applyFont="1" applyFill="1" applyBorder="1" applyAlignment="1">
      <alignment horizontal="center" vertical="center"/>
    </xf>
    <xf numFmtId="0" fontId="48" fillId="6" borderId="39" xfId="0" applyFont="1" applyFill="1" applyBorder="1" applyAlignment="1">
      <alignment horizontal="center" vertical="center"/>
    </xf>
    <xf numFmtId="0" fontId="15" fillId="4" borderId="17" xfId="0" applyFont="1" applyFill="1" applyBorder="1" applyAlignment="1">
      <alignment horizontal="center" vertical="top"/>
    </xf>
    <xf numFmtId="0" fontId="15" fillId="4" borderId="25" xfId="0" applyFont="1" applyFill="1" applyBorder="1" applyAlignment="1">
      <alignment horizontal="center" vertical="top"/>
    </xf>
    <xf numFmtId="166" fontId="51" fillId="0" borderId="17" xfId="3" applyNumberFormat="1" applyFont="1" applyBorder="1" applyAlignment="1">
      <alignment vertical="center"/>
    </xf>
    <xf numFmtId="166" fontId="51" fillId="0" borderId="17" xfId="3" applyNumberFormat="1" applyFont="1" applyBorder="1" applyAlignment="1">
      <alignment horizontal="right" vertical="center"/>
    </xf>
    <xf numFmtId="166" fontId="51" fillId="0" borderId="25" xfId="3" applyNumberFormat="1" applyFont="1" applyBorder="1" applyAlignment="1">
      <alignment vertical="center"/>
    </xf>
    <xf numFmtId="165" fontId="51" fillId="0" borderId="17" xfId="3" applyNumberFormat="1" applyFont="1" applyBorder="1" applyAlignment="1">
      <alignment horizontal="center" vertical="center"/>
    </xf>
    <xf numFmtId="165" fontId="51" fillId="0" borderId="17" xfId="3" applyNumberFormat="1" applyFont="1" applyBorder="1" applyAlignment="1">
      <alignment horizontal="right" vertical="center"/>
    </xf>
    <xf numFmtId="165" fontId="51" fillId="0" borderId="25" xfId="3" applyNumberFormat="1" applyFont="1" applyBorder="1" applyAlignment="1">
      <alignment horizontal="center" vertical="center"/>
    </xf>
    <xf numFmtId="165" fontId="51" fillId="0" borderId="25" xfId="3" applyNumberFormat="1" applyFont="1" applyBorder="1" applyAlignment="1">
      <alignment horizontal="right" vertical="center"/>
    </xf>
    <xf numFmtId="166" fontId="50" fillId="5" borderId="34" xfId="3" applyNumberFormat="1" applyFont="1" applyFill="1" applyBorder="1" applyAlignment="1" applyProtection="1">
      <alignment horizontal="right" vertical="center" wrapText="1"/>
      <protection locked="0"/>
    </xf>
    <xf numFmtId="165" fontId="48" fillId="5" borderId="35" xfId="3" applyNumberFormat="1" applyFont="1" applyFill="1" applyBorder="1" applyAlignment="1">
      <alignment horizontal="right"/>
    </xf>
    <xf numFmtId="0" fontId="0" fillId="3" borderId="40" xfId="0" applyFill="1" applyBorder="1"/>
    <xf numFmtId="165" fontId="0" fillId="3" borderId="41" xfId="0" applyNumberFormat="1" applyFill="1" applyBorder="1" applyAlignment="1">
      <alignment horizontal="center"/>
    </xf>
    <xf numFmtId="165" fontId="53" fillId="5" borderId="32" xfId="3" applyNumberFormat="1" applyFont="1" applyFill="1" applyBorder="1" applyAlignment="1">
      <alignment horizontal="right"/>
    </xf>
    <xf numFmtId="165" fontId="53" fillId="5" borderId="32" xfId="3" applyNumberFormat="1" applyFont="1" applyFill="1" applyBorder="1" applyAlignment="1">
      <alignment horizontal="center"/>
    </xf>
    <xf numFmtId="0" fontId="54" fillId="7" borderId="8" xfId="0" applyFont="1" applyFill="1" applyBorder="1"/>
    <xf numFmtId="0" fontId="55" fillId="7" borderId="42" xfId="0" applyFont="1" applyFill="1" applyBorder="1" applyAlignment="1">
      <alignment horizontal="right"/>
    </xf>
    <xf numFmtId="165" fontId="56" fillId="7" borderId="10" xfId="0" applyNumberFormat="1" applyFont="1" applyFill="1" applyBorder="1" applyAlignment="1">
      <alignment horizontal="right"/>
    </xf>
    <xf numFmtId="165" fontId="56" fillId="7" borderId="11" xfId="0" applyNumberFormat="1" applyFont="1" applyFill="1" applyBorder="1" applyAlignment="1">
      <alignment horizontal="right"/>
    </xf>
    <xf numFmtId="165" fontId="56" fillId="7" borderId="20" xfId="0" applyNumberFormat="1" applyFont="1" applyFill="1" applyBorder="1" applyAlignment="1">
      <alignment horizontal="right"/>
    </xf>
    <xf numFmtId="0" fontId="48" fillId="2" borderId="8" xfId="0" applyFont="1" applyFill="1" applyBorder="1" applyAlignment="1">
      <alignment horizontal="right"/>
    </xf>
    <xf numFmtId="0" fontId="55" fillId="2" borderId="42" xfId="0" applyFont="1" applyFill="1" applyBorder="1" applyAlignment="1">
      <alignment horizontal="right"/>
    </xf>
    <xf numFmtId="9" fontId="57" fillId="2" borderId="10" xfId="4" applyFont="1" applyFill="1" applyBorder="1" applyAlignment="1">
      <alignment horizontal="right" vertical="center"/>
    </xf>
    <xf numFmtId="9" fontId="57" fillId="2" borderId="42" xfId="4" applyFont="1" applyFill="1" applyBorder="1" applyAlignment="1">
      <alignment horizontal="right" vertical="center"/>
    </xf>
    <xf numFmtId="9" fontId="57" fillId="2" borderId="11" xfId="4" applyFont="1" applyFill="1" applyBorder="1" applyAlignment="1">
      <alignment horizontal="right" vertical="center"/>
    </xf>
    <xf numFmtId="0" fontId="58" fillId="3" borderId="0" xfId="0" applyFont="1" applyFill="1"/>
    <xf numFmtId="17" fontId="1" fillId="0" borderId="0" xfId="0" applyNumberFormat="1" applyFont="1" applyAlignment="1">
      <alignment horizontal="left"/>
    </xf>
    <xf numFmtId="4" fontId="35" fillId="2" borderId="1" xfId="1" applyNumberFormat="1" applyFont="1" applyFill="1" applyBorder="1" applyAlignment="1">
      <alignment vertical="center"/>
    </xf>
    <xf numFmtId="0" fontId="17" fillId="4" borderId="43" xfId="0" applyFont="1" applyFill="1" applyBorder="1" applyAlignment="1">
      <alignment horizontal="center" vertical="center" wrapText="1"/>
    </xf>
    <xf numFmtId="0" fontId="32" fillId="4" borderId="44" xfId="0" applyFont="1" applyFill="1" applyBorder="1" applyAlignment="1">
      <alignment horizontal="center" wrapText="1"/>
    </xf>
    <xf numFmtId="0" fontId="32" fillId="4" borderId="44" xfId="0" applyFont="1" applyFill="1" applyBorder="1" applyAlignment="1">
      <alignment horizontal="center" vertical="top"/>
    </xf>
    <xf numFmtId="166" fontId="26" fillId="0" borderId="44" xfId="3" applyNumberFormat="1" applyFont="1" applyBorder="1" applyAlignment="1">
      <alignment vertical="center"/>
    </xf>
    <xf numFmtId="166" fontId="27" fillId="3" borderId="44" xfId="0" applyNumberFormat="1" applyFont="1" applyFill="1" applyBorder="1" applyAlignment="1">
      <alignment vertical="center"/>
    </xf>
    <xf numFmtId="166" fontId="26" fillId="0" borderId="45" xfId="3" applyNumberFormat="1" applyFont="1" applyBorder="1" applyAlignment="1">
      <alignment vertical="center"/>
    </xf>
    <xf numFmtId="166" fontId="17" fillId="5" borderId="43" xfId="3" applyNumberFormat="1" applyFont="1" applyFill="1" applyBorder="1" applyAlignment="1"/>
    <xf numFmtId="166" fontId="17" fillId="5" borderId="11" xfId="3" applyNumberFormat="1" applyFont="1" applyFill="1" applyBorder="1" applyAlignment="1"/>
    <xf numFmtId="14" fontId="41" fillId="0" borderId="0" xfId="0" applyNumberFormat="1" applyFont="1"/>
    <xf numFmtId="14" fontId="41" fillId="3" borderId="0" xfId="0" applyNumberFormat="1" applyFont="1" applyFill="1" applyAlignment="1">
      <alignment horizontal="left"/>
    </xf>
    <xf numFmtId="0" fontId="59" fillId="0" borderId="0" xfId="0" applyFont="1" applyAlignment="1">
      <alignment horizontal="left" vertical="center"/>
    </xf>
    <xf numFmtId="0" fontId="59" fillId="0" borderId="9" xfId="0" applyFont="1" applyBorder="1" applyAlignment="1">
      <alignment horizontal="left" vertical="center"/>
    </xf>
    <xf numFmtId="0" fontId="0" fillId="3" borderId="9" xfId="0" applyFill="1" applyBorder="1" applyAlignment="1">
      <alignment vertical="center"/>
    </xf>
    <xf numFmtId="0" fontId="61" fillId="0" borderId="1" xfId="0" applyFont="1" applyBorder="1"/>
    <xf numFmtId="0" fontId="63" fillId="0" borderId="0" xfId="0" applyFont="1" applyAlignment="1">
      <alignment horizontal="left" vertical="center" indent="1"/>
    </xf>
    <xf numFmtId="0" fontId="21" fillId="0" borderId="1" xfId="0" applyFont="1" applyBorder="1" applyAlignment="1">
      <alignment horizontal="center"/>
    </xf>
    <xf numFmtId="0" fontId="60" fillId="0" borderId="9" xfId="0" applyFont="1" applyBorder="1" applyAlignment="1">
      <alignment horizontal="center" vertical="top" wrapText="1"/>
    </xf>
    <xf numFmtId="0" fontId="60" fillId="0" borderId="7" xfId="0" applyFont="1" applyBorder="1" applyAlignment="1">
      <alignment horizontal="center"/>
    </xf>
    <xf numFmtId="0" fontId="64" fillId="0" borderId="0" xfId="0" applyFont="1" applyAlignment="1">
      <alignment vertical="center"/>
    </xf>
    <xf numFmtId="0" fontId="64" fillId="0" borderId="1" xfId="0" applyFont="1" applyBorder="1" applyAlignment="1">
      <alignment vertical="center"/>
    </xf>
    <xf numFmtId="0" fontId="5" fillId="0" borderId="4" xfId="0" applyFont="1" applyBorder="1"/>
    <xf numFmtId="0" fontId="5" fillId="0" borderId="1" xfId="0" applyFont="1" applyBorder="1"/>
    <xf numFmtId="0" fontId="5" fillId="8" borderId="5" xfId="0" applyFont="1" applyFill="1" applyBorder="1"/>
    <xf numFmtId="0" fontId="2" fillId="8" borderId="5" xfId="0" applyFont="1" applyFill="1" applyBorder="1" applyAlignment="1">
      <alignment horizontal="center"/>
    </xf>
    <xf numFmtId="165" fontId="1" fillId="8" borderId="10" xfId="0" applyNumberFormat="1" applyFont="1" applyFill="1" applyBorder="1" applyAlignment="1">
      <alignment horizontal="center"/>
    </xf>
    <xf numFmtId="0" fontId="2" fillId="9" borderId="5" xfId="0" applyFont="1" applyFill="1" applyBorder="1" applyAlignment="1">
      <alignment horizontal="center"/>
    </xf>
    <xf numFmtId="0" fontId="9" fillId="8" borderId="5" xfId="0" applyFont="1" applyFill="1" applyBorder="1" applyAlignment="1">
      <alignment horizontal="center"/>
    </xf>
    <xf numFmtId="0" fontId="5" fillId="8" borderId="0" xfId="0" applyFont="1" applyFill="1"/>
    <xf numFmtId="0" fontId="5" fillId="9" borderId="5" xfId="0" applyFont="1" applyFill="1" applyBorder="1"/>
    <xf numFmtId="0" fontId="5" fillId="9" borderId="0" xfId="0" applyFont="1" applyFill="1"/>
    <xf numFmtId="0" fontId="5" fillId="10" borderId="5" xfId="0" applyFont="1" applyFill="1" applyBorder="1"/>
    <xf numFmtId="0" fontId="5" fillId="10" borderId="1" xfId="0" applyFont="1" applyFill="1" applyBorder="1"/>
    <xf numFmtId="0" fontId="5" fillId="4" borderId="5" xfId="0" applyFont="1" applyFill="1" applyBorder="1"/>
    <xf numFmtId="0" fontId="5" fillId="4" borderId="1" xfId="0" applyFont="1" applyFill="1" applyBorder="1"/>
    <xf numFmtId="0" fontId="61" fillId="0" borderId="0" xfId="0" applyFont="1"/>
    <xf numFmtId="0" fontId="9" fillId="9" borderId="0" xfId="0" applyFont="1" applyFill="1" applyAlignment="1">
      <alignment horizontal="center"/>
    </xf>
    <xf numFmtId="0" fontId="9" fillId="9" borderId="9" xfId="0" applyFont="1" applyFill="1" applyBorder="1" applyAlignment="1">
      <alignment horizontal="center"/>
    </xf>
    <xf numFmtId="0" fontId="2" fillId="8" borderId="6" xfId="0" applyFont="1" applyFill="1" applyBorder="1" applyAlignment="1">
      <alignment horizontal="center"/>
    </xf>
    <xf numFmtId="0" fontId="9" fillId="8" borderId="9" xfId="0" applyFont="1" applyFill="1" applyBorder="1" applyAlignment="1">
      <alignment horizontal="center"/>
    </xf>
    <xf numFmtId="0" fontId="64" fillId="0" borderId="3" xfId="0" applyFont="1" applyBorder="1" applyAlignment="1">
      <alignment vertical="center"/>
    </xf>
    <xf numFmtId="0" fontId="60" fillId="0" borderId="0" xfId="0" applyFont="1" applyAlignment="1">
      <alignment vertical="center"/>
    </xf>
    <xf numFmtId="165" fontId="21" fillId="0" borderId="0" xfId="0" applyNumberFormat="1" applyFont="1" applyAlignment="1">
      <alignment horizontal="center"/>
    </xf>
    <xf numFmtId="0" fontId="60" fillId="0" borderId="0" xfId="0" applyFont="1" applyAlignment="1">
      <alignment horizontal="left" vertical="center"/>
    </xf>
    <xf numFmtId="0" fontId="9" fillId="8" borderId="13" xfId="0" applyFont="1" applyFill="1" applyBorder="1" applyAlignment="1">
      <alignment horizontal="center"/>
    </xf>
    <xf numFmtId="0" fontId="9" fillId="0" borderId="6" xfId="0" applyFont="1" applyBorder="1" applyAlignment="1">
      <alignment horizontal="center"/>
    </xf>
    <xf numFmtId="0" fontId="9" fillId="8" borderId="14" xfId="0" applyFont="1" applyFill="1" applyBorder="1" applyAlignment="1">
      <alignment horizontal="center"/>
    </xf>
    <xf numFmtId="0" fontId="2" fillId="8" borderId="8" xfId="0" applyFont="1" applyFill="1" applyBorder="1" applyAlignment="1">
      <alignment horizontal="center"/>
    </xf>
    <xf numFmtId="0" fontId="9" fillId="0" borderId="1" xfId="0" applyFont="1" applyBorder="1" applyAlignment="1">
      <alignment horizontal="left" wrapText="1"/>
    </xf>
    <xf numFmtId="2" fontId="9" fillId="0" borderId="5" xfId="0" applyNumberFormat="1" applyFont="1" applyBorder="1" applyAlignment="1">
      <alignment horizontal="center"/>
    </xf>
    <xf numFmtId="2" fontId="9" fillId="0" borderId="14" xfId="0" applyNumberFormat="1" applyFont="1" applyBorder="1" applyAlignment="1">
      <alignment horizontal="center"/>
    </xf>
    <xf numFmtId="0" fontId="9" fillId="8" borderId="0" xfId="0" applyFont="1" applyFill="1"/>
    <xf numFmtId="0" fontId="9" fillId="9" borderId="0" xfId="0" applyFont="1" applyFill="1"/>
    <xf numFmtId="0" fontId="65" fillId="9" borderId="12" xfId="1" applyFont="1" applyFill="1" applyBorder="1" applyAlignment="1">
      <alignment horizontal="center"/>
    </xf>
    <xf numFmtId="0" fontId="38" fillId="9" borderId="13" xfId="1" applyFont="1" applyFill="1" applyBorder="1" applyAlignment="1">
      <alignment horizontal="center"/>
    </xf>
    <xf numFmtId="0" fontId="38" fillId="10" borderId="13" xfId="1" applyFont="1" applyFill="1" applyBorder="1" applyAlignment="1">
      <alignment horizontal="center"/>
    </xf>
    <xf numFmtId="0" fontId="38" fillId="4" borderId="13" xfId="1" applyFont="1" applyFill="1" applyBorder="1" applyAlignment="1">
      <alignment horizontal="center"/>
    </xf>
    <xf numFmtId="0" fontId="66" fillId="8" borderId="5" xfId="0" applyFont="1" applyFill="1" applyBorder="1" applyAlignment="1">
      <alignment vertical="center"/>
    </xf>
    <xf numFmtId="0" fontId="66" fillId="8" borderId="0" xfId="0" applyFont="1" applyFill="1" applyAlignment="1">
      <alignment vertical="center"/>
    </xf>
    <xf numFmtId="0" fontId="66" fillId="9" borderId="5" xfId="0" applyFont="1" applyFill="1" applyBorder="1" applyAlignment="1">
      <alignment vertical="center"/>
    </xf>
    <xf numFmtId="0" fontId="66" fillId="9" borderId="0" xfId="0" applyFont="1" applyFill="1" applyAlignment="1">
      <alignment vertical="center"/>
    </xf>
    <xf numFmtId="0" fontId="66" fillId="10" borderId="5" xfId="0" applyFont="1" applyFill="1" applyBorder="1" applyAlignment="1">
      <alignment vertical="center"/>
    </xf>
    <xf numFmtId="0" fontId="66" fillId="4" borderId="5" xfId="0" applyFont="1" applyFill="1" applyBorder="1" applyAlignment="1">
      <alignment vertical="center"/>
    </xf>
    <xf numFmtId="0" fontId="67" fillId="8" borderId="5" xfId="0" applyFont="1" applyFill="1" applyBorder="1"/>
    <xf numFmtId="0" fontId="67" fillId="8" borderId="0" xfId="0" applyFont="1" applyFill="1"/>
    <xf numFmtId="0" fontId="67" fillId="9" borderId="5" xfId="0" applyFont="1" applyFill="1" applyBorder="1"/>
    <xf numFmtId="0" fontId="67" fillId="10" borderId="5" xfId="0" applyFont="1" applyFill="1" applyBorder="1"/>
    <xf numFmtId="0" fontId="67" fillId="4" borderId="5" xfId="0" applyFont="1" applyFill="1" applyBorder="1"/>
    <xf numFmtId="0" fontId="69" fillId="8" borderId="5" xfId="0" applyFont="1" applyFill="1" applyBorder="1"/>
    <xf numFmtId="0" fontId="69" fillId="8" borderId="0" xfId="0" applyFont="1" applyFill="1"/>
    <xf numFmtId="0" fontId="68" fillId="9" borderId="5" xfId="0" applyFont="1" applyFill="1" applyBorder="1"/>
    <xf numFmtId="0" fontId="68" fillId="10" borderId="5" xfId="0" applyFont="1" applyFill="1" applyBorder="1"/>
    <xf numFmtId="0" fontId="68" fillId="4" borderId="5" xfId="0" applyFont="1" applyFill="1" applyBorder="1"/>
    <xf numFmtId="0" fontId="70" fillId="8" borderId="5" xfId="0" applyFont="1" applyFill="1" applyBorder="1"/>
    <xf numFmtId="0" fontId="70" fillId="8" borderId="0" xfId="0" applyFont="1" applyFill="1"/>
    <xf numFmtId="0" fontId="68" fillId="8" borderId="5" xfId="0" applyFont="1" applyFill="1" applyBorder="1"/>
    <xf numFmtId="0" fontId="9" fillId="3" borderId="14" xfId="0" applyFont="1" applyFill="1" applyBorder="1" applyAlignment="1">
      <alignment horizontal="center"/>
    </xf>
    <xf numFmtId="2" fontId="9" fillId="3" borderId="14" xfId="0" applyNumberFormat="1" applyFont="1" applyFill="1" applyBorder="1" applyAlignment="1">
      <alignment horizontal="center"/>
    </xf>
    <xf numFmtId="0" fontId="69" fillId="9" borderId="5" xfId="0" applyFont="1" applyFill="1" applyBorder="1"/>
    <xf numFmtId="0" fontId="69" fillId="9" borderId="0" xfId="0" applyFont="1" applyFill="1"/>
    <xf numFmtId="0" fontId="70" fillId="9" borderId="5" xfId="0" applyFont="1" applyFill="1" applyBorder="1"/>
    <xf numFmtId="0" fontId="70" fillId="9" borderId="0" xfId="0" applyFont="1" applyFill="1"/>
    <xf numFmtId="0" fontId="69" fillId="10" borderId="5" xfId="0" applyFont="1" applyFill="1" applyBorder="1"/>
    <xf numFmtId="0" fontId="70" fillId="10" borderId="5" xfId="0" applyFont="1" applyFill="1" applyBorder="1"/>
    <xf numFmtId="0" fontId="69" fillId="4" borderId="5" xfId="0" applyFont="1" applyFill="1" applyBorder="1"/>
    <xf numFmtId="0" fontId="70" fillId="4" borderId="5" xfId="0" applyFont="1" applyFill="1" applyBorder="1"/>
    <xf numFmtId="0" fontId="69" fillId="4" borderId="1" xfId="0" applyFont="1" applyFill="1" applyBorder="1"/>
    <xf numFmtId="0" fontId="70" fillId="4" borderId="1" xfId="0" applyFont="1" applyFill="1" applyBorder="1"/>
    <xf numFmtId="3" fontId="9" fillId="9" borderId="0" xfId="0" applyNumberFormat="1" applyFont="1" applyFill="1" applyAlignment="1">
      <alignment horizontal="center"/>
    </xf>
    <xf numFmtId="4" fontId="21" fillId="8" borderId="14" xfId="1" applyNumberFormat="1" applyFont="1" applyFill="1" applyBorder="1" applyAlignment="1">
      <alignment horizontal="center"/>
    </xf>
    <xf numFmtId="4" fontId="21" fillId="9" borderId="14" xfId="1" applyNumberFormat="1" applyFont="1" applyFill="1" applyBorder="1" applyAlignment="1">
      <alignment horizontal="center"/>
    </xf>
    <xf numFmtId="4" fontId="9" fillId="10" borderId="1" xfId="1" applyNumberFormat="1" applyFont="1" applyFill="1" applyBorder="1" applyAlignment="1">
      <alignment horizontal="center"/>
    </xf>
    <xf numFmtId="3" fontId="9" fillId="4" borderId="1" xfId="1" applyNumberFormat="1" applyFont="1" applyFill="1" applyBorder="1" applyAlignment="1">
      <alignment horizontal="center"/>
    </xf>
    <xf numFmtId="4" fontId="9" fillId="4" borderId="1" xfId="1" applyNumberFormat="1" applyFont="1" applyFill="1" applyBorder="1" applyAlignment="1">
      <alignment horizontal="center"/>
    </xf>
    <xf numFmtId="0" fontId="38" fillId="8" borderId="14" xfId="1" applyFont="1" applyFill="1" applyBorder="1" applyAlignment="1">
      <alignment horizontal="center"/>
    </xf>
    <xf numFmtId="4" fontId="66" fillId="9" borderId="0" xfId="0" applyNumberFormat="1" applyFont="1" applyFill="1" applyAlignment="1">
      <alignment vertical="center"/>
    </xf>
    <xf numFmtId="0" fontId="66" fillId="10" borderId="1" xfId="0" applyFont="1" applyFill="1" applyBorder="1" applyAlignment="1">
      <alignment horizontal="right"/>
    </xf>
    <xf numFmtId="4" fontId="66" fillId="10" borderId="1" xfId="0" applyNumberFormat="1" applyFont="1" applyFill="1" applyBorder="1" applyAlignment="1">
      <alignment horizontal="right"/>
    </xf>
    <xf numFmtId="0" fontId="66" fillId="4" borderId="1" xfId="0" applyFont="1" applyFill="1" applyBorder="1" applyAlignment="1">
      <alignment horizontal="right"/>
    </xf>
    <xf numFmtId="4" fontId="66" fillId="4" borderId="1" xfId="0" applyNumberFormat="1" applyFont="1" applyFill="1" applyBorder="1" applyAlignment="1">
      <alignment horizontal="right"/>
    </xf>
    <xf numFmtId="0" fontId="68" fillId="9" borderId="0" xfId="0" applyFont="1" applyFill="1" applyAlignment="1">
      <alignment horizontal="right"/>
    </xf>
    <xf numFmtId="0" fontId="68" fillId="8" borderId="0" xfId="0" applyFont="1" applyFill="1" applyAlignment="1">
      <alignment horizontal="right"/>
    </xf>
    <xf numFmtId="0" fontId="68" fillId="4" borderId="1" xfId="0" applyFont="1" applyFill="1" applyBorder="1" applyAlignment="1">
      <alignment horizontal="right"/>
    </xf>
    <xf numFmtId="3" fontId="67" fillId="10" borderId="1" xfId="0" applyNumberFormat="1" applyFont="1" applyFill="1" applyBorder="1" applyAlignment="1">
      <alignment horizontal="right"/>
    </xf>
    <xf numFmtId="3" fontId="67" fillId="4" borderId="1" xfId="0" applyNumberFormat="1" applyFont="1" applyFill="1" applyBorder="1" applyAlignment="1">
      <alignment horizontal="right"/>
    </xf>
    <xf numFmtId="3" fontId="67" fillId="9" borderId="0" xfId="0" applyNumberFormat="1" applyFont="1" applyFill="1" applyAlignment="1">
      <alignment horizontal="right"/>
    </xf>
    <xf numFmtId="0" fontId="21" fillId="9" borderId="0" xfId="0" applyFont="1" applyFill="1" applyAlignment="1">
      <alignment horizontal="center"/>
    </xf>
    <xf numFmtId="4" fontId="21" fillId="9" borderId="14" xfId="1" quotePrefix="1" applyNumberFormat="1" applyFont="1" applyFill="1" applyBorder="1" applyAlignment="1">
      <alignment horizontal="center"/>
    </xf>
    <xf numFmtId="0" fontId="9" fillId="9" borderId="6" xfId="0" applyFont="1" applyFill="1" applyBorder="1" applyAlignment="1">
      <alignment horizontal="center"/>
    </xf>
    <xf numFmtId="0" fontId="21" fillId="8" borderId="14" xfId="0" applyFont="1" applyFill="1" applyBorder="1" applyAlignment="1">
      <alignment horizontal="center"/>
    </xf>
    <xf numFmtId="2" fontId="21" fillId="0" borderId="5" xfId="0" applyNumberFormat="1" applyFont="1" applyBorder="1" applyAlignment="1">
      <alignment horizontal="center"/>
    </xf>
    <xf numFmtId="4" fontId="10" fillId="8" borderId="14" xfId="0" applyNumberFormat="1" applyFont="1" applyFill="1" applyBorder="1" applyAlignment="1">
      <alignment horizontal="center"/>
    </xf>
    <xf numFmtId="0" fontId="9" fillId="3" borderId="11" xfId="0" applyFont="1" applyFill="1" applyBorder="1" applyAlignment="1">
      <alignment horizontal="center"/>
    </xf>
    <xf numFmtId="0" fontId="38" fillId="0" borderId="5" xfId="0" applyFont="1" applyBorder="1" applyAlignment="1">
      <alignment horizontal="left"/>
    </xf>
    <xf numFmtId="0" fontId="38" fillId="0" borderId="0" xfId="0" applyFont="1" applyAlignment="1">
      <alignment horizontal="left"/>
    </xf>
    <xf numFmtId="0" fontId="38" fillId="0" borderId="5" xfId="0" applyFont="1" applyBorder="1" applyAlignment="1">
      <alignment horizontal="center"/>
    </xf>
    <xf numFmtId="0" fontId="38" fillId="8" borderId="14" xfId="0" applyFont="1" applyFill="1" applyBorder="1" applyAlignment="1">
      <alignment horizontal="center"/>
    </xf>
    <xf numFmtId="0" fontId="71" fillId="10" borderId="1" xfId="1" applyFont="1" applyFill="1" applyBorder="1" applyAlignment="1">
      <alignment horizontal="center"/>
    </xf>
    <xf numFmtId="4" fontId="21" fillId="3" borderId="14" xfId="1" applyNumberFormat="1" applyFont="1" applyFill="1" applyBorder="1" applyAlignment="1">
      <alignment horizontal="center"/>
    </xf>
    <xf numFmtId="4" fontId="72" fillId="10" borderId="1" xfId="1" applyNumberFormat="1" applyFont="1" applyFill="1" applyBorder="1" applyAlignment="1">
      <alignment horizontal="center"/>
    </xf>
    <xf numFmtId="4" fontId="73" fillId="8" borderId="14" xfId="1" quotePrefix="1" applyNumberFormat="1" applyFont="1" applyFill="1" applyBorder="1" applyAlignment="1">
      <alignment horizontal="center"/>
    </xf>
    <xf numFmtId="4" fontId="9" fillId="8" borderId="14" xfId="0" applyNumberFormat="1" applyFont="1" applyFill="1" applyBorder="1" applyAlignment="1">
      <alignment horizontal="center"/>
    </xf>
    <xf numFmtId="4" fontId="62" fillId="8" borderId="14" xfId="0" applyNumberFormat="1" applyFont="1" applyFill="1" applyBorder="1" applyAlignment="1">
      <alignment horizontal="center"/>
    </xf>
    <xf numFmtId="0" fontId="9" fillId="10" borderId="5" xfId="0" applyFont="1" applyFill="1" applyBorder="1"/>
    <xf numFmtId="0" fontId="9" fillId="10" borderId="1" xfId="0" applyFont="1" applyFill="1" applyBorder="1"/>
    <xf numFmtId="0" fontId="9" fillId="4" borderId="5" xfId="0" applyFont="1" applyFill="1" applyBorder="1"/>
    <xf numFmtId="0" fontId="9" fillId="4" borderId="1" xfId="0" applyFont="1" applyFill="1" applyBorder="1"/>
    <xf numFmtId="0" fontId="65" fillId="10" borderId="14" xfId="1" applyFont="1" applyFill="1" applyBorder="1" applyAlignment="1">
      <alignment horizontal="center"/>
    </xf>
    <xf numFmtId="0" fontId="69" fillId="10" borderId="1" xfId="0" applyFont="1" applyFill="1" applyBorder="1"/>
    <xf numFmtId="0" fontId="70" fillId="10" borderId="1" xfId="0" applyFont="1" applyFill="1" applyBorder="1"/>
    <xf numFmtId="0" fontId="68" fillId="10" borderId="1" xfId="0" applyFont="1" applyFill="1" applyBorder="1" applyAlignment="1">
      <alignment horizontal="right"/>
    </xf>
    <xf numFmtId="0" fontId="9" fillId="4" borderId="6" xfId="0" applyFont="1" applyFill="1" applyBorder="1" applyAlignment="1">
      <alignment horizontal="center"/>
    </xf>
    <xf numFmtId="0" fontId="9" fillId="4" borderId="7" xfId="0" applyFont="1" applyFill="1" applyBorder="1" applyAlignment="1">
      <alignment horizontal="center"/>
    </xf>
    <xf numFmtId="0" fontId="9" fillId="10" borderId="6" xfId="0" applyFont="1" applyFill="1" applyBorder="1" applyAlignment="1">
      <alignment horizontal="center"/>
    </xf>
    <xf numFmtId="0" fontId="9" fillId="10" borderId="7" xfId="0" applyFont="1" applyFill="1" applyBorder="1" applyAlignment="1">
      <alignment horizontal="center"/>
    </xf>
    <xf numFmtId="0" fontId="65" fillId="8" borderId="12" xfId="1" applyFont="1" applyFill="1" applyBorder="1" applyAlignment="1">
      <alignment horizontal="center" wrapText="1"/>
    </xf>
    <xf numFmtId="0" fontId="38" fillId="8" borderId="13" xfId="1" applyFont="1" applyFill="1" applyBorder="1" applyAlignment="1">
      <alignment horizontal="center" wrapText="1"/>
    </xf>
    <xf numFmtId="0" fontId="65" fillId="4" borderId="14" xfId="1" applyFont="1" applyFill="1" applyBorder="1" applyAlignment="1">
      <alignment horizontal="center"/>
    </xf>
    <xf numFmtId="0" fontId="71" fillId="4" borderId="1" xfId="1" applyFont="1" applyFill="1" applyBorder="1" applyAlignment="1">
      <alignment horizontal="center"/>
    </xf>
    <xf numFmtId="4" fontId="72" fillId="4" borderId="1" xfId="1" applyNumberFormat="1" applyFont="1" applyFill="1" applyBorder="1" applyAlignment="1">
      <alignment horizontal="center"/>
    </xf>
    <xf numFmtId="0" fontId="9" fillId="4" borderId="14" xfId="0" applyFont="1" applyFill="1" applyBorder="1" applyAlignment="1">
      <alignment horizontal="center" wrapText="1"/>
    </xf>
    <xf numFmtId="0" fontId="71" fillId="9" borderId="0" xfId="1" applyFont="1" applyFill="1" applyAlignment="1">
      <alignment horizontal="center"/>
    </xf>
    <xf numFmtId="4" fontId="72" fillId="9" borderId="0" xfId="1" applyNumberFormat="1" applyFont="1" applyFill="1" applyAlignment="1">
      <alignment horizontal="center"/>
    </xf>
    <xf numFmtId="0" fontId="71" fillId="9" borderId="12" xfId="1" applyFont="1" applyFill="1" applyBorder="1" applyAlignment="1">
      <alignment horizontal="center"/>
    </xf>
    <xf numFmtId="4" fontId="72" fillId="9" borderId="14" xfId="1" applyNumberFormat="1" applyFont="1" applyFill="1" applyBorder="1" applyAlignment="1">
      <alignment horizontal="center"/>
    </xf>
    <xf numFmtId="4" fontId="9" fillId="9" borderId="14" xfId="1" applyNumberFormat="1" applyFont="1" applyFill="1" applyBorder="1" applyAlignment="1">
      <alignment horizontal="center"/>
    </xf>
    <xf numFmtId="4" fontId="10" fillId="10" borderId="1" xfId="1" applyNumberFormat="1" applyFont="1" applyFill="1" applyBorder="1" applyAlignment="1">
      <alignment horizontal="center"/>
    </xf>
    <xf numFmtId="4" fontId="10" fillId="4" borderId="1" xfId="1" applyNumberFormat="1" applyFont="1" applyFill="1" applyBorder="1" applyAlignment="1">
      <alignment horizontal="center"/>
    </xf>
    <xf numFmtId="3" fontId="9" fillId="4" borderId="14" xfId="1" applyNumberFormat="1" applyFont="1" applyFill="1" applyBorder="1" applyAlignment="1">
      <alignment horizontal="center"/>
    </xf>
    <xf numFmtId="4" fontId="9" fillId="8" borderId="14" xfId="1" applyNumberFormat="1" applyFont="1" applyFill="1" applyBorder="1" applyAlignment="1">
      <alignment horizontal="center"/>
    </xf>
    <xf numFmtId="0" fontId="9" fillId="10" borderId="14" xfId="0" applyFont="1" applyFill="1" applyBorder="1" applyAlignment="1">
      <alignment horizontal="center" wrapText="1"/>
    </xf>
    <xf numFmtId="4" fontId="9" fillId="10" borderId="14" xfId="1" applyNumberFormat="1" applyFont="1" applyFill="1" applyBorder="1" applyAlignment="1">
      <alignment horizontal="center"/>
    </xf>
    <xf numFmtId="4" fontId="21" fillId="10" borderId="14" xfId="1" applyNumberFormat="1" applyFont="1" applyFill="1" applyBorder="1" applyAlignment="1">
      <alignment horizontal="center"/>
    </xf>
    <xf numFmtId="4" fontId="21" fillId="4" borderId="14" xfId="1" applyNumberFormat="1" applyFont="1" applyFill="1" applyBorder="1" applyAlignment="1">
      <alignment horizontal="center"/>
    </xf>
    <xf numFmtId="0" fontId="9" fillId="9" borderId="5" xfId="0" applyFont="1" applyFill="1" applyBorder="1" applyAlignment="1">
      <alignment horizontal="center"/>
    </xf>
    <xf numFmtId="3" fontId="9" fillId="9" borderId="0" xfId="1" applyNumberFormat="1" applyFont="1" applyFill="1" applyAlignment="1">
      <alignment horizontal="center"/>
    </xf>
    <xf numFmtId="0" fontId="71" fillId="10" borderId="12" xfId="1" applyFont="1" applyFill="1" applyBorder="1" applyAlignment="1">
      <alignment horizontal="center"/>
    </xf>
    <xf numFmtId="4" fontId="72" fillId="10" borderId="14" xfId="1" applyNumberFormat="1" applyFont="1" applyFill="1" applyBorder="1" applyAlignment="1">
      <alignment horizontal="center"/>
    </xf>
    <xf numFmtId="3" fontId="9" fillId="10" borderId="14" xfId="1" applyNumberFormat="1" applyFont="1" applyFill="1" applyBorder="1" applyAlignment="1">
      <alignment horizontal="center"/>
    </xf>
    <xf numFmtId="3" fontId="9" fillId="10" borderId="13" xfId="1" applyNumberFormat="1" applyFont="1" applyFill="1" applyBorder="1" applyAlignment="1">
      <alignment horizontal="center"/>
    </xf>
    <xf numFmtId="0" fontId="60" fillId="0" borderId="9" xfId="0" applyFont="1" applyBorder="1" applyAlignment="1">
      <alignment horizontal="left" vertical="top" wrapText="1"/>
    </xf>
    <xf numFmtId="165" fontId="60" fillId="0" borderId="0" xfId="0" applyNumberFormat="1" applyFont="1" applyAlignment="1">
      <alignment horizontal="left" wrapText="1"/>
    </xf>
    <xf numFmtId="165" fontId="60" fillId="0" borderId="1" xfId="0" applyNumberFormat="1" applyFont="1" applyBorder="1" applyAlignment="1">
      <alignment horizontal="left" wrapText="1"/>
    </xf>
    <xf numFmtId="0" fontId="38" fillId="9" borderId="12" xfId="0" applyFont="1" applyFill="1" applyBorder="1" applyAlignment="1">
      <alignment horizontal="center" vertical="center"/>
    </xf>
    <xf numFmtId="0" fontId="38" fillId="9" borderId="13" xfId="0" applyFont="1" applyFill="1" applyBorder="1" applyAlignment="1">
      <alignment horizontal="center" vertical="center"/>
    </xf>
    <xf numFmtId="0" fontId="5" fillId="9" borderId="2" xfId="0" applyFont="1" applyFill="1" applyBorder="1" applyAlignment="1">
      <alignment horizontal="center"/>
    </xf>
    <xf numFmtId="0" fontId="5" fillId="9" borderId="3" xfId="0" applyFont="1" applyFill="1" applyBorder="1" applyAlignment="1">
      <alignment horizontal="center"/>
    </xf>
    <xf numFmtId="0" fontId="5" fillId="10" borderId="2" xfId="0" applyFont="1" applyFill="1" applyBorder="1" applyAlignment="1">
      <alignment horizontal="center"/>
    </xf>
    <xf numFmtId="0" fontId="5" fillId="10" borderId="4" xfId="0" applyFont="1" applyFill="1" applyBorder="1" applyAlignment="1">
      <alignment horizontal="center"/>
    </xf>
    <xf numFmtId="0" fontId="5" fillId="4" borderId="2" xfId="0" applyFont="1" applyFill="1" applyBorder="1" applyAlignment="1">
      <alignment horizontal="center"/>
    </xf>
    <xf numFmtId="0" fontId="5" fillId="4" borderId="4" xfId="0" applyFont="1" applyFill="1" applyBorder="1" applyAlignment="1">
      <alignment horizontal="center"/>
    </xf>
    <xf numFmtId="0" fontId="5" fillId="8" borderId="2" xfId="0" applyFont="1" applyFill="1" applyBorder="1" applyAlignment="1">
      <alignment horizontal="center"/>
    </xf>
    <xf numFmtId="0" fontId="5" fillId="8" borderId="3" xfId="0" applyFont="1" applyFill="1" applyBorder="1" applyAlignment="1">
      <alignment horizontal="center"/>
    </xf>
    <xf numFmtId="0" fontId="38" fillId="10" borderId="14" xfId="0" applyFont="1" applyFill="1" applyBorder="1" applyAlignment="1">
      <alignment horizontal="center" vertical="center"/>
    </xf>
    <xf numFmtId="0" fontId="38" fillId="10" borderId="13" xfId="0" applyFont="1" applyFill="1" applyBorder="1" applyAlignment="1">
      <alignment horizontal="center" vertical="center"/>
    </xf>
    <xf numFmtId="0" fontId="38" fillId="4" borderId="14" xfId="0" applyFont="1" applyFill="1" applyBorder="1" applyAlignment="1">
      <alignment horizontal="center" vertical="center"/>
    </xf>
    <xf numFmtId="0" fontId="38" fillId="4" borderId="13" xfId="0" applyFont="1" applyFill="1" applyBorder="1" applyAlignment="1">
      <alignment horizontal="center" vertical="center"/>
    </xf>
    <xf numFmtId="0" fontId="38" fillId="3" borderId="12" xfId="0" applyFont="1" applyFill="1" applyBorder="1" applyAlignment="1">
      <alignment horizontal="center" vertical="center"/>
    </xf>
    <xf numFmtId="0" fontId="38" fillId="3" borderId="13" xfId="0" applyFont="1" applyFill="1" applyBorder="1" applyAlignment="1">
      <alignment horizontal="center" vertical="center"/>
    </xf>
    <xf numFmtId="0" fontId="38" fillId="8" borderId="12" xfId="0" applyFont="1" applyFill="1" applyBorder="1" applyAlignment="1">
      <alignment horizontal="center" vertical="center"/>
    </xf>
    <xf numFmtId="0" fontId="38" fillId="8" borderId="13" xfId="0" applyFont="1" applyFill="1" applyBorder="1" applyAlignment="1">
      <alignment horizontal="center" vertical="center"/>
    </xf>
    <xf numFmtId="0" fontId="38" fillId="0" borderId="12" xfId="0" applyFont="1" applyBorder="1" applyAlignment="1">
      <alignment horizontal="center" vertical="center"/>
    </xf>
    <xf numFmtId="0" fontId="38" fillId="0" borderId="13" xfId="0" applyFont="1" applyBorder="1" applyAlignment="1">
      <alignment horizontal="center" vertic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2" fillId="2" borderId="12" xfId="1" applyFont="1" applyFill="1" applyBorder="1" applyAlignment="1">
      <alignment horizontal="center" vertical="center"/>
    </xf>
    <xf numFmtId="0" fontId="2" fillId="2" borderId="13" xfId="1" applyFont="1" applyFill="1" applyBorder="1" applyAlignment="1">
      <alignment horizontal="center" vertical="center"/>
    </xf>
    <xf numFmtId="0" fontId="6" fillId="0" borderId="0" xfId="0" applyFont="1" applyAlignment="1">
      <alignment horizontal="center"/>
    </xf>
    <xf numFmtId="0" fontId="6" fillId="0" borderId="1" xfId="0" applyFont="1" applyBorder="1" applyAlignment="1">
      <alignment horizontal="center"/>
    </xf>
    <xf numFmtId="0" fontId="2" fillId="3" borderId="0" xfId="0" applyFont="1" applyFill="1" applyAlignment="1">
      <alignment horizontal="left" vertical="top" wrapText="1"/>
    </xf>
    <xf numFmtId="165" fontId="19" fillId="3" borderId="26" xfId="1" applyNumberFormat="1" applyFont="1" applyFill="1" applyBorder="1" applyAlignment="1" applyProtection="1">
      <alignment horizontal="center" vertical="center" wrapText="1"/>
      <protection locked="0"/>
    </xf>
    <xf numFmtId="165" fontId="19" fillId="3" borderId="17" xfId="1" applyNumberFormat="1" applyFont="1" applyFill="1" applyBorder="1" applyAlignment="1" applyProtection="1">
      <alignment horizontal="center" vertical="center" wrapText="1"/>
      <protection locked="0"/>
    </xf>
    <xf numFmtId="0" fontId="17" fillId="4" borderId="15" xfId="0" applyFont="1" applyFill="1" applyBorder="1" applyAlignment="1">
      <alignment horizontal="center" vertical="center"/>
    </xf>
    <xf numFmtId="0" fontId="17" fillId="4" borderId="16" xfId="0" applyFont="1" applyFill="1" applyBorder="1" applyAlignment="1">
      <alignment horizontal="center" vertical="center"/>
    </xf>
    <xf numFmtId="0" fontId="17" fillId="4" borderId="24"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16" xfId="0" applyFont="1" applyFill="1" applyBorder="1" applyAlignment="1">
      <alignment horizontal="center" vertical="center"/>
    </xf>
    <xf numFmtId="164" fontId="29" fillId="5" borderId="20" xfId="3" applyFont="1" applyFill="1" applyBorder="1" applyAlignment="1" applyProtection="1">
      <alignment horizontal="center" vertical="center" wrapText="1"/>
      <protection locked="0"/>
    </xf>
    <xf numFmtId="164" fontId="29" fillId="5" borderId="21" xfId="3" applyFont="1" applyFill="1" applyBorder="1" applyAlignment="1" applyProtection="1">
      <alignment horizontal="center" vertical="center" wrapText="1"/>
      <protection locked="0"/>
    </xf>
    <xf numFmtId="164" fontId="19" fillId="5" borderId="20" xfId="3" applyFont="1" applyFill="1" applyBorder="1" applyAlignment="1" applyProtection="1">
      <alignment horizontal="center" vertical="center" wrapText="1"/>
      <protection locked="0"/>
    </xf>
    <xf numFmtId="164" fontId="19" fillId="5" borderId="21" xfId="3" applyFont="1" applyFill="1" applyBorder="1" applyAlignment="1" applyProtection="1">
      <alignment horizontal="center" vertical="center" wrapText="1"/>
      <protection locked="0"/>
    </xf>
    <xf numFmtId="165" fontId="19" fillId="3" borderId="24" xfId="1" applyNumberFormat="1" applyFont="1" applyFill="1" applyBorder="1" applyAlignment="1" applyProtection="1">
      <alignment horizontal="center" vertical="center"/>
      <protection locked="0"/>
    </xf>
    <xf numFmtId="165" fontId="19" fillId="3" borderId="16" xfId="1" applyNumberFormat="1" applyFont="1" applyFill="1" applyBorder="1" applyAlignment="1" applyProtection="1">
      <alignment horizontal="center" vertical="center"/>
      <protection locked="0"/>
    </xf>
    <xf numFmtId="165" fontId="19" fillId="3" borderId="27" xfId="1" applyNumberFormat="1" applyFont="1" applyFill="1" applyBorder="1" applyAlignment="1" applyProtection="1">
      <alignment horizontal="center" vertical="center" wrapText="1"/>
      <protection locked="0"/>
    </xf>
    <xf numFmtId="165" fontId="19" fillId="3" borderId="18" xfId="1" applyNumberFormat="1" applyFont="1" applyFill="1" applyBorder="1" applyAlignment="1" applyProtection="1">
      <alignment horizontal="center" vertical="center" wrapText="1"/>
      <protection locked="0"/>
    </xf>
    <xf numFmtId="0" fontId="38" fillId="0" borderId="0" xfId="0" applyFont="1" applyAlignment="1">
      <alignment horizontal="left" vertical="top" wrapText="1"/>
    </xf>
    <xf numFmtId="0" fontId="2" fillId="0" borderId="0" xfId="0" applyFont="1" applyAlignment="1">
      <alignment horizontal="left" vertical="top" wrapText="1"/>
    </xf>
    <xf numFmtId="0" fontId="17" fillId="4" borderId="30" xfId="0" applyFont="1" applyFill="1" applyBorder="1" applyAlignment="1">
      <alignment horizontal="center" vertical="center"/>
    </xf>
    <xf numFmtId="0" fontId="17" fillId="4" borderId="31" xfId="0" applyFont="1" applyFill="1" applyBorder="1" applyAlignment="1">
      <alignment horizontal="center" vertical="center"/>
    </xf>
    <xf numFmtId="0" fontId="40" fillId="4" borderId="24" xfId="0" applyFont="1" applyFill="1" applyBorder="1" applyAlignment="1">
      <alignment horizontal="center" vertical="center"/>
    </xf>
    <xf numFmtId="0" fontId="40" fillId="4" borderId="16" xfId="0" applyFont="1" applyFill="1" applyBorder="1" applyAlignment="1">
      <alignment horizontal="center" vertical="center"/>
    </xf>
    <xf numFmtId="0" fontId="24" fillId="3" borderId="24" xfId="0" applyFont="1" applyFill="1" applyBorder="1" applyAlignment="1">
      <alignment horizontal="center" vertical="center" wrapText="1"/>
    </xf>
    <xf numFmtId="0" fontId="24" fillId="3" borderId="16" xfId="0" applyFont="1" applyFill="1" applyBorder="1" applyAlignment="1">
      <alignment horizontal="center" vertical="center" wrapText="1"/>
    </xf>
    <xf numFmtId="164" fontId="42" fillId="5" borderId="20" xfId="3" applyFont="1" applyFill="1" applyBorder="1" applyAlignment="1" applyProtection="1">
      <alignment horizontal="center" vertical="center" wrapText="1"/>
      <protection locked="0"/>
    </xf>
    <xf numFmtId="164" fontId="42" fillId="5" borderId="21" xfId="3" applyFont="1" applyFill="1" applyBorder="1" applyAlignment="1" applyProtection="1">
      <alignment horizontal="center" vertical="center" wrapText="1"/>
      <protection locked="0"/>
    </xf>
    <xf numFmtId="0" fontId="44" fillId="5" borderId="30" xfId="0" applyFont="1" applyFill="1" applyBorder="1" applyAlignment="1">
      <alignment horizontal="center" vertical="center"/>
    </xf>
    <xf numFmtId="0" fontId="44" fillId="5" borderId="31" xfId="0" applyFont="1" applyFill="1" applyBorder="1" applyAlignment="1">
      <alignment horizontal="center" vertical="center"/>
    </xf>
    <xf numFmtId="165" fontId="19" fillId="3" borderId="26" xfId="1" applyNumberFormat="1" applyFont="1" applyFill="1" applyBorder="1" applyAlignment="1" applyProtection="1">
      <alignment horizontal="center" vertical="center"/>
      <protection locked="0"/>
    </xf>
    <xf numFmtId="165" fontId="19" fillId="3" borderId="17" xfId="1" applyNumberFormat="1" applyFont="1" applyFill="1" applyBorder="1" applyAlignment="1" applyProtection="1">
      <alignment horizontal="center" vertical="center"/>
      <protection locked="0"/>
    </xf>
    <xf numFmtId="164" fontId="19" fillId="5" borderId="33" xfId="3" applyFont="1" applyFill="1" applyBorder="1" applyAlignment="1" applyProtection="1">
      <alignment horizontal="center" vertical="center" wrapText="1"/>
      <protection locked="0"/>
    </xf>
    <xf numFmtId="164" fontId="19" fillId="5" borderId="34" xfId="3" applyFont="1" applyFill="1" applyBorder="1" applyAlignment="1" applyProtection="1">
      <alignment horizontal="center" vertical="center" wrapText="1"/>
      <protection locked="0"/>
    </xf>
    <xf numFmtId="0" fontId="43" fillId="4" borderId="24" xfId="0" applyFont="1" applyFill="1" applyBorder="1" applyAlignment="1">
      <alignment horizontal="center" vertical="center" wrapText="1"/>
    </xf>
    <xf numFmtId="0" fontId="43" fillId="4" borderId="16" xfId="0" applyFont="1" applyFill="1" applyBorder="1" applyAlignment="1">
      <alignment horizontal="center" vertical="center" wrapText="1"/>
    </xf>
    <xf numFmtId="0" fontId="0" fillId="0" borderId="24" xfId="0" applyBorder="1" applyAlignment="1">
      <alignment horizontal="center"/>
    </xf>
    <xf numFmtId="0" fontId="0" fillId="0" borderId="16" xfId="0" applyBorder="1" applyAlignment="1">
      <alignment horizontal="center"/>
    </xf>
    <xf numFmtId="0" fontId="11" fillId="0" borderId="0" xfId="0" applyFont="1" applyAlignment="1">
      <alignment horizontal="left" vertical="top" wrapText="1"/>
    </xf>
    <xf numFmtId="165" fontId="50" fillId="3" borderId="26" xfId="5" applyNumberFormat="1" applyFont="1" applyFill="1" applyBorder="1" applyAlignment="1" applyProtection="1">
      <alignment horizontal="left" vertical="center" wrapText="1"/>
      <protection locked="0"/>
    </xf>
    <xf numFmtId="165" fontId="50" fillId="3" borderId="17" xfId="5" applyNumberFormat="1" applyFont="1" applyFill="1" applyBorder="1" applyAlignment="1" applyProtection="1">
      <alignment horizontal="left" vertical="center" wrapText="1"/>
      <protection locked="0"/>
    </xf>
    <xf numFmtId="0" fontId="48" fillId="4" borderId="8" xfId="0" applyFont="1" applyFill="1" applyBorder="1" applyAlignment="1">
      <alignment horizontal="center" vertical="center"/>
    </xf>
    <xf numFmtId="0" fontId="48" fillId="4" borderId="36" xfId="0" applyFont="1" applyFill="1" applyBorder="1" applyAlignment="1">
      <alignment horizontal="center" vertical="center"/>
    </xf>
    <xf numFmtId="0" fontId="48" fillId="6" borderId="37" xfId="0" applyFont="1" applyFill="1" applyBorder="1" applyAlignment="1">
      <alignment horizontal="center" vertical="center"/>
    </xf>
    <xf numFmtId="0" fontId="48" fillId="6" borderId="38" xfId="0" applyFont="1" applyFill="1" applyBorder="1" applyAlignment="1">
      <alignment horizontal="center" vertical="center"/>
    </xf>
    <xf numFmtId="0" fontId="49" fillId="4" borderId="24" xfId="0" applyFont="1" applyFill="1" applyBorder="1" applyAlignment="1">
      <alignment horizontal="center" vertical="center"/>
    </xf>
    <xf numFmtId="0" fontId="49" fillId="4" borderId="16" xfId="0" applyFont="1" applyFill="1" applyBorder="1" applyAlignment="1">
      <alignment horizontal="center" vertical="center"/>
    </xf>
    <xf numFmtId="0" fontId="50" fillId="3" borderId="24" xfId="0" applyFont="1" applyFill="1" applyBorder="1" applyAlignment="1">
      <alignment horizontal="left" vertical="center" wrapText="1"/>
    </xf>
    <xf numFmtId="0" fontId="50" fillId="3" borderId="16" xfId="0" applyFont="1" applyFill="1" applyBorder="1" applyAlignment="1">
      <alignment horizontal="left" vertical="center" wrapText="1"/>
    </xf>
    <xf numFmtId="164" fontId="50" fillId="5" borderId="20" xfId="3" applyFont="1" applyFill="1" applyBorder="1" applyAlignment="1" applyProtection="1">
      <alignment horizontal="center" vertical="center" wrapText="1"/>
      <protection locked="0"/>
    </xf>
    <xf numFmtId="164" fontId="50" fillId="5" borderId="21" xfId="3" applyFont="1" applyFill="1" applyBorder="1" applyAlignment="1" applyProtection="1">
      <alignment horizontal="center" vertical="center" wrapText="1"/>
      <protection locked="0"/>
    </xf>
    <xf numFmtId="164" fontId="52" fillId="5" borderId="32" xfId="3" applyFont="1" applyFill="1" applyBorder="1" applyAlignment="1" applyProtection="1">
      <alignment horizontal="center" vertical="center" wrapText="1"/>
      <protection locked="0"/>
    </xf>
    <xf numFmtId="0" fontId="0" fillId="0" borderId="1" xfId="0" applyFont="1" applyBorder="1"/>
  </cellXfs>
  <cellStyles count="6">
    <cellStyle name="Millares" xfId="3" builtinId="3"/>
    <cellStyle name="Normal" xfId="0" builtinId="0"/>
    <cellStyle name="Normal 2" xfId="2" xr:uid="{00000000-0005-0000-0000-000002000000}"/>
    <cellStyle name="Normal 4" xfId="1" xr:uid="{00000000-0005-0000-0000-000003000000}"/>
    <cellStyle name="Normal 4 2" xfId="5" xr:uid="{00000000-0005-0000-0000-00000400000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E941-C497-4BC7-9FED-C1C799713FB6}">
  <sheetPr>
    <tabColor rgb="FFFFC000"/>
  </sheetPr>
  <dimension ref="A1:G41"/>
  <sheetViews>
    <sheetView topLeftCell="A6" workbookViewId="0">
      <selection activeCell="D13" sqref="D13"/>
    </sheetView>
  </sheetViews>
  <sheetFormatPr baseColWidth="10" defaultRowHeight="15" x14ac:dyDescent="0.25"/>
  <cols>
    <col min="1" max="1" width="2.85546875" customWidth="1"/>
    <col min="2" max="2" width="5.5703125" customWidth="1"/>
    <col min="3" max="3" width="39.7109375" customWidth="1"/>
    <col min="4" max="4" width="24.7109375" customWidth="1"/>
    <col min="5" max="5" width="20.42578125" customWidth="1"/>
    <col min="6" max="6" width="86.85546875" bestFit="1" customWidth="1"/>
    <col min="7" max="7" width="4.7109375" customWidth="1"/>
    <col min="8" max="8" width="24.5703125" customWidth="1"/>
    <col min="10" max="10" width="20" customWidth="1"/>
  </cols>
  <sheetData>
    <row r="1" spans="1:7" x14ac:dyDescent="0.25">
      <c r="A1" s="41"/>
      <c r="B1" s="41"/>
      <c r="C1" s="41"/>
      <c r="D1" s="41"/>
      <c r="E1" s="41"/>
      <c r="F1" s="41"/>
      <c r="G1" s="41"/>
    </row>
    <row r="2" spans="1:7" x14ac:dyDescent="0.25">
      <c r="A2" s="41"/>
      <c r="B2" s="41"/>
      <c r="C2" s="41"/>
      <c r="D2" s="41"/>
      <c r="E2" s="41"/>
      <c r="F2" s="41"/>
      <c r="G2" s="41"/>
    </row>
    <row r="3" spans="1:7" ht="15.75" thickBot="1" x14ac:dyDescent="0.3">
      <c r="A3" s="41"/>
      <c r="B3" s="41"/>
      <c r="C3" s="41"/>
      <c r="D3" s="41"/>
      <c r="E3" s="41"/>
      <c r="F3" s="41"/>
      <c r="G3" s="41"/>
    </row>
    <row r="4" spans="1:7" ht="18.75" x14ac:dyDescent="0.3">
      <c r="A4" s="41"/>
      <c r="B4" s="42"/>
      <c r="C4" s="346" t="s">
        <v>13</v>
      </c>
      <c r="D4" s="346"/>
      <c r="E4" s="346"/>
      <c r="F4" s="347"/>
      <c r="G4" s="41"/>
    </row>
    <row r="5" spans="1:7" ht="18.75" x14ac:dyDescent="0.3">
      <c r="A5" s="41"/>
      <c r="B5" s="43"/>
      <c r="C5" s="348" t="s">
        <v>135</v>
      </c>
      <c r="D5" s="348"/>
      <c r="E5" s="348"/>
      <c r="F5" s="349"/>
      <c r="G5" s="41"/>
    </row>
    <row r="6" spans="1:7" ht="16.5" thickBot="1" x14ac:dyDescent="0.3">
      <c r="A6" s="41"/>
      <c r="B6" s="43"/>
      <c r="C6" s="3"/>
      <c r="D6" s="44"/>
      <c r="E6" s="44"/>
      <c r="F6" s="39"/>
      <c r="G6" s="41"/>
    </row>
    <row r="7" spans="1:7" ht="15.75" x14ac:dyDescent="0.25">
      <c r="A7" s="41"/>
      <c r="B7" s="43"/>
      <c r="C7" s="45"/>
      <c r="D7" s="16" t="s">
        <v>85</v>
      </c>
      <c r="E7" s="350" t="s">
        <v>14</v>
      </c>
      <c r="F7" s="36" t="s">
        <v>10</v>
      </c>
      <c r="G7" s="41"/>
    </row>
    <row r="8" spans="1:7" ht="16.5" thickBot="1" x14ac:dyDescent="0.3">
      <c r="A8" s="41"/>
      <c r="B8" s="43"/>
      <c r="C8" s="44"/>
      <c r="D8" s="18" t="s">
        <v>0</v>
      </c>
      <c r="E8" s="351"/>
      <c r="F8" s="30"/>
      <c r="G8" s="41"/>
    </row>
    <row r="9" spans="1:7" x14ac:dyDescent="0.25">
      <c r="A9" s="41"/>
      <c r="B9" s="53" t="s">
        <v>1</v>
      </c>
      <c r="C9" s="54" t="s">
        <v>2</v>
      </c>
      <c r="D9" s="46"/>
      <c r="E9" s="63"/>
      <c r="F9" s="34"/>
      <c r="G9" s="41"/>
    </row>
    <row r="10" spans="1:7" ht="33.75" customHeight="1" x14ac:dyDescent="0.25">
      <c r="A10" s="41"/>
      <c r="B10" s="55"/>
      <c r="C10" s="56" t="s">
        <v>18</v>
      </c>
      <c r="D10" s="22">
        <v>3000</v>
      </c>
      <c r="E10" s="64">
        <f>+D10*100/D24</f>
        <v>16.059097478721696</v>
      </c>
      <c r="F10" s="32" t="s">
        <v>24</v>
      </c>
      <c r="G10" s="41"/>
    </row>
    <row r="11" spans="1:7" ht="29.25" customHeight="1" x14ac:dyDescent="0.25">
      <c r="A11" s="41"/>
      <c r="B11" s="55"/>
      <c r="C11" s="56" t="s">
        <v>41</v>
      </c>
      <c r="D11" s="22">
        <v>4600</v>
      </c>
      <c r="E11" s="64">
        <f t="shared" ref="E11:E24" si="0">+D11*100/$D$24</f>
        <v>24.623949467373269</v>
      </c>
      <c r="F11" s="32" t="s">
        <v>139</v>
      </c>
      <c r="G11" s="41"/>
    </row>
    <row r="12" spans="1:7" ht="28.5" x14ac:dyDescent="0.25">
      <c r="A12" s="41"/>
      <c r="B12" s="55"/>
      <c r="C12" s="56" t="s">
        <v>41</v>
      </c>
      <c r="D12" s="22">
        <v>4000</v>
      </c>
      <c r="E12" s="64">
        <f t="shared" si="0"/>
        <v>21.412129971628929</v>
      </c>
      <c r="F12" s="33" t="s">
        <v>140</v>
      </c>
      <c r="G12" s="41"/>
    </row>
    <row r="13" spans="1:7" ht="57.75" customHeight="1" x14ac:dyDescent="0.25">
      <c r="A13" s="41"/>
      <c r="B13" s="55"/>
      <c r="C13" s="56" t="s">
        <v>32</v>
      </c>
      <c r="D13" s="22">
        <v>1500</v>
      </c>
      <c r="E13" s="64">
        <f t="shared" si="0"/>
        <v>8.0295487393608482</v>
      </c>
      <c r="F13" s="33"/>
      <c r="G13" s="41"/>
    </row>
    <row r="14" spans="1:7" x14ac:dyDescent="0.25">
      <c r="A14" s="41"/>
      <c r="B14" s="53" t="s">
        <v>3</v>
      </c>
      <c r="C14" s="54" t="s">
        <v>4</v>
      </c>
      <c r="D14" s="24"/>
      <c r="E14" s="64">
        <f t="shared" si="0"/>
        <v>0</v>
      </c>
      <c r="F14" s="34"/>
      <c r="G14" s="41"/>
    </row>
    <row r="15" spans="1:7" ht="32.25" customHeight="1" x14ac:dyDescent="0.25">
      <c r="A15" s="41"/>
      <c r="B15" s="55"/>
      <c r="C15" s="56" t="s">
        <v>60</v>
      </c>
      <c r="D15" s="22">
        <v>891</v>
      </c>
      <c r="E15" s="64">
        <f t="shared" si="0"/>
        <v>4.7695519511803433</v>
      </c>
      <c r="F15" s="32" t="s">
        <v>16</v>
      </c>
      <c r="G15" s="41"/>
    </row>
    <row r="16" spans="1:7" ht="32.25" customHeight="1" x14ac:dyDescent="0.25">
      <c r="A16" s="41"/>
      <c r="B16" s="55"/>
      <c r="C16" s="56" t="s">
        <v>19</v>
      </c>
      <c r="D16" s="22">
        <v>1245</v>
      </c>
      <c r="E16" s="64">
        <f t="shared" si="0"/>
        <v>6.664525453669504</v>
      </c>
      <c r="F16" s="32" t="s">
        <v>25</v>
      </c>
      <c r="G16" s="41"/>
    </row>
    <row r="17" spans="1:7" ht="29.25" customHeight="1" x14ac:dyDescent="0.25">
      <c r="A17" s="41"/>
      <c r="B17" s="55"/>
      <c r="C17" s="56" t="s">
        <v>12</v>
      </c>
      <c r="D17" s="22">
        <v>1300</v>
      </c>
      <c r="E17" s="64">
        <f t="shared" si="0"/>
        <v>6.9589422407794013</v>
      </c>
      <c r="F17" s="32" t="s">
        <v>136</v>
      </c>
      <c r="G17" s="41"/>
    </row>
    <row r="18" spans="1:7" x14ac:dyDescent="0.25">
      <c r="A18" s="41"/>
      <c r="B18" s="55"/>
      <c r="C18" s="56" t="s">
        <v>58</v>
      </c>
      <c r="D18" s="22">
        <v>225</v>
      </c>
      <c r="E18" s="64">
        <f t="shared" si="0"/>
        <v>1.2044323109041273</v>
      </c>
      <c r="F18" s="33" t="s">
        <v>20</v>
      </c>
      <c r="G18" s="41"/>
    </row>
    <row r="19" spans="1:7" ht="30" customHeight="1" x14ac:dyDescent="0.25">
      <c r="A19" s="41"/>
      <c r="B19" s="55"/>
      <c r="C19" s="56" t="s">
        <v>57</v>
      </c>
      <c r="D19" s="22">
        <v>200</v>
      </c>
      <c r="E19" s="64">
        <f t="shared" si="0"/>
        <v>1.0706064985814463</v>
      </c>
      <c r="F19" s="32" t="s">
        <v>21</v>
      </c>
      <c r="G19" s="41"/>
    </row>
    <row r="20" spans="1:7" ht="25.5" customHeight="1" x14ac:dyDescent="0.25">
      <c r="A20" s="41"/>
      <c r="B20" s="55"/>
      <c r="C20" s="56" t="s">
        <v>52</v>
      </c>
      <c r="D20" s="25">
        <v>520</v>
      </c>
      <c r="E20" s="64">
        <f t="shared" si="0"/>
        <v>2.7835768963117604</v>
      </c>
      <c r="F20" s="32" t="s">
        <v>11</v>
      </c>
      <c r="G20" s="41"/>
    </row>
    <row r="21" spans="1:7" ht="25.5" customHeight="1" x14ac:dyDescent="0.25">
      <c r="A21" s="41"/>
      <c r="B21" s="53" t="s">
        <v>5</v>
      </c>
      <c r="C21" s="54" t="s">
        <v>6</v>
      </c>
      <c r="D21" s="27"/>
      <c r="E21" s="64">
        <f t="shared" si="0"/>
        <v>0</v>
      </c>
      <c r="F21" s="34"/>
      <c r="G21" s="41"/>
    </row>
    <row r="22" spans="1:7" x14ac:dyDescent="0.25">
      <c r="A22" s="41"/>
      <c r="B22" s="55"/>
      <c r="C22" s="56" t="s">
        <v>7</v>
      </c>
      <c r="D22" s="22">
        <v>1000</v>
      </c>
      <c r="E22" s="64">
        <f t="shared" si="0"/>
        <v>5.3530324929072322</v>
      </c>
      <c r="F22" s="33" t="s">
        <v>22</v>
      </c>
      <c r="G22" s="41"/>
    </row>
    <row r="23" spans="1:7" ht="15.75" thickBot="1" x14ac:dyDescent="0.3">
      <c r="A23" s="41"/>
      <c r="B23" s="55"/>
      <c r="C23" s="56" t="s">
        <v>56</v>
      </c>
      <c r="D23" s="65">
        <v>200</v>
      </c>
      <c r="E23" s="64">
        <f t="shared" si="0"/>
        <v>1.0706064985814463</v>
      </c>
      <c r="F23" s="34" t="s">
        <v>23</v>
      </c>
      <c r="G23" s="41"/>
    </row>
    <row r="24" spans="1:7" ht="16.5" thickBot="1" x14ac:dyDescent="0.3">
      <c r="A24" s="41"/>
      <c r="B24" s="55"/>
      <c r="C24" s="6" t="s">
        <v>8</v>
      </c>
      <c r="D24" s="28">
        <f>SUM(D9:D23)</f>
        <v>18681</v>
      </c>
      <c r="E24" s="29">
        <f t="shared" si="0"/>
        <v>100</v>
      </c>
      <c r="F24" s="40"/>
      <c r="G24" s="41"/>
    </row>
    <row r="25" spans="1:7" x14ac:dyDescent="0.25">
      <c r="A25" s="41"/>
      <c r="B25" s="43"/>
      <c r="C25" s="44"/>
      <c r="D25" s="47"/>
      <c r="E25" s="47"/>
      <c r="F25" s="39"/>
      <c r="G25" s="41"/>
    </row>
    <row r="26" spans="1:7" ht="21.75" customHeight="1" x14ac:dyDescent="0.25">
      <c r="A26" s="41"/>
      <c r="B26" s="43"/>
      <c r="C26" s="57"/>
      <c r="D26" s="47">
        <v>19181</v>
      </c>
      <c r="E26" s="47"/>
      <c r="F26" s="39"/>
      <c r="G26" s="41"/>
    </row>
    <row r="27" spans="1:7" ht="35.25" customHeight="1" x14ac:dyDescent="0.25">
      <c r="A27" s="41"/>
      <c r="B27" s="43"/>
      <c r="C27" s="174" t="s">
        <v>9</v>
      </c>
      <c r="D27" s="48">
        <f>+D26-D24</f>
        <v>500</v>
      </c>
      <c r="E27" s="48"/>
      <c r="F27" s="49"/>
      <c r="G27" s="41"/>
    </row>
    <row r="28" spans="1:7" ht="26.25" customHeight="1" x14ac:dyDescent="0.25">
      <c r="A28" s="41"/>
      <c r="B28" s="43"/>
      <c r="C28" s="174" t="s">
        <v>34</v>
      </c>
      <c r="D28" s="48"/>
      <c r="E28" s="48"/>
      <c r="F28" s="49"/>
      <c r="G28" s="41"/>
    </row>
    <row r="29" spans="1:7" ht="22.5" customHeight="1" x14ac:dyDescent="0.25">
      <c r="A29" s="41"/>
      <c r="B29" s="43"/>
      <c r="C29" s="174" t="s">
        <v>26</v>
      </c>
      <c r="D29" s="50"/>
      <c r="E29" s="50"/>
      <c r="F29" s="49"/>
      <c r="G29" s="41"/>
    </row>
    <row r="30" spans="1:7" ht="22.5" customHeight="1" x14ac:dyDescent="0.25">
      <c r="A30" s="41"/>
      <c r="B30" s="43"/>
      <c r="C30" s="174" t="s">
        <v>137</v>
      </c>
      <c r="D30" s="50"/>
      <c r="E30" s="50"/>
      <c r="F30" s="49"/>
      <c r="G30" s="41"/>
    </row>
    <row r="31" spans="1:7" ht="15.75" thickBot="1" x14ac:dyDescent="0.3">
      <c r="A31" s="41"/>
      <c r="B31" s="51"/>
      <c r="C31" s="175" t="s">
        <v>138</v>
      </c>
      <c r="D31" s="176"/>
      <c r="E31" s="176"/>
      <c r="F31" s="52"/>
      <c r="G31" s="41"/>
    </row>
    <row r="32" spans="1:7" ht="15" customHeight="1" x14ac:dyDescent="0.25">
      <c r="A32" s="41"/>
      <c r="B32" s="41"/>
      <c r="C32" s="41"/>
      <c r="D32" s="41"/>
      <c r="E32" s="41"/>
      <c r="F32" s="41"/>
      <c r="G32" s="41"/>
    </row>
    <row r="33" spans="1:7" x14ac:dyDescent="0.25">
      <c r="A33" s="41"/>
      <c r="B33" s="41"/>
      <c r="C33" s="41"/>
      <c r="D33" s="41"/>
      <c r="E33" s="41"/>
      <c r="F33" s="41"/>
      <c r="G33" s="41"/>
    </row>
    <row r="34" spans="1:7" x14ac:dyDescent="0.25">
      <c r="A34" s="41"/>
      <c r="B34" s="41"/>
      <c r="C34" s="41"/>
      <c r="D34" s="41"/>
      <c r="E34" s="41"/>
      <c r="F34" s="41"/>
      <c r="G34" s="41"/>
    </row>
    <row r="35" spans="1:7" x14ac:dyDescent="0.25">
      <c r="A35" s="41"/>
      <c r="B35" s="41"/>
      <c r="C35" s="41"/>
      <c r="D35" s="41"/>
      <c r="E35" s="41"/>
      <c r="F35" s="41"/>
      <c r="G35" s="41"/>
    </row>
    <row r="36" spans="1:7" x14ac:dyDescent="0.25">
      <c r="A36" s="41"/>
      <c r="B36" s="41"/>
      <c r="C36" s="41"/>
      <c r="D36" s="41"/>
      <c r="E36" s="41"/>
      <c r="F36" s="41"/>
      <c r="G36" s="41"/>
    </row>
    <row r="37" spans="1:7" x14ac:dyDescent="0.25">
      <c r="A37" s="41"/>
      <c r="B37" s="41"/>
      <c r="C37" s="41"/>
      <c r="D37" s="41"/>
      <c r="E37" s="41"/>
      <c r="F37" s="41"/>
      <c r="G37" s="41"/>
    </row>
    <row r="38" spans="1:7" x14ac:dyDescent="0.25">
      <c r="A38" s="41"/>
      <c r="B38" s="41"/>
      <c r="C38" s="41"/>
      <c r="D38" s="41"/>
      <c r="E38" s="41"/>
      <c r="F38" s="41"/>
      <c r="G38" s="41"/>
    </row>
    <row r="39" spans="1:7" x14ac:dyDescent="0.25">
      <c r="A39" s="41"/>
      <c r="B39" s="41"/>
      <c r="C39" s="41"/>
      <c r="D39" s="41"/>
      <c r="E39" s="41"/>
      <c r="F39" s="41"/>
      <c r="G39" s="41"/>
    </row>
    <row r="40" spans="1:7" x14ac:dyDescent="0.25">
      <c r="A40" s="41"/>
      <c r="B40" s="41"/>
      <c r="C40" s="41"/>
      <c r="D40" s="41"/>
      <c r="E40" s="41"/>
      <c r="F40" s="41"/>
      <c r="G40" s="41"/>
    </row>
    <row r="41" spans="1:7" x14ac:dyDescent="0.25">
      <c r="A41" s="41"/>
      <c r="B41" s="41"/>
      <c r="C41" s="41"/>
      <c r="D41" s="41"/>
      <c r="E41" s="41"/>
      <c r="F41" s="41"/>
      <c r="G41" s="41"/>
    </row>
  </sheetData>
  <mergeCells count="3">
    <mergeCell ref="C4:F4"/>
    <mergeCell ref="C5:F5"/>
    <mergeCell ref="E7: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O52"/>
  <sheetViews>
    <sheetView tabSelected="1" topLeftCell="A20" zoomScale="90" zoomScaleNormal="90" zoomScaleSheetLayoutView="90" workbookViewId="0">
      <selection activeCell="F25" sqref="F25"/>
    </sheetView>
  </sheetViews>
  <sheetFormatPr baseColWidth="10" defaultRowHeight="15" x14ac:dyDescent="0.25"/>
  <cols>
    <col min="1" max="1" width="2.85546875" customWidth="1"/>
    <col min="2" max="2" width="5.5703125" customWidth="1"/>
    <col min="3" max="3" width="73.28515625" customWidth="1"/>
    <col min="4" max="4" width="13" customWidth="1"/>
    <col min="5" max="12" width="20.7109375" customWidth="1"/>
    <col min="13" max="13" width="85.85546875" customWidth="1"/>
    <col min="14" max="14" width="4.7109375" customWidth="1"/>
    <col min="15" max="15" width="24.5703125" customWidth="1"/>
    <col min="17" max="17" width="20" customWidth="1"/>
  </cols>
  <sheetData>
    <row r="1" spans="1:14" x14ac:dyDescent="0.25">
      <c r="A1" s="41"/>
      <c r="B1" s="41"/>
      <c r="C1" s="41"/>
      <c r="D1" s="41"/>
      <c r="E1" s="41"/>
      <c r="F1" s="41"/>
      <c r="G1" s="41"/>
      <c r="H1" s="41"/>
      <c r="I1" s="41"/>
      <c r="J1" s="41"/>
      <c r="K1" s="41"/>
      <c r="L1" s="41"/>
      <c r="M1" s="41"/>
      <c r="N1" s="41"/>
    </row>
    <row r="2" spans="1:14" x14ac:dyDescent="0.25">
      <c r="A2" s="41"/>
      <c r="B2" s="41"/>
      <c r="C2" s="41"/>
      <c r="D2" s="41"/>
      <c r="E2" s="41"/>
      <c r="F2" s="41"/>
      <c r="G2" s="41"/>
      <c r="H2" s="41"/>
      <c r="I2" s="41"/>
      <c r="J2" s="41"/>
      <c r="K2" s="41"/>
      <c r="L2" s="41"/>
      <c r="M2" s="41"/>
      <c r="N2" s="41"/>
    </row>
    <row r="3" spans="1:14" ht="15.75" thickBot="1" x14ac:dyDescent="0.3">
      <c r="A3" s="41"/>
      <c r="B3" s="41"/>
      <c r="C3" s="41"/>
      <c r="D3" s="41"/>
      <c r="E3" s="41"/>
      <c r="F3" s="41"/>
      <c r="G3" s="41"/>
      <c r="H3" s="41"/>
      <c r="I3" s="41"/>
      <c r="J3" s="41"/>
      <c r="K3" s="41"/>
      <c r="L3" s="41"/>
      <c r="M3" s="41"/>
      <c r="N3" s="41"/>
    </row>
    <row r="4" spans="1:14" ht="33" customHeight="1" x14ac:dyDescent="0.3">
      <c r="A4" s="41"/>
      <c r="B4" s="42"/>
      <c r="C4" s="203"/>
      <c r="D4" s="203"/>
      <c r="E4" s="334" t="s">
        <v>151</v>
      </c>
      <c r="F4" s="335"/>
      <c r="G4" s="328" t="s">
        <v>152</v>
      </c>
      <c r="H4" s="329"/>
      <c r="I4" s="330" t="s">
        <v>155</v>
      </c>
      <c r="J4" s="331"/>
      <c r="K4" s="332" t="s">
        <v>156</v>
      </c>
      <c r="L4" s="333"/>
      <c r="M4" s="184"/>
      <c r="N4" s="41"/>
    </row>
    <row r="5" spans="1:14" ht="18.75" x14ac:dyDescent="0.3">
      <c r="A5" s="41"/>
      <c r="B5" s="43"/>
      <c r="C5" s="198"/>
      <c r="D5" s="198"/>
      <c r="E5" s="186"/>
      <c r="F5" s="191"/>
      <c r="G5" s="192"/>
      <c r="H5" s="193"/>
      <c r="I5" s="194"/>
      <c r="J5" s="195"/>
      <c r="K5" s="196"/>
      <c r="L5" s="197"/>
      <c r="M5" s="185"/>
      <c r="N5" s="41"/>
    </row>
    <row r="6" spans="1:14" ht="15.75" x14ac:dyDescent="0.25">
      <c r="A6" s="41"/>
      <c r="B6" s="43"/>
      <c r="C6" s="182"/>
      <c r="D6" s="182"/>
      <c r="E6" s="220" t="s">
        <v>141</v>
      </c>
      <c r="F6" s="221">
        <v>134.16</v>
      </c>
      <c r="G6" s="222" t="s">
        <v>167</v>
      </c>
      <c r="H6" s="223">
        <v>158.80000000000001</v>
      </c>
      <c r="I6" s="224" t="s">
        <v>169</v>
      </c>
      <c r="J6" s="259">
        <v>161.12</v>
      </c>
      <c r="K6" s="225" t="s">
        <v>172</v>
      </c>
      <c r="L6" s="261">
        <v>145.53</v>
      </c>
      <c r="M6" s="183"/>
      <c r="N6" s="41"/>
    </row>
    <row r="7" spans="1:14" ht="15.75" x14ac:dyDescent="0.25">
      <c r="A7" s="41"/>
      <c r="B7" s="43"/>
      <c r="C7" s="182"/>
      <c r="D7" s="182"/>
      <c r="E7" s="220" t="s">
        <v>162</v>
      </c>
      <c r="F7" s="221"/>
      <c r="G7" s="222" t="s">
        <v>168</v>
      </c>
      <c r="H7" s="258">
        <v>16533</v>
      </c>
      <c r="I7" s="224" t="s">
        <v>170</v>
      </c>
      <c r="J7" s="260">
        <v>22062</v>
      </c>
      <c r="K7" s="225" t="s">
        <v>173</v>
      </c>
      <c r="L7" s="262">
        <v>19823.150000000001</v>
      </c>
      <c r="M7" s="183"/>
      <c r="N7" s="41"/>
    </row>
    <row r="8" spans="1:14" ht="15.75" x14ac:dyDescent="0.25">
      <c r="A8" s="41"/>
      <c r="B8" s="43"/>
      <c r="C8" s="198"/>
      <c r="D8" s="198"/>
      <c r="E8" s="226" t="s">
        <v>142</v>
      </c>
      <c r="F8" s="227">
        <v>8259</v>
      </c>
      <c r="G8" s="228" t="s">
        <v>166</v>
      </c>
      <c r="H8" s="268">
        <v>11365</v>
      </c>
      <c r="I8" s="229" t="s">
        <v>171</v>
      </c>
      <c r="J8" s="266">
        <v>13666</v>
      </c>
      <c r="K8" s="230" t="s">
        <v>174</v>
      </c>
      <c r="L8" s="267">
        <v>11773</v>
      </c>
      <c r="M8" s="177"/>
      <c r="N8" s="41"/>
    </row>
    <row r="9" spans="1:14" ht="15.75" x14ac:dyDescent="0.25">
      <c r="A9" s="41"/>
      <c r="B9" s="43"/>
      <c r="C9" s="198"/>
      <c r="D9" s="198"/>
      <c r="E9" s="231" t="s">
        <v>148</v>
      </c>
      <c r="F9" s="232">
        <v>13500</v>
      </c>
      <c r="G9" s="241" t="s">
        <v>148</v>
      </c>
      <c r="H9" s="242">
        <v>14500</v>
      </c>
      <c r="I9" s="245" t="s">
        <v>148</v>
      </c>
      <c r="J9" s="291">
        <v>14500</v>
      </c>
      <c r="K9" s="247" t="s">
        <v>148</v>
      </c>
      <c r="L9" s="249">
        <v>14500</v>
      </c>
      <c r="M9" s="177"/>
      <c r="N9" s="41"/>
    </row>
    <row r="10" spans="1:14" ht="15.75" x14ac:dyDescent="0.25">
      <c r="A10" s="41"/>
      <c r="B10" s="43"/>
      <c r="C10" s="198"/>
      <c r="D10" s="198"/>
      <c r="E10" s="236" t="s">
        <v>149</v>
      </c>
      <c r="F10" s="237">
        <v>500</v>
      </c>
      <c r="G10" s="243" t="s">
        <v>149</v>
      </c>
      <c r="H10" s="244">
        <v>500</v>
      </c>
      <c r="I10" s="246" t="s">
        <v>149</v>
      </c>
      <c r="J10" s="292">
        <v>500</v>
      </c>
      <c r="K10" s="248" t="s">
        <v>149</v>
      </c>
      <c r="L10" s="250">
        <v>500</v>
      </c>
      <c r="M10" s="177"/>
      <c r="N10" s="41"/>
    </row>
    <row r="11" spans="1:14" ht="15.75" x14ac:dyDescent="0.25">
      <c r="A11" s="41"/>
      <c r="B11" s="43"/>
      <c r="C11" s="198"/>
      <c r="D11" s="198"/>
      <c r="E11" s="236" t="s">
        <v>147</v>
      </c>
      <c r="F11" s="237">
        <f>F9/F10+3+2</f>
        <v>32</v>
      </c>
      <c r="G11" s="243" t="s">
        <v>147</v>
      </c>
      <c r="H11" s="244">
        <f>H9/H10+3+2</f>
        <v>34</v>
      </c>
      <c r="I11" s="246" t="s">
        <v>147</v>
      </c>
      <c r="J11" s="292">
        <f>J9/J10+3+2</f>
        <v>34</v>
      </c>
      <c r="K11" s="248" t="s">
        <v>147</v>
      </c>
      <c r="L11" s="250">
        <f>L9/L10+3+2</f>
        <v>34</v>
      </c>
      <c r="M11" s="177"/>
      <c r="N11" s="41"/>
    </row>
    <row r="12" spans="1:14" ht="15.75" x14ac:dyDescent="0.25">
      <c r="A12" s="41"/>
      <c r="B12" s="43"/>
      <c r="C12" s="3"/>
      <c r="D12" s="3"/>
      <c r="E12" s="238" t="s">
        <v>163</v>
      </c>
      <c r="F12" s="264" t="s">
        <v>150</v>
      </c>
      <c r="G12" s="233" t="s">
        <v>163</v>
      </c>
      <c r="H12" s="263" t="s">
        <v>150</v>
      </c>
      <c r="I12" s="234" t="s">
        <v>163</v>
      </c>
      <c r="J12" s="293" t="s">
        <v>150</v>
      </c>
      <c r="K12" s="235" t="s">
        <v>163</v>
      </c>
      <c r="L12" s="265" t="s">
        <v>150</v>
      </c>
      <c r="M12" s="39"/>
      <c r="N12" s="41"/>
    </row>
    <row r="13" spans="1:14" ht="15.75" x14ac:dyDescent="0.25">
      <c r="A13" s="41"/>
      <c r="B13" s="43"/>
      <c r="C13" s="3"/>
      <c r="D13" s="3"/>
      <c r="E13" s="187"/>
      <c r="F13" s="214"/>
      <c r="G13" s="189"/>
      <c r="H13" s="215"/>
      <c r="I13" s="286"/>
      <c r="J13" s="287"/>
      <c r="K13" s="288"/>
      <c r="L13" s="289"/>
      <c r="M13" s="39"/>
      <c r="N13" s="41"/>
    </row>
    <row r="14" spans="1:14" ht="16.5" thickBot="1" x14ac:dyDescent="0.3">
      <c r="A14" s="41"/>
      <c r="B14" s="43"/>
      <c r="C14" s="3" t="s">
        <v>146</v>
      </c>
      <c r="D14" s="3"/>
      <c r="E14" s="201"/>
      <c r="F14" s="202"/>
      <c r="G14" s="271"/>
      <c r="H14" s="200"/>
      <c r="I14" s="296"/>
      <c r="J14" s="297"/>
      <c r="K14" s="294"/>
      <c r="L14" s="295"/>
      <c r="M14" s="39"/>
      <c r="N14" s="41"/>
    </row>
    <row r="15" spans="1:14" x14ac:dyDescent="0.25">
      <c r="A15" s="41"/>
      <c r="B15" s="43"/>
      <c r="C15" s="344" t="s">
        <v>143</v>
      </c>
      <c r="D15" s="340" t="s">
        <v>144</v>
      </c>
      <c r="E15" s="342" t="s">
        <v>145</v>
      </c>
      <c r="F15" s="298" t="s">
        <v>85</v>
      </c>
      <c r="G15" s="326" t="s">
        <v>145</v>
      </c>
      <c r="H15" s="216" t="s">
        <v>87</v>
      </c>
      <c r="I15" s="336" t="s">
        <v>145</v>
      </c>
      <c r="J15" s="290" t="s">
        <v>87</v>
      </c>
      <c r="K15" s="338" t="s">
        <v>145</v>
      </c>
      <c r="L15" s="300" t="s">
        <v>87</v>
      </c>
      <c r="M15" s="36" t="s">
        <v>10</v>
      </c>
      <c r="N15" s="41"/>
    </row>
    <row r="16" spans="1:14" ht="15.75" thickBot="1" x14ac:dyDescent="0.3">
      <c r="A16" s="41"/>
      <c r="B16" s="43"/>
      <c r="C16" s="345"/>
      <c r="D16" s="341"/>
      <c r="E16" s="343"/>
      <c r="F16" s="299" t="s">
        <v>0</v>
      </c>
      <c r="G16" s="327"/>
      <c r="H16" s="217" t="s">
        <v>0</v>
      </c>
      <c r="I16" s="337"/>
      <c r="J16" s="218" t="s">
        <v>0</v>
      </c>
      <c r="K16" s="339"/>
      <c r="L16" s="219" t="s">
        <v>0</v>
      </c>
      <c r="M16" s="30"/>
      <c r="N16" s="41"/>
    </row>
    <row r="17" spans="1:15" ht="15" customHeight="1" x14ac:dyDescent="0.25">
      <c r="A17" s="41"/>
      <c r="B17" s="276" t="s">
        <v>1</v>
      </c>
      <c r="C17" s="277" t="s">
        <v>2</v>
      </c>
      <c r="D17" s="278"/>
      <c r="E17" s="279"/>
      <c r="F17" s="257"/>
      <c r="G17" s="304"/>
      <c r="H17" s="306"/>
      <c r="I17" s="319"/>
      <c r="J17" s="280"/>
      <c r="K17" s="301"/>
      <c r="L17" s="301"/>
      <c r="M17" s="34"/>
      <c r="N17" s="41"/>
    </row>
    <row r="18" spans="1:15" ht="32.25" customHeight="1" x14ac:dyDescent="0.25">
      <c r="A18" s="41"/>
      <c r="B18" s="55"/>
      <c r="C18" s="57" t="s">
        <v>179</v>
      </c>
      <c r="D18" s="281">
        <v>4980</v>
      </c>
      <c r="E18" s="209">
        <v>2</v>
      </c>
      <c r="F18" s="252">
        <f>D18*E18</f>
        <v>9960</v>
      </c>
      <c r="G18" s="317">
        <v>2</v>
      </c>
      <c r="H18" s="253">
        <f>G18*$D$18</f>
        <v>9960</v>
      </c>
      <c r="I18" s="313">
        <v>2</v>
      </c>
      <c r="J18" s="315">
        <f>I18*$D$18</f>
        <v>9960</v>
      </c>
      <c r="K18" s="303">
        <v>2</v>
      </c>
      <c r="L18" s="316">
        <f>K18*$D$18</f>
        <v>9960</v>
      </c>
      <c r="M18" s="32" t="s">
        <v>40</v>
      </c>
      <c r="N18" s="41"/>
      <c r="O18" s="178"/>
    </row>
    <row r="19" spans="1:15" ht="32.25" customHeight="1" x14ac:dyDescent="0.25">
      <c r="A19" s="41"/>
      <c r="B19" s="55"/>
      <c r="C19" s="57" t="s">
        <v>176</v>
      </c>
      <c r="D19" s="281">
        <v>4450</v>
      </c>
      <c r="E19" s="209">
        <v>2</v>
      </c>
      <c r="F19" s="252">
        <f>D19*E19</f>
        <v>8900</v>
      </c>
      <c r="G19" s="317">
        <v>2</v>
      </c>
      <c r="H19" s="253">
        <f>G19*$D$19</f>
        <v>8900</v>
      </c>
      <c r="I19" s="313">
        <v>2</v>
      </c>
      <c r="J19" s="315">
        <f>I19*$D$19</f>
        <v>8900</v>
      </c>
      <c r="K19" s="303">
        <v>2</v>
      </c>
      <c r="L19" s="316">
        <f>K19*$D$19</f>
        <v>8900</v>
      </c>
      <c r="M19" s="32" t="s">
        <v>160</v>
      </c>
      <c r="N19" s="41"/>
      <c r="O19" s="178"/>
    </row>
    <row r="20" spans="1:15" ht="32.25" customHeight="1" x14ac:dyDescent="0.25">
      <c r="A20" s="41"/>
      <c r="B20" s="55"/>
      <c r="C20" s="57" t="s">
        <v>177</v>
      </c>
      <c r="D20" s="281">
        <v>18000</v>
      </c>
      <c r="E20" s="209">
        <v>2</v>
      </c>
      <c r="F20" s="252">
        <f>D20*E20</f>
        <v>36000</v>
      </c>
      <c r="G20" s="317">
        <v>2</v>
      </c>
      <c r="H20" s="253">
        <f>G20*$D$20</f>
        <v>36000</v>
      </c>
      <c r="I20" s="313">
        <v>2</v>
      </c>
      <c r="J20" s="315">
        <f>I20*$D$20</f>
        <v>36000</v>
      </c>
      <c r="K20" s="303">
        <v>2</v>
      </c>
      <c r="L20" s="316">
        <f>K20*$D$20</f>
        <v>36000</v>
      </c>
      <c r="M20" s="32" t="s">
        <v>50</v>
      </c>
      <c r="N20" s="41"/>
      <c r="O20" s="178"/>
    </row>
    <row r="21" spans="1:15" ht="32.25" customHeight="1" x14ac:dyDescent="0.25">
      <c r="A21" s="41"/>
      <c r="B21" s="55"/>
      <c r="C21" s="57" t="s">
        <v>159</v>
      </c>
      <c r="D21" s="212">
        <v>75</v>
      </c>
      <c r="E21" s="190">
        <v>2</v>
      </c>
      <c r="F21" s="312">
        <f>D21*E21</f>
        <v>150</v>
      </c>
      <c r="G21" s="317">
        <v>2</v>
      </c>
      <c r="H21" s="308">
        <f>D21*G21</f>
        <v>150</v>
      </c>
      <c r="I21" s="313">
        <v>2</v>
      </c>
      <c r="J21" s="254">
        <f>D21*I21</f>
        <v>150</v>
      </c>
      <c r="K21" s="303">
        <v>2</v>
      </c>
      <c r="L21" s="256">
        <f>D21*K21</f>
        <v>150</v>
      </c>
      <c r="M21" s="34"/>
      <c r="N21" s="41"/>
    </row>
    <row r="22" spans="1:15" ht="15" customHeight="1" x14ac:dyDescent="0.25">
      <c r="A22" s="41"/>
      <c r="B22" s="276" t="s">
        <v>3</v>
      </c>
      <c r="C22" s="277" t="s">
        <v>4</v>
      </c>
      <c r="D22" s="278"/>
      <c r="E22" s="279"/>
      <c r="F22" s="283"/>
      <c r="G22" s="305"/>
      <c r="H22" s="307"/>
      <c r="I22" s="320"/>
      <c r="J22" s="282"/>
      <c r="K22" s="302"/>
      <c r="L22" s="302"/>
      <c r="M22" s="34"/>
      <c r="N22" s="41"/>
    </row>
    <row r="23" spans="1:15" ht="32.25" customHeight="1" x14ac:dyDescent="0.25">
      <c r="A23" s="41"/>
      <c r="B23" s="55"/>
      <c r="C23" s="57" t="s">
        <v>164</v>
      </c>
      <c r="D23" s="239">
        <v>0.03</v>
      </c>
      <c r="E23" s="190">
        <f>IF(F$12="Peru",$D$23,"")</f>
        <v>0.03</v>
      </c>
      <c r="F23" s="252">
        <f>IF(E23="","",$D$23*F8)</f>
        <v>247.76999999999998</v>
      </c>
      <c r="G23" s="269">
        <f>IF(H$12="Peru",$D$23,"")</f>
        <v>0.03</v>
      </c>
      <c r="H23" s="270">
        <f>IF(G23="","",$D$23*H8)</f>
        <v>340.95</v>
      </c>
      <c r="I23" s="314">
        <f>IF(J$12="Peru",$D$23,"")</f>
        <v>0.03</v>
      </c>
      <c r="J23" s="254">
        <f>IF(I23="","",$D$23*J8)</f>
        <v>409.97999999999996</v>
      </c>
      <c r="K23" s="256">
        <f>IF(L$12="Peru",$D$23,"")</f>
        <v>0.03</v>
      </c>
      <c r="L23" s="256">
        <f>IF(K23="","",$D$23*L8)</f>
        <v>353.19</v>
      </c>
      <c r="M23" s="32" t="s">
        <v>175</v>
      </c>
      <c r="N23" s="41"/>
    </row>
    <row r="24" spans="1:15" ht="32.25" customHeight="1" x14ac:dyDescent="0.25">
      <c r="A24" s="41"/>
      <c r="B24" s="55"/>
      <c r="C24" s="57" t="s">
        <v>165</v>
      </c>
      <c r="D24" s="239">
        <v>0.12</v>
      </c>
      <c r="E24" s="190">
        <f>IF(F$12="Peru",$D$24,"")</f>
        <v>0.12</v>
      </c>
      <c r="F24" s="312">
        <f>IF(E24="","",$D$24*F8)</f>
        <v>991.07999999999993</v>
      </c>
      <c r="G24" s="199">
        <f>IF(H$12="Peru",$D$24,"")</f>
        <v>0.12</v>
      </c>
      <c r="H24" s="270">
        <f>IF(G24="","",$D$24*H8)</f>
        <v>1363.8</v>
      </c>
      <c r="I24" s="314">
        <f>IF(J$12="Peru",$D$24,"")</f>
        <v>0.12</v>
      </c>
      <c r="J24" s="254">
        <f>IF(I24="","",$D$24*J8)</f>
        <v>1639.9199999999998</v>
      </c>
      <c r="K24" s="256">
        <f>IF(L$12="Peru",$D$24,"")</f>
        <v>0.12</v>
      </c>
      <c r="L24" s="256">
        <f>IF(K24="","",$D$24*L8)</f>
        <v>1412.76</v>
      </c>
      <c r="M24" s="32"/>
      <c r="N24" s="41"/>
    </row>
    <row r="25" spans="1:15" ht="32.25" customHeight="1" x14ac:dyDescent="0.25">
      <c r="A25" s="41"/>
      <c r="B25" s="55"/>
      <c r="C25" s="57" t="s">
        <v>58</v>
      </c>
      <c r="D25" s="212">
        <v>225</v>
      </c>
      <c r="E25" s="209">
        <v>2</v>
      </c>
      <c r="F25" s="252">
        <f>D25*E25</f>
        <v>450</v>
      </c>
      <c r="G25" s="318">
        <v>2</v>
      </c>
      <c r="H25" s="308">
        <f>D25*G25</f>
        <v>450</v>
      </c>
      <c r="I25" s="321">
        <v>2</v>
      </c>
      <c r="J25" s="254">
        <f>D25*I25</f>
        <v>450</v>
      </c>
      <c r="K25" s="255">
        <v>2</v>
      </c>
      <c r="L25" s="256">
        <f>D25*K25</f>
        <v>450</v>
      </c>
      <c r="M25" s="33" t="s">
        <v>157</v>
      </c>
      <c r="N25" s="41"/>
    </row>
    <row r="26" spans="1:15" ht="32.25" customHeight="1" x14ac:dyDescent="0.25">
      <c r="A26" s="41"/>
      <c r="B26" s="55"/>
      <c r="C26" s="57" t="s">
        <v>53</v>
      </c>
      <c r="D26" s="213">
        <v>200</v>
      </c>
      <c r="E26" s="190">
        <v>1</v>
      </c>
      <c r="F26" s="284">
        <f>D26*E26</f>
        <v>200</v>
      </c>
      <c r="G26" s="199">
        <v>1</v>
      </c>
      <c r="H26" s="308">
        <f>D26*G26</f>
        <v>200</v>
      </c>
      <c r="I26" s="321">
        <v>1</v>
      </c>
      <c r="J26" s="254">
        <f>D26*I26</f>
        <v>200</v>
      </c>
      <c r="K26" s="255">
        <v>1</v>
      </c>
      <c r="L26" s="256">
        <f>D26*K26</f>
        <v>200</v>
      </c>
      <c r="M26" s="32"/>
      <c r="N26" s="41"/>
    </row>
    <row r="27" spans="1:15" ht="32.25" customHeight="1" x14ac:dyDescent="0.25">
      <c r="A27" s="41"/>
      <c r="B27" s="55"/>
      <c r="C27" s="57" t="s">
        <v>52</v>
      </c>
      <c r="D27" s="213">
        <v>670</v>
      </c>
      <c r="E27" s="190">
        <v>1</v>
      </c>
      <c r="F27" s="284">
        <f>D27*E27</f>
        <v>670</v>
      </c>
      <c r="G27" s="199">
        <v>1</v>
      </c>
      <c r="H27" s="308">
        <f>D27*G27</f>
        <v>670</v>
      </c>
      <c r="I27" s="321">
        <v>1</v>
      </c>
      <c r="J27" s="254">
        <f>D27*I27</f>
        <v>670</v>
      </c>
      <c r="K27" s="255">
        <v>1</v>
      </c>
      <c r="L27" s="256">
        <f>D27*K27</f>
        <v>670</v>
      </c>
      <c r="M27" s="32" t="s">
        <v>17</v>
      </c>
      <c r="N27" s="41"/>
    </row>
    <row r="28" spans="1:15" ht="32.25" customHeight="1" x14ac:dyDescent="0.25">
      <c r="A28" s="41"/>
      <c r="B28" s="55"/>
      <c r="C28" s="57" t="s">
        <v>42</v>
      </c>
      <c r="D28" s="212">
        <v>200</v>
      </c>
      <c r="E28" s="209">
        <v>1</v>
      </c>
      <c r="F28" s="284">
        <f>D28*E28</f>
        <v>200</v>
      </c>
      <c r="G28" s="199">
        <v>1</v>
      </c>
      <c r="H28" s="308">
        <f>D28*G28</f>
        <v>200</v>
      </c>
      <c r="I28" s="321">
        <v>1</v>
      </c>
      <c r="J28" s="254">
        <f>D28*I28</f>
        <v>200</v>
      </c>
      <c r="K28" s="255">
        <v>1</v>
      </c>
      <c r="L28" s="256">
        <f>D28*K28</f>
        <v>200</v>
      </c>
      <c r="M28" s="33" t="s">
        <v>158</v>
      </c>
      <c r="N28" s="41"/>
    </row>
    <row r="29" spans="1:15" ht="32.25" customHeight="1" x14ac:dyDescent="0.25">
      <c r="A29" s="41"/>
      <c r="B29" s="55"/>
      <c r="C29" s="57" t="s">
        <v>161</v>
      </c>
      <c r="D29" s="273">
        <v>40</v>
      </c>
      <c r="E29" s="272">
        <f>F11</f>
        <v>32</v>
      </c>
      <c r="F29" s="252">
        <f>E29*$D$29</f>
        <v>1280</v>
      </c>
      <c r="G29" s="199">
        <f>H11</f>
        <v>34</v>
      </c>
      <c r="H29" s="253">
        <f>G29*$D$29</f>
        <v>1360</v>
      </c>
      <c r="I29" s="321">
        <f>J11</f>
        <v>34</v>
      </c>
      <c r="J29" s="315">
        <f>I29*$D$29</f>
        <v>1360</v>
      </c>
      <c r="K29" s="311">
        <f>L11</f>
        <v>34</v>
      </c>
      <c r="L29" s="316">
        <f>K29*$D$29</f>
        <v>1360</v>
      </c>
      <c r="M29" s="33" t="s">
        <v>55</v>
      </c>
      <c r="N29" s="41"/>
    </row>
    <row r="30" spans="1:15" ht="32.25" customHeight="1" x14ac:dyDescent="0.25">
      <c r="A30" s="41"/>
      <c r="B30" s="55"/>
      <c r="C30" s="57" t="s">
        <v>178</v>
      </c>
      <c r="D30" s="281">
        <v>16000</v>
      </c>
      <c r="E30" s="209"/>
      <c r="F30" s="284"/>
      <c r="G30" s="305"/>
      <c r="H30" s="307"/>
      <c r="I30" s="320"/>
      <c r="J30" s="282"/>
      <c r="K30" s="302"/>
      <c r="L30" s="302"/>
      <c r="M30" s="33" t="s">
        <v>59</v>
      </c>
      <c r="N30" s="41"/>
    </row>
    <row r="31" spans="1:15" ht="15" customHeight="1" x14ac:dyDescent="0.25">
      <c r="A31" s="41"/>
      <c r="B31" s="276" t="s">
        <v>5</v>
      </c>
      <c r="C31" s="277" t="s">
        <v>6</v>
      </c>
      <c r="D31" s="278"/>
      <c r="E31" s="279"/>
      <c r="F31" s="285"/>
      <c r="G31" s="305"/>
      <c r="H31" s="307"/>
      <c r="I31" s="320"/>
      <c r="J31" s="282"/>
      <c r="K31" s="302"/>
      <c r="L31" s="302"/>
      <c r="M31" s="404"/>
      <c r="N31" s="41"/>
    </row>
    <row r="32" spans="1:15" ht="32.25" customHeight="1" x14ac:dyDescent="0.25">
      <c r="A32" s="41"/>
      <c r="B32" s="55"/>
      <c r="C32" s="57" t="s">
        <v>7</v>
      </c>
      <c r="D32" s="212">
        <v>1400</v>
      </c>
      <c r="E32" s="209">
        <v>1</v>
      </c>
      <c r="F32" s="252">
        <f>D32*E32</f>
        <v>1400</v>
      </c>
      <c r="G32" s="251">
        <v>1</v>
      </c>
      <c r="H32" s="308">
        <f>D32*G32</f>
        <v>1400</v>
      </c>
      <c r="I32" s="321">
        <v>1</v>
      </c>
      <c r="J32" s="254">
        <f>D32*I32</f>
        <v>1400</v>
      </c>
      <c r="K32" s="255">
        <v>1</v>
      </c>
      <c r="L32" s="256">
        <f>D32*K32</f>
        <v>1400</v>
      </c>
      <c r="M32" s="211" t="s">
        <v>33</v>
      </c>
      <c r="N32" s="41"/>
    </row>
    <row r="33" spans="1:14" ht="32.25" customHeight="1" x14ac:dyDescent="0.25">
      <c r="A33" s="41"/>
      <c r="B33" s="55"/>
      <c r="C33" s="57" t="s">
        <v>154</v>
      </c>
      <c r="D33" s="212">
        <v>200</v>
      </c>
      <c r="E33" s="209">
        <v>1</v>
      </c>
      <c r="F33" s="284">
        <f>D33*E33</f>
        <v>200</v>
      </c>
      <c r="G33" s="251">
        <v>1</v>
      </c>
      <c r="H33" s="308">
        <f>D33*G33</f>
        <v>200</v>
      </c>
      <c r="I33" s="321">
        <v>1</v>
      </c>
      <c r="J33" s="254">
        <f>D33*I33</f>
        <v>200</v>
      </c>
      <c r="K33" s="255">
        <v>1</v>
      </c>
      <c r="L33" s="256">
        <f>D33*K33</f>
        <v>200</v>
      </c>
      <c r="M33" s="38" t="s">
        <v>61</v>
      </c>
      <c r="N33" s="41"/>
    </row>
    <row r="34" spans="1:14" ht="32.25" customHeight="1" x14ac:dyDescent="0.25">
      <c r="A34" s="41"/>
      <c r="B34" s="55"/>
      <c r="C34" s="57" t="s">
        <v>153</v>
      </c>
      <c r="D34" s="240">
        <v>250</v>
      </c>
      <c r="E34" s="190">
        <v>1</v>
      </c>
      <c r="F34" s="252">
        <f t="shared" ref="F34" si="0">D34*E34</f>
        <v>250</v>
      </c>
      <c r="G34" s="251">
        <v>1</v>
      </c>
      <c r="H34" s="253">
        <f>D34*G34</f>
        <v>250</v>
      </c>
      <c r="I34" s="321">
        <v>1</v>
      </c>
      <c r="J34" s="254">
        <f>D34*I34</f>
        <v>250</v>
      </c>
      <c r="K34" s="255">
        <v>1</v>
      </c>
      <c r="L34" s="256">
        <f>D34*K34</f>
        <v>250</v>
      </c>
      <c r="M34" s="38" t="s">
        <v>61</v>
      </c>
      <c r="N34" s="41"/>
    </row>
    <row r="35" spans="1:14" ht="32.25" customHeight="1" thickBot="1" x14ac:dyDescent="0.3">
      <c r="A35" s="41"/>
      <c r="B35" s="55"/>
      <c r="C35" s="57"/>
      <c r="D35" s="208"/>
      <c r="E35" s="207"/>
      <c r="F35" s="274"/>
      <c r="G35" s="199"/>
      <c r="H35" s="308"/>
      <c r="I35" s="322"/>
      <c r="J35" s="309"/>
      <c r="K35" s="256"/>
      <c r="L35" s="310"/>
      <c r="M35" s="35"/>
      <c r="N35" s="41"/>
    </row>
    <row r="36" spans="1:14" ht="16.5" thickBot="1" x14ac:dyDescent="0.3">
      <c r="A36" s="41"/>
      <c r="B36" s="55"/>
      <c r="C36" s="6" t="s">
        <v>8</v>
      </c>
      <c r="D36" s="6"/>
      <c r="E36" s="210"/>
      <c r="F36" s="188">
        <f>SUM(F18:F35)</f>
        <v>60898.85</v>
      </c>
      <c r="G36" s="188"/>
      <c r="H36" s="188">
        <f>SUM(H18:H34)</f>
        <v>61444.75</v>
      </c>
      <c r="I36" s="188"/>
      <c r="J36" s="188">
        <f>SUM(J18:J34)</f>
        <v>61789.9</v>
      </c>
      <c r="K36" s="188"/>
      <c r="L36" s="188">
        <f>SUM(L18:L34)</f>
        <v>61505.950000000004</v>
      </c>
      <c r="M36" s="275"/>
      <c r="N36" s="41"/>
    </row>
    <row r="37" spans="1:14" x14ac:dyDescent="0.25">
      <c r="A37" s="41"/>
      <c r="B37" s="43"/>
      <c r="C37" s="44"/>
      <c r="D37" s="44"/>
      <c r="E37" s="44"/>
      <c r="F37" s="47"/>
      <c r="G37" s="47"/>
      <c r="H37" s="47"/>
      <c r="I37" s="47"/>
      <c r="J37" s="47"/>
      <c r="K37" s="47"/>
      <c r="L37" s="47"/>
      <c r="M37" s="39"/>
      <c r="N37" s="41"/>
    </row>
    <row r="38" spans="1:14" ht="21.75" customHeight="1" x14ac:dyDescent="0.25">
      <c r="A38" s="41"/>
      <c r="B38" s="43"/>
      <c r="C38" s="204"/>
      <c r="D38" s="204"/>
      <c r="E38" s="204"/>
      <c r="F38" s="205"/>
      <c r="G38" s="205"/>
      <c r="H38" s="205"/>
      <c r="I38" s="205"/>
      <c r="J38" s="205"/>
      <c r="K38" s="205"/>
      <c r="L38" s="205"/>
      <c r="M38" s="179"/>
      <c r="N38" s="41"/>
    </row>
    <row r="39" spans="1:14" ht="35.25" customHeight="1" x14ac:dyDescent="0.25">
      <c r="A39" s="41"/>
      <c r="B39" s="43"/>
      <c r="C39" s="206" t="s">
        <v>9</v>
      </c>
      <c r="D39" s="206"/>
      <c r="E39" s="206"/>
      <c r="F39" s="324" t="s">
        <v>54</v>
      </c>
      <c r="G39" s="324"/>
      <c r="H39" s="324"/>
      <c r="I39" s="324"/>
      <c r="J39" s="324"/>
      <c r="K39" s="324"/>
      <c r="L39" s="324"/>
      <c r="M39" s="325"/>
      <c r="N39" s="41"/>
    </row>
    <row r="40" spans="1:14" ht="26.25" customHeight="1" x14ac:dyDescent="0.25">
      <c r="A40" s="41"/>
      <c r="B40" s="43"/>
      <c r="C40" s="206" t="s">
        <v>43</v>
      </c>
      <c r="D40" s="206"/>
      <c r="E40" s="206"/>
      <c r="F40" s="324"/>
      <c r="G40" s="324"/>
      <c r="H40" s="324"/>
      <c r="I40" s="324"/>
      <c r="J40" s="324"/>
      <c r="K40" s="324"/>
      <c r="L40" s="324"/>
      <c r="M40" s="325"/>
      <c r="N40" s="41"/>
    </row>
    <row r="41" spans="1:14" ht="51" customHeight="1" x14ac:dyDescent="0.25">
      <c r="A41" s="41"/>
      <c r="B41" s="43"/>
      <c r="C41" s="206" t="s">
        <v>26</v>
      </c>
      <c r="D41" s="206"/>
      <c r="E41" s="206"/>
      <c r="F41" s="324"/>
      <c r="G41" s="324"/>
      <c r="H41" s="324"/>
      <c r="I41" s="324"/>
      <c r="J41" s="324"/>
      <c r="K41" s="324"/>
      <c r="L41" s="324"/>
      <c r="M41" s="325"/>
      <c r="N41" s="41"/>
    </row>
    <row r="42" spans="1:14" ht="21.75" customHeight="1" thickBot="1" x14ac:dyDescent="0.3">
      <c r="A42" s="41"/>
      <c r="B42" s="51"/>
      <c r="C42" s="323" t="s">
        <v>51</v>
      </c>
      <c r="D42" s="323"/>
      <c r="E42" s="323"/>
      <c r="F42" s="323"/>
      <c r="G42" s="180"/>
      <c r="H42" s="180"/>
      <c r="I42" s="180"/>
      <c r="J42" s="180"/>
      <c r="K42" s="180"/>
      <c r="L42" s="180"/>
      <c r="M42" s="181"/>
      <c r="N42" s="41"/>
    </row>
    <row r="43" spans="1:14" ht="15" customHeight="1" x14ac:dyDescent="0.25">
      <c r="A43" s="41"/>
      <c r="B43" s="41"/>
      <c r="C43" s="102"/>
      <c r="D43" s="102"/>
      <c r="E43" s="102"/>
      <c r="F43" s="102"/>
      <c r="G43" s="102"/>
      <c r="H43" s="102"/>
      <c r="I43" s="102"/>
      <c r="J43" s="102"/>
      <c r="K43" s="102"/>
      <c r="L43" s="102"/>
      <c r="M43" s="102"/>
      <c r="N43" s="41"/>
    </row>
    <row r="44" spans="1:14" x14ac:dyDescent="0.25">
      <c r="A44" s="41"/>
      <c r="B44" s="41"/>
      <c r="C44" s="41"/>
      <c r="D44" s="41"/>
      <c r="E44" s="41"/>
      <c r="F44" s="41"/>
      <c r="G44" s="41"/>
      <c r="H44" s="41"/>
      <c r="I44" s="41"/>
      <c r="J44" s="41"/>
      <c r="K44" s="41"/>
      <c r="L44" s="41"/>
      <c r="M44" s="41"/>
      <c r="N44" s="41"/>
    </row>
    <row r="45" spans="1:14" x14ac:dyDescent="0.25">
      <c r="A45" s="41"/>
      <c r="B45" s="41"/>
      <c r="C45" s="41"/>
      <c r="D45" s="41"/>
      <c r="E45" s="41"/>
      <c r="F45" s="41"/>
      <c r="G45" s="41"/>
      <c r="H45" s="41"/>
      <c r="I45" s="41"/>
      <c r="J45" s="41"/>
      <c r="K45" s="41"/>
      <c r="L45" s="41"/>
      <c r="M45" s="41"/>
      <c r="N45" s="41"/>
    </row>
    <row r="46" spans="1:14" x14ac:dyDescent="0.25">
      <c r="A46" s="41"/>
      <c r="B46" s="41"/>
      <c r="C46" s="41"/>
      <c r="D46" s="41"/>
      <c r="E46" s="41"/>
      <c r="F46" s="41"/>
      <c r="G46" s="41"/>
      <c r="H46" s="41"/>
      <c r="I46" s="41"/>
      <c r="J46" s="41"/>
      <c r="K46" s="41"/>
      <c r="L46" s="41"/>
      <c r="M46" s="41"/>
      <c r="N46" s="41"/>
    </row>
    <row r="47" spans="1:14" x14ac:dyDescent="0.25">
      <c r="A47" s="41"/>
      <c r="B47" s="41"/>
      <c r="C47" s="41"/>
      <c r="D47" s="41"/>
      <c r="E47" s="41"/>
      <c r="F47" s="41"/>
      <c r="G47" s="41"/>
      <c r="H47" s="41"/>
      <c r="I47" s="41"/>
      <c r="J47" s="41"/>
      <c r="K47" s="41"/>
      <c r="L47" s="41"/>
      <c r="M47" s="41"/>
      <c r="N47" s="41"/>
    </row>
    <row r="48" spans="1:14" x14ac:dyDescent="0.25">
      <c r="A48" s="41"/>
      <c r="B48" s="41"/>
      <c r="C48" s="41"/>
      <c r="D48" s="41"/>
      <c r="E48" s="41"/>
      <c r="F48" s="41"/>
      <c r="G48" s="41"/>
      <c r="H48" s="41"/>
      <c r="I48" s="41"/>
      <c r="J48" s="41"/>
      <c r="K48" s="41"/>
      <c r="L48" s="41"/>
      <c r="M48" s="41"/>
      <c r="N48" s="41"/>
    </row>
    <row r="49" spans="1:14" x14ac:dyDescent="0.25">
      <c r="A49" s="41"/>
      <c r="B49" s="41"/>
      <c r="C49" s="41"/>
      <c r="D49" s="41"/>
      <c r="E49" s="41"/>
      <c r="F49" s="41"/>
      <c r="G49" s="41"/>
      <c r="H49" s="41"/>
      <c r="I49" s="41"/>
      <c r="J49" s="41"/>
      <c r="K49" s="41"/>
      <c r="L49" s="41"/>
      <c r="M49" s="41"/>
      <c r="N49" s="41"/>
    </row>
    <row r="50" spans="1:14" x14ac:dyDescent="0.25">
      <c r="A50" s="41"/>
      <c r="B50" s="41"/>
      <c r="C50" s="41"/>
      <c r="D50" s="41"/>
      <c r="E50" s="41"/>
      <c r="F50" s="41"/>
      <c r="G50" s="41"/>
      <c r="H50" s="41"/>
      <c r="I50" s="41"/>
      <c r="J50" s="41"/>
      <c r="K50" s="41"/>
      <c r="L50" s="41"/>
      <c r="M50" s="41"/>
      <c r="N50" s="41"/>
    </row>
    <row r="51" spans="1:14" x14ac:dyDescent="0.25">
      <c r="A51" s="41"/>
      <c r="B51" s="41"/>
      <c r="C51" s="41"/>
      <c r="D51" s="41"/>
      <c r="E51" s="41"/>
      <c r="F51" s="41"/>
      <c r="G51" s="41"/>
      <c r="H51" s="41"/>
      <c r="I51" s="41"/>
      <c r="J51" s="41"/>
      <c r="K51" s="41"/>
      <c r="L51" s="41"/>
      <c r="M51" s="41"/>
      <c r="N51" s="41"/>
    </row>
    <row r="52" spans="1:14" x14ac:dyDescent="0.25">
      <c r="A52" s="41"/>
      <c r="B52" s="41"/>
      <c r="C52" s="41"/>
      <c r="D52" s="41"/>
      <c r="E52" s="41"/>
      <c r="F52" s="41"/>
      <c r="G52" s="41"/>
      <c r="H52" s="41"/>
      <c r="I52" s="41"/>
      <c r="J52" s="41"/>
      <c r="K52" s="41"/>
      <c r="L52" s="41"/>
      <c r="M52" s="41"/>
      <c r="N52" s="41"/>
    </row>
  </sheetData>
  <mergeCells count="12">
    <mergeCell ref="C42:F42"/>
    <mergeCell ref="F39:M41"/>
    <mergeCell ref="G15:G16"/>
    <mergeCell ref="G4:H4"/>
    <mergeCell ref="I4:J4"/>
    <mergeCell ref="K4:L4"/>
    <mergeCell ref="E4:F4"/>
    <mergeCell ref="I15:I16"/>
    <mergeCell ref="K15:K16"/>
    <mergeCell ref="D15:D16"/>
    <mergeCell ref="E15:E16"/>
    <mergeCell ref="C15:C16"/>
  </mergeCells>
  <pageMargins left="0.7" right="0.7" top="0.75" bottom="0.75" header="0.3" footer="0.3"/>
  <pageSetup scale="2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I37"/>
  <sheetViews>
    <sheetView view="pageBreakPreview" zoomScale="90" zoomScaleNormal="100" zoomScaleSheetLayoutView="90" workbookViewId="0">
      <selection activeCell="G11" sqref="G11"/>
    </sheetView>
  </sheetViews>
  <sheetFormatPr baseColWidth="10" defaultRowHeight="15" x14ac:dyDescent="0.25"/>
  <cols>
    <col min="1" max="1" width="8.28515625" customWidth="1"/>
    <col min="2" max="2" width="30.5703125" customWidth="1"/>
    <col min="3" max="3" width="27.140625" customWidth="1"/>
    <col min="4" max="5" width="26.5703125" customWidth="1"/>
    <col min="6" max="6" width="24.5703125" customWidth="1"/>
    <col min="7" max="7" width="23.42578125" customWidth="1"/>
    <col min="8" max="8" width="19.140625" bestFit="1" customWidth="1"/>
    <col min="9" max="9" width="11.5703125" customWidth="1"/>
  </cols>
  <sheetData>
    <row r="1" spans="1:9" x14ac:dyDescent="0.25">
      <c r="A1" s="60"/>
      <c r="B1" s="60"/>
      <c r="C1" s="60"/>
      <c r="D1" s="60"/>
      <c r="E1" s="60"/>
      <c r="F1" s="60"/>
      <c r="G1" s="60"/>
      <c r="H1" s="60"/>
      <c r="I1" s="60"/>
    </row>
    <row r="2" spans="1:9" ht="26.25" x14ac:dyDescent="0.4">
      <c r="A2" s="60"/>
      <c r="B2" s="62" t="s">
        <v>130</v>
      </c>
      <c r="C2" s="59"/>
      <c r="D2" s="59"/>
      <c r="E2" s="59"/>
      <c r="F2" s="59"/>
      <c r="G2" s="59"/>
      <c r="H2" s="59"/>
      <c r="I2" s="60"/>
    </row>
    <row r="3" spans="1:9" ht="21.75" thickBot="1" x14ac:dyDescent="0.4">
      <c r="A3" s="60"/>
      <c r="B3" s="61"/>
      <c r="C3" s="59"/>
      <c r="D3" s="59"/>
      <c r="E3" s="59"/>
      <c r="F3" s="59"/>
      <c r="G3" s="59"/>
      <c r="H3" s="59"/>
      <c r="I3" s="60"/>
    </row>
    <row r="4" spans="1:9" ht="46.5" x14ac:dyDescent="0.25">
      <c r="A4" s="60"/>
      <c r="B4" s="357" t="s">
        <v>70</v>
      </c>
      <c r="C4" s="358"/>
      <c r="D4" s="66" t="s">
        <v>15</v>
      </c>
      <c r="E4" s="66" t="s">
        <v>133</v>
      </c>
      <c r="F4" s="66" t="s">
        <v>31</v>
      </c>
      <c r="G4" s="66" t="s">
        <v>39</v>
      </c>
      <c r="H4" s="67" t="s">
        <v>38</v>
      </c>
      <c r="I4" s="60"/>
    </row>
    <row r="5" spans="1:9" ht="52.5" customHeight="1" x14ac:dyDescent="0.25">
      <c r="A5" s="60"/>
      <c r="B5" s="359" t="s">
        <v>72</v>
      </c>
      <c r="C5" s="358"/>
      <c r="D5" s="96" t="s">
        <v>76</v>
      </c>
      <c r="E5" s="96" t="s">
        <v>134</v>
      </c>
      <c r="F5" s="96" t="s">
        <v>76</v>
      </c>
      <c r="G5" s="96" t="s">
        <v>76</v>
      </c>
      <c r="H5" s="97" t="s">
        <v>76</v>
      </c>
      <c r="I5" s="60"/>
    </row>
    <row r="6" spans="1:9" ht="23.25" x14ac:dyDescent="0.25">
      <c r="A6" s="60"/>
      <c r="B6" s="360" t="s">
        <v>46</v>
      </c>
      <c r="C6" s="361"/>
      <c r="D6" s="88" t="s">
        <v>44</v>
      </c>
      <c r="E6" s="88" t="s">
        <v>44</v>
      </c>
      <c r="F6" s="88" t="s">
        <v>44</v>
      </c>
      <c r="G6" s="88" t="s">
        <v>44</v>
      </c>
      <c r="H6" s="90" t="s">
        <v>44</v>
      </c>
      <c r="I6" s="60"/>
    </row>
    <row r="7" spans="1:9" ht="23.25" x14ac:dyDescent="0.25">
      <c r="A7" s="60"/>
      <c r="B7" s="355" t="s">
        <v>73</v>
      </c>
      <c r="C7" s="356"/>
      <c r="D7" s="69" t="e">
        <f>+#REF!+#REF!+#REF!+#REF!+#REF!+#REF!+#REF!+#REF!+#REF!</f>
        <v>#REF!</v>
      </c>
      <c r="E7" s="69">
        <f>+'ilo patio puerto'!D13+'ilo patio puerto'!D15+'ilo patio puerto'!D17+'ilo patio puerto'!D18+'ilo patio puerto'!D19+'ilo patio puerto'!D20+'ilo patio puerto'!D22+'ilo patio puerto'!D23</f>
        <v>5836</v>
      </c>
      <c r="F7" s="70" t="e">
        <f>+#REF!+#REF!+#REF!+#REF!+#REF!+#REF!+#REF!+#REF!</f>
        <v>#REF!</v>
      </c>
      <c r="G7" s="71">
        <f>+MARCONA!F23+MARCONA!F25+MARCONA!F26+MARCONA!F27+MARCONA!F28+MARCONA!F32+MARCONA!F33</f>
        <v>3367.77</v>
      </c>
      <c r="H7" s="72" t="e">
        <f>+#REF!+#REF!+#REF!+#REF!+#REF!+#REF!+#REF!</f>
        <v>#REF!</v>
      </c>
      <c r="I7" s="60"/>
    </row>
    <row r="8" spans="1:9" ht="23.25" x14ac:dyDescent="0.25">
      <c r="A8" s="60"/>
      <c r="B8" s="355" t="s">
        <v>47</v>
      </c>
      <c r="C8" s="356"/>
      <c r="D8" s="73">
        <v>3000</v>
      </c>
      <c r="E8" s="73">
        <f>+'ilo patio puerto'!D10</f>
        <v>3000</v>
      </c>
      <c r="F8" s="71"/>
      <c r="G8" s="71"/>
      <c r="H8" s="72"/>
      <c r="I8" s="60"/>
    </row>
    <row r="9" spans="1:9" ht="23.25" x14ac:dyDescent="0.25">
      <c r="A9" s="60"/>
      <c r="B9" s="355" t="s">
        <v>74</v>
      </c>
      <c r="C9" s="356"/>
      <c r="D9" s="73" t="e">
        <f>+#REF!</f>
        <v>#REF!</v>
      </c>
      <c r="E9" s="73">
        <f>+'ilo patio puerto'!D12</f>
        <v>4000</v>
      </c>
      <c r="F9" s="74"/>
      <c r="G9" s="75"/>
      <c r="H9" s="72" t="e">
        <f>+#REF!</f>
        <v>#REF!</v>
      </c>
      <c r="I9" s="60"/>
    </row>
    <row r="10" spans="1:9" ht="23.25" x14ac:dyDescent="0.25">
      <c r="A10" s="60"/>
      <c r="B10" s="355" t="s">
        <v>48</v>
      </c>
      <c r="C10" s="356"/>
      <c r="D10" s="69" t="e">
        <f>+#REF!</f>
        <v>#REF!</v>
      </c>
      <c r="E10" s="69">
        <f>+'ilo patio puerto'!D11</f>
        <v>4600</v>
      </c>
      <c r="F10" s="74" t="e">
        <f>+#REF!+#REF!+#REF!</f>
        <v>#REF!</v>
      </c>
      <c r="G10" s="70">
        <f>+MARCONA!F20</f>
        <v>36000</v>
      </c>
      <c r="H10" s="72"/>
      <c r="I10" s="60"/>
    </row>
    <row r="11" spans="1:9" ht="23.25" x14ac:dyDescent="0.25">
      <c r="A11" s="60"/>
      <c r="B11" s="366" t="s">
        <v>62</v>
      </c>
      <c r="C11" s="367"/>
      <c r="D11" s="73" t="e">
        <f>+#REF!</f>
        <v>#REF!</v>
      </c>
      <c r="E11" s="73">
        <f>+'ilo patio puerto'!D16</f>
        <v>1245</v>
      </c>
      <c r="F11" s="71" t="e">
        <f>+#REF!</f>
        <v>#REF!</v>
      </c>
      <c r="G11" s="71"/>
      <c r="H11" s="72" t="e">
        <f>+#REF!</f>
        <v>#REF!</v>
      </c>
      <c r="I11" s="60"/>
    </row>
    <row r="12" spans="1:9" ht="24" thickBot="1" x14ac:dyDescent="0.3">
      <c r="A12" s="60"/>
      <c r="B12" s="368"/>
      <c r="C12" s="369"/>
      <c r="D12" s="76"/>
      <c r="E12" s="76"/>
      <c r="F12" s="77"/>
      <c r="G12" s="77"/>
      <c r="H12" s="78"/>
      <c r="I12" s="60"/>
    </row>
    <row r="13" spans="1:9" ht="24" thickBot="1" x14ac:dyDescent="0.4">
      <c r="A13" s="60"/>
      <c r="B13" s="364" t="s">
        <v>45</v>
      </c>
      <c r="C13" s="365"/>
      <c r="D13" s="79" t="e">
        <f>SUM(D7:D11)</f>
        <v>#REF!</v>
      </c>
      <c r="E13" s="79">
        <f>SUM(E7:E11)</f>
        <v>18681</v>
      </c>
      <c r="F13" s="79" t="e">
        <f>SUM(F7:F11)</f>
        <v>#REF!</v>
      </c>
      <c r="G13" s="79">
        <f>SUM(G7:G11)</f>
        <v>39367.769999999997</v>
      </c>
      <c r="H13" s="80" t="e">
        <f>SUM(H7:H11)</f>
        <v>#REF!</v>
      </c>
      <c r="I13" s="60"/>
    </row>
    <row r="14" spans="1:9" x14ac:dyDescent="0.25">
      <c r="A14" s="60"/>
      <c r="B14" s="60"/>
      <c r="C14" s="60"/>
      <c r="D14" s="109"/>
      <c r="E14" s="109"/>
      <c r="F14" s="109"/>
      <c r="G14" s="109"/>
      <c r="H14" s="109"/>
      <c r="I14" s="60"/>
    </row>
    <row r="15" spans="1:9" ht="15.75" thickBot="1" x14ac:dyDescent="0.3">
      <c r="A15" s="60"/>
      <c r="B15" s="60"/>
      <c r="C15" s="60"/>
      <c r="D15" s="109"/>
      <c r="E15" s="109"/>
      <c r="F15" s="109"/>
      <c r="G15" s="109"/>
      <c r="H15" s="109"/>
      <c r="I15" s="60"/>
    </row>
    <row r="16" spans="1:9" s="83" customFormat="1" ht="27" thickBot="1" x14ac:dyDescent="0.45">
      <c r="A16" s="108"/>
      <c r="B16" s="362" t="s">
        <v>71</v>
      </c>
      <c r="C16" s="363"/>
      <c r="D16" s="82" t="e">
        <f>+D13</f>
        <v>#REF!</v>
      </c>
      <c r="E16" s="82">
        <f>+E13</f>
        <v>18681</v>
      </c>
      <c r="F16" s="82" t="e">
        <f>+F13-F11</f>
        <v>#REF!</v>
      </c>
      <c r="G16" s="82">
        <f>+G13-G11</f>
        <v>39367.769999999997</v>
      </c>
      <c r="H16" s="82" t="e">
        <f>+H13</f>
        <v>#REF!</v>
      </c>
      <c r="I16" s="108"/>
    </row>
    <row r="17" spans="1:9" x14ac:dyDescent="0.25">
      <c r="A17" s="60"/>
      <c r="B17" s="60"/>
      <c r="C17" s="60"/>
      <c r="D17" s="60"/>
      <c r="E17" s="60"/>
      <c r="F17" s="60"/>
      <c r="G17" s="60"/>
      <c r="H17" s="60"/>
      <c r="I17" s="60"/>
    </row>
    <row r="18" spans="1:9" x14ac:dyDescent="0.25">
      <c r="A18" s="60"/>
      <c r="B18" s="60"/>
      <c r="C18" s="60"/>
      <c r="D18" s="60"/>
      <c r="E18" s="60"/>
      <c r="F18" s="60"/>
      <c r="G18" s="60"/>
      <c r="H18" s="60"/>
      <c r="I18" s="60"/>
    </row>
    <row r="19" spans="1:9" x14ac:dyDescent="0.25">
      <c r="A19" s="60"/>
      <c r="B19" s="60"/>
      <c r="C19" s="60"/>
      <c r="D19" s="60"/>
      <c r="E19" s="60"/>
      <c r="F19" s="60"/>
      <c r="G19" s="60"/>
      <c r="H19" s="60"/>
      <c r="I19" s="60"/>
    </row>
    <row r="20" spans="1:9" ht="42.75" customHeight="1" x14ac:dyDescent="0.25">
      <c r="A20" s="60"/>
      <c r="B20" s="354" t="s">
        <v>132</v>
      </c>
      <c r="C20" s="354"/>
      <c r="D20" s="354"/>
      <c r="E20" s="354"/>
      <c r="F20" s="354"/>
      <c r="G20" s="354"/>
      <c r="H20" s="354"/>
      <c r="I20" s="60"/>
    </row>
    <row r="21" spans="1:9" ht="15.75" x14ac:dyDescent="0.25">
      <c r="A21" s="60"/>
      <c r="B21" s="111"/>
      <c r="C21" s="111"/>
      <c r="D21" s="111"/>
      <c r="E21" s="111"/>
      <c r="F21" s="111"/>
      <c r="G21" s="111"/>
      <c r="H21" s="111"/>
      <c r="I21" s="60"/>
    </row>
    <row r="22" spans="1:9" ht="15.75" x14ac:dyDescent="0.25">
      <c r="A22" s="60"/>
      <c r="B22" s="112" t="s">
        <v>80</v>
      </c>
      <c r="C22" s="111"/>
      <c r="D22" s="111"/>
      <c r="E22" s="111"/>
      <c r="F22" s="111"/>
      <c r="G22" s="111"/>
      <c r="H22" s="111"/>
      <c r="I22" s="60"/>
    </row>
    <row r="23" spans="1:9" ht="15.75" x14ac:dyDescent="0.25">
      <c r="A23" s="60"/>
      <c r="B23" s="113" t="s">
        <v>81</v>
      </c>
      <c r="C23" s="111"/>
      <c r="D23" s="111"/>
      <c r="E23" s="111"/>
      <c r="F23" s="111"/>
      <c r="G23" s="111"/>
      <c r="H23" s="111"/>
      <c r="I23" s="60"/>
    </row>
    <row r="24" spans="1:9" ht="15.75" x14ac:dyDescent="0.25">
      <c r="A24" s="60"/>
      <c r="B24" s="354" t="s">
        <v>82</v>
      </c>
      <c r="C24" s="354"/>
      <c r="D24" s="111"/>
      <c r="E24" s="111"/>
      <c r="F24" s="111"/>
      <c r="G24" s="111"/>
      <c r="H24" s="111"/>
      <c r="I24" s="60"/>
    </row>
    <row r="25" spans="1:9" ht="15" customHeight="1" x14ac:dyDescent="0.25">
      <c r="A25" s="60"/>
      <c r="B25" s="354" t="s">
        <v>88</v>
      </c>
      <c r="C25" s="354"/>
      <c r="D25" s="354"/>
      <c r="E25" s="354"/>
      <c r="F25" s="354"/>
      <c r="G25" s="354"/>
      <c r="H25" s="354"/>
      <c r="I25" s="60"/>
    </row>
    <row r="26" spans="1:9" ht="15" customHeight="1" x14ac:dyDescent="0.25">
      <c r="A26" s="60"/>
      <c r="B26" s="110"/>
      <c r="C26" s="110"/>
      <c r="D26" s="110"/>
      <c r="E26" s="110"/>
      <c r="F26" s="110"/>
      <c r="G26" s="110"/>
      <c r="H26" s="110"/>
      <c r="I26" s="60"/>
    </row>
    <row r="27" spans="1:9" ht="9.75" customHeight="1" x14ac:dyDescent="0.25">
      <c r="A27" s="60"/>
      <c r="B27" s="110"/>
      <c r="C27" s="110"/>
      <c r="D27" s="110"/>
      <c r="E27" s="110"/>
      <c r="F27" s="110"/>
      <c r="G27" s="110"/>
      <c r="H27" s="110"/>
      <c r="I27" s="60"/>
    </row>
    <row r="28" spans="1:9" hidden="1" x14ac:dyDescent="0.25">
      <c r="A28" s="60"/>
      <c r="B28" s="114"/>
      <c r="C28" s="114"/>
      <c r="D28" s="114"/>
      <c r="E28" s="114"/>
      <c r="F28" s="114"/>
      <c r="G28" s="114"/>
      <c r="H28" s="114"/>
      <c r="I28" s="60"/>
    </row>
    <row r="29" spans="1:9" x14ac:dyDescent="0.25">
      <c r="A29" s="60"/>
      <c r="B29" s="115" t="s">
        <v>125</v>
      </c>
      <c r="C29" s="114"/>
      <c r="D29" s="114"/>
      <c r="E29" s="114"/>
      <c r="F29" s="114"/>
      <c r="G29" s="114"/>
      <c r="H29" s="114"/>
      <c r="I29" s="60"/>
    </row>
    <row r="30" spans="1:9" x14ac:dyDescent="0.25">
      <c r="A30" s="60"/>
      <c r="B30" s="173">
        <f ca="1">+TODAY()</f>
        <v>46211</v>
      </c>
      <c r="C30" s="60"/>
      <c r="D30" s="60"/>
      <c r="E30" s="60"/>
      <c r="F30" s="60"/>
      <c r="G30" s="60"/>
      <c r="H30" s="60"/>
      <c r="I30" s="60"/>
    </row>
    <row r="31" spans="1:9" x14ac:dyDescent="0.25">
      <c r="A31" s="60"/>
      <c r="B31" s="60"/>
      <c r="C31" s="60"/>
      <c r="D31" s="60"/>
      <c r="E31" s="60"/>
      <c r="F31" s="60"/>
      <c r="G31" s="60"/>
      <c r="H31" s="60"/>
      <c r="I31" s="60"/>
    </row>
    <row r="35" ht="23.25" customHeight="1" x14ac:dyDescent="0.25"/>
    <row r="37" ht="23.25" customHeight="1" x14ac:dyDescent="0.25"/>
  </sheetData>
  <mergeCells count="14">
    <mergeCell ref="B25:H25"/>
    <mergeCell ref="B9:C9"/>
    <mergeCell ref="B4:C4"/>
    <mergeCell ref="B5:C5"/>
    <mergeCell ref="B6:C6"/>
    <mergeCell ref="B7:C7"/>
    <mergeCell ref="B8:C8"/>
    <mergeCell ref="B20:H20"/>
    <mergeCell ref="B16:C16"/>
    <mergeCell ref="B24:C24"/>
    <mergeCell ref="B10:C10"/>
    <mergeCell ref="B13:C13"/>
    <mergeCell ref="B11:C11"/>
    <mergeCell ref="B12:C12"/>
  </mergeCells>
  <pageMargins left="0.70866141732283472" right="0.70866141732283472" top="0.74803149606299213" bottom="0.74803149606299213" header="0.31496062992125984" footer="0.31496062992125984"/>
  <pageSetup scale="61"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I26"/>
  <sheetViews>
    <sheetView view="pageBreakPreview" topLeftCell="A5" zoomScale="90" zoomScaleNormal="100" zoomScaleSheetLayoutView="90" workbookViewId="0">
      <selection activeCell="B11" sqref="B11:C11"/>
    </sheetView>
  </sheetViews>
  <sheetFormatPr baseColWidth="10" defaultRowHeight="15" x14ac:dyDescent="0.25"/>
  <cols>
    <col min="1" max="1" width="8.42578125" customWidth="1"/>
    <col min="3" max="3" width="75" customWidth="1"/>
    <col min="4" max="4" width="22.28515625" customWidth="1"/>
    <col min="5" max="6" width="24.28515625" customWidth="1"/>
    <col min="7" max="7" width="31.42578125" customWidth="1"/>
    <col min="9" max="9" width="6.85546875" customWidth="1"/>
  </cols>
  <sheetData>
    <row r="1" spans="1:9" x14ac:dyDescent="0.25">
      <c r="A1" s="60"/>
      <c r="B1" s="60"/>
      <c r="C1" s="60"/>
      <c r="D1" s="60"/>
      <c r="E1" s="60"/>
      <c r="F1" s="60"/>
      <c r="G1" s="60"/>
      <c r="H1" s="60"/>
      <c r="I1" s="60"/>
    </row>
    <row r="2" spans="1:9" ht="26.25" x14ac:dyDescent="0.4">
      <c r="A2" s="60"/>
      <c r="B2" s="62" t="s">
        <v>131</v>
      </c>
      <c r="C2" s="59"/>
      <c r="D2" s="59"/>
      <c r="E2" s="59"/>
      <c r="F2" s="59"/>
      <c r="G2" s="60"/>
      <c r="H2" s="60"/>
      <c r="I2" s="60"/>
    </row>
    <row r="3" spans="1:9" x14ac:dyDescent="0.25">
      <c r="A3" s="60"/>
      <c r="B3" s="60"/>
      <c r="C3" s="60"/>
      <c r="D3" s="60"/>
      <c r="E3" s="60"/>
      <c r="F3" s="60"/>
      <c r="G3" s="60"/>
      <c r="H3" s="60"/>
      <c r="I3" s="60"/>
    </row>
    <row r="4" spans="1:9" x14ac:dyDescent="0.25">
      <c r="A4" s="60"/>
      <c r="B4" s="60"/>
      <c r="C4" s="60"/>
      <c r="D4" s="60"/>
      <c r="E4" s="60"/>
      <c r="F4" s="60"/>
      <c r="G4" s="60"/>
      <c r="H4" s="60"/>
      <c r="I4" s="60"/>
    </row>
    <row r="5" spans="1:9" ht="15.75" thickBot="1" x14ac:dyDescent="0.3">
      <c r="A5" s="60"/>
      <c r="B5" s="60"/>
      <c r="C5" s="60"/>
      <c r="D5" s="60"/>
      <c r="E5" s="60"/>
      <c r="F5" s="60"/>
      <c r="G5" s="60"/>
      <c r="H5" s="60"/>
      <c r="I5" s="60"/>
    </row>
    <row r="6" spans="1:9" ht="46.5" x14ac:dyDescent="0.25">
      <c r="B6" s="372" t="s">
        <v>70</v>
      </c>
      <c r="C6" s="373"/>
      <c r="D6" s="66" t="s">
        <v>49</v>
      </c>
      <c r="E6" s="66" t="s">
        <v>63</v>
      </c>
      <c r="F6" s="67" t="s">
        <v>126</v>
      </c>
      <c r="G6" s="164" t="s">
        <v>30</v>
      </c>
    </row>
    <row r="7" spans="1:9" ht="23.25" x14ac:dyDescent="0.25">
      <c r="B7" s="359" t="s">
        <v>69</v>
      </c>
      <c r="C7" s="358"/>
      <c r="D7" s="87"/>
      <c r="E7" s="87"/>
      <c r="F7" s="89"/>
      <c r="G7" s="165"/>
    </row>
    <row r="8" spans="1:9" ht="23.25" x14ac:dyDescent="0.25">
      <c r="B8" s="374" t="s">
        <v>46</v>
      </c>
      <c r="C8" s="375"/>
      <c r="D8" s="88" t="s">
        <v>44</v>
      </c>
      <c r="E8" s="88" t="s">
        <v>44</v>
      </c>
      <c r="F8" s="90" t="s">
        <v>44</v>
      </c>
      <c r="G8" s="166" t="s">
        <v>44</v>
      </c>
    </row>
    <row r="9" spans="1:9" ht="46.5" customHeight="1" x14ac:dyDescent="0.25">
      <c r="B9" s="376" t="s">
        <v>68</v>
      </c>
      <c r="C9" s="377"/>
      <c r="D9" s="84">
        <f>42850-17000-10400</f>
        <v>15450</v>
      </c>
      <c r="E9" s="84" t="e">
        <f>+#REF!-#REF!-#REF!</f>
        <v>#REF!</v>
      </c>
      <c r="F9" s="91" t="e">
        <f>+#REF!-#REF!-#REF!</f>
        <v>#REF!</v>
      </c>
      <c r="G9" s="167" t="e">
        <f>+#REF!+#REF!+#REF!+#REF!+#REF!+#REF!+#REF!+#REF!+#REF!+#REF!+#REF!</f>
        <v>#REF!</v>
      </c>
    </row>
    <row r="10" spans="1:9" ht="36.75" customHeight="1" x14ac:dyDescent="0.25">
      <c r="B10" s="355" t="s">
        <v>67</v>
      </c>
      <c r="C10" s="356"/>
      <c r="D10" s="84" t="e">
        <f>+#REF!</f>
        <v>#REF!</v>
      </c>
      <c r="E10" s="84" t="e">
        <f>+#REF!</f>
        <v>#REF!</v>
      </c>
      <c r="F10" s="91" t="e">
        <f>+#REF!</f>
        <v>#REF!</v>
      </c>
      <c r="G10" s="168" t="e">
        <f>+#REF!</f>
        <v>#REF!</v>
      </c>
    </row>
    <row r="11" spans="1:9" ht="36" customHeight="1" x14ac:dyDescent="0.25">
      <c r="B11" s="355" t="s">
        <v>65</v>
      </c>
      <c r="C11" s="356"/>
      <c r="D11" s="84" t="e">
        <f>+#REF!</f>
        <v>#REF!</v>
      </c>
      <c r="E11" s="84"/>
      <c r="F11" s="91"/>
      <c r="G11" s="167" t="e">
        <f>+#REF!</f>
        <v>#REF!</v>
      </c>
    </row>
    <row r="12" spans="1:9" ht="39.75" customHeight="1" thickBot="1" x14ac:dyDescent="0.3">
      <c r="B12" s="355" t="s">
        <v>66</v>
      </c>
      <c r="C12" s="356"/>
      <c r="D12" s="85" t="e">
        <f>+#REF!</f>
        <v>#REF!</v>
      </c>
      <c r="E12" s="85" t="e">
        <f>+#REF!</f>
        <v>#REF!</v>
      </c>
      <c r="F12" s="93" t="e">
        <f>+#REF!</f>
        <v>#REF!</v>
      </c>
      <c r="G12" s="169" t="e">
        <f>+#REF!</f>
        <v>#REF!</v>
      </c>
    </row>
    <row r="13" spans="1:9" ht="24" thickBot="1" x14ac:dyDescent="0.4">
      <c r="B13" s="364" t="s">
        <v>75</v>
      </c>
      <c r="C13" s="365"/>
      <c r="D13" s="86" t="e">
        <f>SUM(D9:D12)</f>
        <v>#REF!</v>
      </c>
      <c r="E13" s="86" t="e">
        <f>SUM(E9:E12)</f>
        <v>#REF!</v>
      </c>
      <c r="F13" s="95" t="e">
        <f>SUM(F9:F12)</f>
        <v>#REF!</v>
      </c>
      <c r="G13" s="170" t="e">
        <f>SUM(G9:G12)</f>
        <v>#REF!</v>
      </c>
    </row>
    <row r="14" spans="1:9" x14ac:dyDescent="0.25">
      <c r="B14" s="2"/>
      <c r="D14" s="81"/>
      <c r="E14" s="81"/>
      <c r="F14" s="94"/>
      <c r="G14" s="94"/>
    </row>
    <row r="15" spans="1:9" ht="15.75" thickBot="1" x14ac:dyDescent="0.3">
      <c r="B15" s="2"/>
      <c r="D15" s="81"/>
      <c r="E15" s="81"/>
      <c r="F15" s="94"/>
      <c r="G15" s="94"/>
    </row>
    <row r="16" spans="1:9" s="68" customFormat="1" ht="24" thickBot="1" x14ac:dyDescent="0.4">
      <c r="B16" s="378" t="s">
        <v>90</v>
      </c>
      <c r="C16" s="379"/>
      <c r="D16" s="86" t="e">
        <f>+D13-D10</f>
        <v>#REF!</v>
      </c>
      <c r="E16" s="86" t="e">
        <f t="shared" ref="E16" si="0">+E13-E10</f>
        <v>#REF!</v>
      </c>
      <c r="F16" s="95" t="e">
        <f>+F13-F10</f>
        <v>#REF!</v>
      </c>
      <c r="G16" s="171" t="e">
        <f>+G13-G10-G11</f>
        <v>#REF!</v>
      </c>
    </row>
    <row r="17" spans="2:8" x14ac:dyDescent="0.25">
      <c r="D17" s="81"/>
      <c r="E17" s="81"/>
      <c r="F17" s="81"/>
      <c r="G17" s="81"/>
    </row>
    <row r="20" spans="2:8" ht="15" customHeight="1" x14ac:dyDescent="0.25">
      <c r="B20" s="371" t="s">
        <v>83</v>
      </c>
      <c r="C20" s="371"/>
      <c r="D20" s="371"/>
      <c r="E20" s="371"/>
      <c r="F20" s="371"/>
      <c r="G20" s="371"/>
      <c r="H20" s="371"/>
    </row>
    <row r="21" spans="2:8" x14ac:dyDescent="0.25">
      <c r="B21" s="106"/>
      <c r="C21" s="106"/>
      <c r="D21" s="106"/>
      <c r="E21" s="106"/>
      <c r="F21" s="106"/>
      <c r="G21" s="106"/>
      <c r="H21" s="106"/>
    </row>
    <row r="22" spans="2:8" x14ac:dyDescent="0.25">
      <c r="B22" s="104" t="s">
        <v>79</v>
      </c>
      <c r="C22" s="105"/>
      <c r="D22" s="105"/>
      <c r="E22" s="105"/>
      <c r="F22" s="105"/>
      <c r="G22" s="105"/>
      <c r="H22" s="105"/>
    </row>
    <row r="23" spans="2:8" ht="36" customHeight="1" x14ac:dyDescent="0.25">
      <c r="B23" s="370" t="s">
        <v>84</v>
      </c>
      <c r="C23" s="370"/>
      <c r="D23" s="370"/>
      <c r="E23" s="370"/>
      <c r="F23" s="370"/>
      <c r="G23" s="370"/>
      <c r="H23" s="105"/>
    </row>
    <row r="24" spans="2:8" x14ac:dyDescent="0.25">
      <c r="B24" s="103"/>
      <c r="C24" s="103"/>
      <c r="D24" s="103"/>
      <c r="E24" s="103"/>
      <c r="F24" s="103"/>
      <c r="G24" s="103"/>
      <c r="H24" s="103"/>
    </row>
    <row r="25" spans="2:8" x14ac:dyDescent="0.25">
      <c r="B25" s="4" t="str">
        <f>+'RESUMEN PERU'!B29</f>
        <v>H/P Naviera Petral / Sandra Galvez</v>
      </c>
      <c r="C25" s="103"/>
      <c r="D25" s="103"/>
      <c r="E25" s="103"/>
      <c r="F25" s="103"/>
      <c r="G25" s="103"/>
      <c r="H25" s="103"/>
    </row>
    <row r="26" spans="2:8" x14ac:dyDescent="0.25">
      <c r="B26" s="172">
        <f ca="1">+TODAY()</f>
        <v>46211</v>
      </c>
    </row>
  </sheetData>
  <mergeCells count="11">
    <mergeCell ref="B23:G23"/>
    <mergeCell ref="B20:H20"/>
    <mergeCell ref="B6:C6"/>
    <mergeCell ref="B7:C7"/>
    <mergeCell ref="B8:C8"/>
    <mergeCell ref="B9:C9"/>
    <mergeCell ref="B16:C16"/>
    <mergeCell ref="B13:C13"/>
    <mergeCell ref="B11:C11"/>
    <mergeCell ref="B10:C10"/>
    <mergeCell ref="B12:C12"/>
  </mergeCells>
  <pageMargins left="0.70866141732283472" right="0.70866141732283472" top="0.74803149606299213" bottom="0.74803149606299213" header="0.31496062992125984" footer="0.31496062992125984"/>
  <pageSetup scale="58"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R22"/>
  <sheetViews>
    <sheetView view="pageBreakPreview" topLeftCell="C1" zoomScale="90" zoomScaleNormal="100" zoomScaleSheetLayoutView="90" workbookViewId="0">
      <selection activeCell="F22" sqref="F22"/>
    </sheetView>
  </sheetViews>
  <sheetFormatPr baseColWidth="10" defaultRowHeight="15" x14ac:dyDescent="0.25"/>
  <cols>
    <col min="3" max="3" width="100" customWidth="1"/>
    <col min="4" max="4" width="21.85546875" customWidth="1"/>
    <col min="5" max="5" width="19.28515625" customWidth="1"/>
    <col min="6" max="6" width="23.5703125" customWidth="1"/>
  </cols>
  <sheetData>
    <row r="1" spans="2:18" ht="15.75" thickBot="1" x14ac:dyDescent="0.3"/>
    <row r="2" spans="2:18" ht="33.75" x14ac:dyDescent="0.35">
      <c r="B2" s="380" t="s">
        <v>69</v>
      </c>
      <c r="C2" s="381"/>
      <c r="D2" s="124" t="s">
        <v>104</v>
      </c>
      <c r="E2" s="124">
        <v>2024</v>
      </c>
      <c r="F2" s="125" t="s">
        <v>110</v>
      </c>
    </row>
    <row r="3" spans="2:18" ht="33.75" x14ac:dyDescent="0.25">
      <c r="B3" s="386" t="s">
        <v>103</v>
      </c>
      <c r="C3" s="387"/>
      <c r="D3" s="122" t="s">
        <v>44</v>
      </c>
      <c r="E3" s="122" t="s">
        <v>44</v>
      </c>
      <c r="F3" s="123" t="s">
        <v>44</v>
      </c>
      <c r="H3" s="116" t="s">
        <v>91</v>
      </c>
      <c r="L3">
        <v>1480</v>
      </c>
      <c r="M3">
        <f>+L3-1800</f>
        <v>-320</v>
      </c>
      <c r="P3">
        <v>34</v>
      </c>
      <c r="R3">
        <f>+P3*320</f>
        <v>10880</v>
      </c>
    </row>
    <row r="4" spans="2:18" x14ac:dyDescent="0.25">
      <c r="B4" s="388"/>
      <c r="C4" s="389"/>
      <c r="D4" s="120"/>
      <c r="E4" s="120"/>
      <c r="F4" s="121"/>
      <c r="H4" s="116"/>
    </row>
    <row r="5" spans="2:18" ht="23.25" customHeight="1" x14ac:dyDescent="0.25">
      <c r="B5" s="382" t="s">
        <v>105</v>
      </c>
      <c r="C5" s="383"/>
      <c r="D5" s="84">
        <v>1480</v>
      </c>
      <c r="E5" s="84">
        <v>1800</v>
      </c>
      <c r="F5" s="92">
        <f>+E5-D5</f>
        <v>320</v>
      </c>
      <c r="H5" s="116" t="s">
        <v>92</v>
      </c>
    </row>
    <row r="6" spans="2:18" ht="23.25" customHeight="1" x14ac:dyDescent="0.25">
      <c r="B6" s="355" t="s">
        <v>109</v>
      </c>
      <c r="C6" s="356"/>
      <c r="D6" s="84">
        <v>340</v>
      </c>
      <c r="E6" s="84">
        <v>340</v>
      </c>
      <c r="F6" s="92">
        <f t="shared" ref="F6:F9" si="0">+E6-D6</f>
        <v>0</v>
      </c>
      <c r="H6" s="116" t="s">
        <v>93</v>
      </c>
    </row>
    <row r="7" spans="2:18" ht="23.25" customHeight="1" x14ac:dyDescent="0.25">
      <c r="B7" s="355" t="s">
        <v>108</v>
      </c>
      <c r="C7" s="356"/>
      <c r="D7" s="84">
        <v>150</v>
      </c>
      <c r="E7" s="84">
        <v>150</v>
      </c>
      <c r="F7" s="92">
        <f t="shared" si="0"/>
        <v>0</v>
      </c>
      <c r="H7" s="116"/>
    </row>
    <row r="8" spans="2:18" ht="47.25" customHeight="1" x14ac:dyDescent="0.25">
      <c r="B8" s="382" t="s">
        <v>106</v>
      </c>
      <c r="C8" s="383"/>
      <c r="D8" s="84">
        <v>510</v>
      </c>
      <c r="E8" s="84">
        <v>510</v>
      </c>
      <c r="F8" s="92">
        <f t="shared" si="0"/>
        <v>0</v>
      </c>
      <c r="H8" s="116" t="s">
        <v>94</v>
      </c>
    </row>
    <row r="9" spans="2:18" ht="47.25" customHeight="1" x14ac:dyDescent="0.25">
      <c r="B9" s="382" t="s">
        <v>107</v>
      </c>
      <c r="C9" s="383"/>
      <c r="D9" s="84">
        <v>220</v>
      </c>
      <c r="E9" s="84">
        <v>220</v>
      </c>
      <c r="F9" s="92">
        <f t="shared" si="0"/>
        <v>0</v>
      </c>
      <c r="H9" s="116"/>
    </row>
    <row r="10" spans="2:18" ht="24" thickBot="1" x14ac:dyDescent="0.4">
      <c r="B10" s="384" t="s">
        <v>45</v>
      </c>
      <c r="C10" s="385"/>
      <c r="D10" s="126">
        <f>SUM(D5:D6)</f>
        <v>1820</v>
      </c>
      <c r="E10" s="126">
        <f>SUM(E5:E6)</f>
        <v>2140</v>
      </c>
      <c r="F10" s="127">
        <f>SUM(F5:F8)</f>
        <v>320</v>
      </c>
      <c r="H10" s="116" t="s">
        <v>95</v>
      </c>
    </row>
    <row r="11" spans="2:18" x14ac:dyDescent="0.25">
      <c r="D11" s="81"/>
      <c r="E11" s="81"/>
      <c r="F11" s="81"/>
      <c r="H11" s="118"/>
    </row>
    <row r="12" spans="2:18" x14ac:dyDescent="0.25">
      <c r="D12" s="81"/>
      <c r="E12" s="81"/>
      <c r="F12" s="81"/>
      <c r="H12" s="116" t="s">
        <v>96</v>
      </c>
    </row>
    <row r="13" spans="2:18" x14ac:dyDescent="0.25">
      <c r="B13" t="s">
        <v>78</v>
      </c>
      <c r="H13" s="118" t="s">
        <v>97</v>
      </c>
    </row>
    <row r="14" spans="2:18" x14ac:dyDescent="0.25">
      <c r="B14" t="s">
        <v>111</v>
      </c>
      <c r="H14" s="118"/>
    </row>
    <row r="15" spans="2:18" x14ac:dyDescent="0.25">
      <c r="H15" s="116" t="s">
        <v>98</v>
      </c>
      <c r="L15">
        <v>350</v>
      </c>
    </row>
    <row r="16" spans="2:18" x14ac:dyDescent="0.25">
      <c r="H16" s="116" t="s">
        <v>99</v>
      </c>
      <c r="L16">
        <v>150</v>
      </c>
    </row>
    <row r="17" spans="8:12" x14ac:dyDescent="0.25">
      <c r="H17" s="119"/>
    </row>
    <row r="18" spans="8:12" x14ac:dyDescent="0.25">
      <c r="H18" s="118" t="s">
        <v>100</v>
      </c>
    </row>
    <row r="19" spans="8:12" x14ac:dyDescent="0.25">
      <c r="H19" s="118"/>
    </row>
    <row r="20" spans="8:12" x14ac:dyDescent="0.25">
      <c r="H20" s="116" t="s">
        <v>101</v>
      </c>
      <c r="L20">
        <v>510</v>
      </c>
    </row>
    <row r="21" spans="8:12" x14ac:dyDescent="0.25">
      <c r="H21" s="116" t="s">
        <v>102</v>
      </c>
      <c r="L21">
        <v>220</v>
      </c>
    </row>
    <row r="22" spans="8:12" x14ac:dyDescent="0.25">
      <c r="H22" s="117"/>
    </row>
  </sheetData>
  <mergeCells count="9">
    <mergeCell ref="B2:C2"/>
    <mergeCell ref="B5:C5"/>
    <mergeCell ref="B6:C6"/>
    <mergeCell ref="B8:C8"/>
    <mergeCell ref="B10:C10"/>
    <mergeCell ref="B7:C7"/>
    <mergeCell ref="B9:C9"/>
    <mergeCell ref="B3:C3"/>
    <mergeCell ref="B4:C4"/>
  </mergeCells>
  <pageMargins left="0.31496062992125984" right="0.31496062992125984" top="1.1417322834645669" bottom="0.74803149606299213" header="0.31496062992125984" footer="0.31496062992125984"/>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F28"/>
  <sheetViews>
    <sheetView topLeftCell="A8" workbookViewId="0">
      <selection activeCell="F22" sqref="F22"/>
    </sheetView>
  </sheetViews>
  <sheetFormatPr baseColWidth="10" defaultRowHeight="15" x14ac:dyDescent="0.25"/>
  <cols>
    <col min="1" max="1" width="4.42578125" customWidth="1"/>
    <col min="2" max="2" width="5.5703125" customWidth="1"/>
    <col min="3" max="3" width="32.28515625" customWidth="1"/>
    <col min="4" max="4" width="18.42578125" customWidth="1"/>
    <col min="5" max="5" width="18" customWidth="1"/>
    <col min="6" max="6" width="67.85546875" customWidth="1"/>
    <col min="7" max="7" width="5" customWidth="1"/>
  </cols>
  <sheetData>
    <row r="3" spans="2:6" ht="15.75" thickBot="1" x14ac:dyDescent="0.3"/>
    <row r="4" spans="2:6" ht="33" customHeight="1" x14ac:dyDescent="0.3">
      <c r="B4" s="1"/>
      <c r="C4" s="346" t="s">
        <v>13</v>
      </c>
      <c r="D4" s="346"/>
      <c r="E4" s="346"/>
      <c r="F4" s="347"/>
    </row>
    <row r="5" spans="2:6" ht="15.75" x14ac:dyDescent="0.25">
      <c r="B5" s="2"/>
      <c r="C5" s="352" t="s">
        <v>126</v>
      </c>
      <c r="D5" s="352"/>
      <c r="E5" s="352"/>
      <c r="F5" s="353"/>
    </row>
    <row r="6" spans="2:6" ht="16.5" thickBot="1" x14ac:dyDescent="0.3">
      <c r="B6" s="2"/>
      <c r="C6" s="3"/>
      <c r="D6" s="8"/>
      <c r="E6" s="8"/>
      <c r="F6" s="9"/>
    </row>
    <row r="7" spans="2:6" ht="15.75" x14ac:dyDescent="0.25">
      <c r="B7" s="2"/>
      <c r="C7" s="4"/>
      <c r="D7" s="16" t="s">
        <v>86</v>
      </c>
      <c r="E7" s="17"/>
      <c r="F7" s="36" t="s">
        <v>10</v>
      </c>
    </row>
    <row r="8" spans="2:6" ht="16.5" thickBot="1" x14ac:dyDescent="0.3">
      <c r="B8" s="2"/>
      <c r="C8" s="8"/>
      <c r="D8" s="18" t="s">
        <v>0</v>
      </c>
      <c r="E8" s="19" t="s">
        <v>14</v>
      </c>
      <c r="F8" s="30"/>
    </row>
    <row r="9" spans="2:6" x14ac:dyDescent="0.25">
      <c r="B9" s="5" t="s">
        <v>1</v>
      </c>
      <c r="C9" s="4" t="s">
        <v>2</v>
      </c>
      <c r="D9" s="20"/>
      <c r="E9" s="21"/>
      <c r="F9" s="31"/>
    </row>
    <row r="10" spans="2:6" ht="29.25" customHeight="1" x14ac:dyDescent="0.25">
      <c r="B10" s="2"/>
      <c r="C10" s="15" t="s">
        <v>27</v>
      </c>
      <c r="D10" s="22">
        <v>10400</v>
      </c>
      <c r="E10" s="100">
        <f>+D10*100/$D$18</f>
        <v>46.436863725665297</v>
      </c>
      <c r="F10" s="37" t="s">
        <v>128</v>
      </c>
    </row>
    <row r="11" spans="2:6" x14ac:dyDescent="0.25">
      <c r="B11" s="2"/>
      <c r="C11" s="8"/>
      <c r="D11" s="23"/>
      <c r="E11" s="100"/>
      <c r="F11" s="34"/>
    </row>
    <row r="12" spans="2:6" x14ac:dyDescent="0.25">
      <c r="B12" s="5" t="s">
        <v>3</v>
      </c>
      <c r="C12" s="4" t="s">
        <v>4</v>
      </c>
      <c r="D12" s="24"/>
      <c r="E12" s="100"/>
      <c r="F12" s="34"/>
    </row>
    <row r="13" spans="2:6" ht="32.25" customHeight="1" x14ac:dyDescent="0.25">
      <c r="B13" s="2"/>
      <c r="C13" s="15" t="s">
        <v>28</v>
      </c>
      <c r="D13" s="22">
        <v>5000</v>
      </c>
      <c r="E13" s="100">
        <f>+D13*100/$D$18</f>
        <v>22.325415252723701</v>
      </c>
      <c r="F13" s="32" t="s">
        <v>127</v>
      </c>
    </row>
    <row r="14" spans="2:6" ht="24" customHeight="1" x14ac:dyDescent="0.25">
      <c r="B14" s="2"/>
      <c r="C14" s="8" t="s">
        <v>37</v>
      </c>
      <c r="D14" s="26">
        <v>3996</v>
      </c>
      <c r="E14" s="100">
        <f>+D14*100/$D$18</f>
        <v>17.84247186997678</v>
      </c>
      <c r="F14" s="32" t="s">
        <v>64</v>
      </c>
    </row>
    <row r="15" spans="2:6" ht="25.5" customHeight="1" x14ac:dyDescent="0.25">
      <c r="B15" s="5" t="s">
        <v>5</v>
      </c>
      <c r="C15" s="4" t="s">
        <v>6</v>
      </c>
      <c r="D15" s="27"/>
      <c r="E15" s="100"/>
      <c r="F15" s="35"/>
    </row>
    <row r="16" spans="2:6" ht="57" customHeight="1" x14ac:dyDescent="0.25">
      <c r="B16" s="2"/>
      <c r="C16" s="15" t="s">
        <v>7</v>
      </c>
      <c r="D16" s="22">
        <v>1200</v>
      </c>
      <c r="E16" s="100">
        <f>+D16*100/$D$18</f>
        <v>5.3580996606536884</v>
      </c>
      <c r="F16" s="33" t="s">
        <v>35</v>
      </c>
    </row>
    <row r="17" spans="2:6" ht="48" customHeight="1" thickBot="1" x14ac:dyDescent="0.3">
      <c r="B17" s="2"/>
      <c r="C17" s="15" t="s">
        <v>129</v>
      </c>
      <c r="D17" s="22">
        <v>1800</v>
      </c>
      <c r="E17" s="163">
        <f>+D17*100/$D$18</f>
        <v>8.0371494909805321</v>
      </c>
      <c r="F17" s="35"/>
    </row>
    <row r="18" spans="2:6" ht="16.5" thickBot="1" x14ac:dyDescent="0.3">
      <c r="B18" s="2"/>
      <c r="C18" s="6" t="s">
        <v>8</v>
      </c>
      <c r="D18" s="28">
        <f>SUM(D10:D17)</f>
        <v>22396</v>
      </c>
      <c r="E18" s="101">
        <f>+D18*100/$D$18</f>
        <v>100</v>
      </c>
      <c r="F18" s="40"/>
    </row>
    <row r="19" spans="2:6" x14ac:dyDescent="0.25">
      <c r="B19" s="2"/>
      <c r="C19" s="8"/>
      <c r="D19" s="14"/>
      <c r="E19" s="14"/>
      <c r="F19" s="9"/>
    </row>
    <row r="20" spans="2:6" ht="21.75" customHeight="1" x14ac:dyDescent="0.25">
      <c r="B20" s="2"/>
      <c r="C20" s="8"/>
      <c r="D20" s="14"/>
      <c r="E20" s="14"/>
      <c r="F20" s="9"/>
    </row>
    <row r="21" spans="2:6" ht="35.25" customHeight="1" x14ac:dyDescent="0.25">
      <c r="B21" s="2"/>
      <c r="C21" s="10" t="s">
        <v>9</v>
      </c>
      <c r="D21" s="13"/>
      <c r="E21" s="13"/>
      <c r="F21" s="11"/>
    </row>
    <row r="22" spans="2:6" ht="26.25" customHeight="1" x14ac:dyDescent="0.25">
      <c r="B22" s="2"/>
      <c r="C22" s="10" t="s">
        <v>36</v>
      </c>
      <c r="D22" s="13"/>
      <c r="E22" s="13"/>
      <c r="F22" s="11"/>
    </row>
    <row r="23" spans="2:6" ht="54" customHeight="1" x14ac:dyDescent="0.25">
      <c r="B23" s="2"/>
      <c r="C23" s="107" t="s">
        <v>89</v>
      </c>
      <c r="D23" s="10"/>
      <c r="E23" s="10"/>
      <c r="F23" s="11"/>
    </row>
    <row r="24" spans="2:6" ht="33.75" customHeight="1" x14ac:dyDescent="0.25">
      <c r="B24" s="2"/>
      <c r="C24" s="390" t="s">
        <v>29</v>
      </c>
      <c r="D24" s="390"/>
      <c r="E24" s="390"/>
      <c r="F24" s="11"/>
    </row>
    <row r="25" spans="2:6" ht="33.75" customHeight="1" x14ac:dyDescent="0.25">
      <c r="B25" s="2"/>
      <c r="C25" s="99" t="s">
        <v>77</v>
      </c>
      <c r="D25" s="99"/>
      <c r="E25" s="99"/>
      <c r="F25" s="11"/>
    </row>
    <row r="26" spans="2:6" ht="65.25" customHeight="1" thickBot="1" x14ac:dyDescent="0.3">
      <c r="B26" s="7"/>
      <c r="C26" s="98"/>
      <c r="D26" s="98"/>
      <c r="E26" s="98"/>
      <c r="F26" s="12"/>
    </row>
    <row r="27" spans="2:6" ht="15" customHeight="1" x14ac:dyDescent="0.25"/>
    <row r="28" spans="2:6" x14ac:dyDescent="0.25">
      <c r="C28" s="58"/>
    </row>
  </sheetData>
  <mergeCells count="3">
    <mergeCell ref="C4:F4"/>
    <mergeCell ref="C5:F5"/>
    <mergeCell ref="C24:E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30"/>
  <sheetViews>
    <sheetView topLeftCell="A6" workbookViewId="0">
      <selection activeCell="F22" sqref="F22"/>
    </sheetView>
  </sheetViews>
  <sheetFormatPr baseColWidth="10" defaultRowHeight="15" x14ac:dyDescent="0.25"/>
  <cols>
    <col min="3" max="3" width="41.5703125" bestFit="1" customWidth="1"/>
    <col min="4" max="7" width="20.5703125" customWidth="1"/>
  </cols>
  <sheetData>
    <row r="1" spans="2:8" ht="26.25" x14ac:dyDescent="0.4">
      <c r="B1" s="128" t="s">
        <v>124</v>
      </c>
      <c r="C1" s="59"/>
      <c r="D1" s="59"/>
      <c r="E1" s="59"/>
      <c r="F1" s="59"/>
      <c r="G1" s="60"/>
      <c r="H1" s="60"/>
    </row>
    <row r="2" spans="2:8" ht="15.75" x14ac:dyDescent="0.25">
      <c r="B2" s="129" t="s">
        <v>123</v>
      </c>
      <c r="C2" s="60"/>
      <c r="D2" s="60"/>
      <c r="E2" s="60"/>
      <c r="F2" s="60"/>
      <c r="G2" s="60"/>
      <c r="H2" s="60"/>
    </row>
    <row r="3" spans="2:8" x14ac:dyDescent="0.25">
      <c r="B3" s="130" t="s">
        <v>112</v>
      </c>
      <c r="C3" s="60"/>
      <c r="D3" s="60"/>
      <c r="E3" s="60"/>
      <c r="F3" s="60"/>
      <c r="G3" s="60"/>
      <c r="H3" s="60"/>
    </row>
    <row r="4" spans="2:8" ht="15.75" thickBot="1" x14ac:dyDescent="0.3">
      <c r="B4" s="131"/>
      <c r="C4" s="60"/>
      <c r="D4" s="60"/>
      <c r="E4" s="60"/>
      <c r="F4" s="60"/>
      <c r="G4" s="60"/>
      <c r="H4" s="60"/>
    </row>
    <row r="5" spans="2:8" ht="24" thickBot="1" x14ac:dyDescent="0.3">
      <c r="B5" s="393" t="s">
        <v>113</v>
      </c>
      <c r="C5" s="394"/>
      <c r="D5" s="132" t="s">
        <v>49</v>
      </c>
      <c r="E5" s="132" t="s">
        <v>49</v>
      </c>
      <c r="F5" s="133" t="s">
        <v>49</v>
      </c>
      <c r="G5" s="133" t="s">
        <v>49</v>
      </c>
      <c r="H5" s="60"/>
    </row>
    <row r="6" spans="2:8" ht="23.25" x14ac:dyDescent="0.25">
      <c r="B6" s="395" t="s">
        <v>69</v>
      </c>
      <c r="C6" s="396"/>
      <c r="D6" s="134">
        <v>2021</v>
      </c>
      <c r="E6" s="134">
        <v>2022</v>
      </c>
      <c r="F6" s="135">
        <v>2023</v>
      </c>
      <c r="G6" s="135">
        <v>2024</v>
      </c>
      <c r="H6" s="60"/>
    </row>
    <row r="7" spans="2:8" ht="23.25" x14ac:dyDescent="0.25">
      <c r="B7" s="397" t="s">
        <v>46</v>
      </c>
      <c r="C7" s="398"/>
      <c r="D7" s="136" t="s">
        <v>44</v>
      </c>
      <c r="E7" s="136" t="s">
        <v>44</v>
      </c>
      <c r="F7" s="137" t="s">
        <v>44</v>
      </c>
      <c r="G7" s="137" t="s">
        <v>44</v>
      </c>
      <c r="H7" s="60"/>
    </row>
    <row r="8" spans="2:8" ht="23.25" x14ac:dyDescent="0.25">
      <c r="B8" s="399" t="s">
        <v>114</v>
      </c>
      <c r="C8" s="400"/>
      <c r="D8" s="138">
        <v>12500</v>
      </c>
      <c r="E8" s="139">
        <v>13000</v>
      </c>
      <c r="F8" s="84">
        <f>42850-17000-10400</f>
        <v>15450</v>
      </c>
      <c r="G8" s="140">
        <v>15450</v>
      </c>
      <c r="H8" s="60"/>
    </row>
    <row r="9" spans="2:8" ht="23.25" x14ac:dyDescent="0.25">
      <c r="B9" s="391" t="s">
        <v>67</v>
      </c>
      <c r="C9" s="392"/>
      <c r="D9" s="138">
        <v>15455</v>
      </c>
      <c r="E9" s="139">
        <v>16000</v>
      </c>
      <c r="F9" s="139">
        <v>16000</v>
      </c>
      <c r="G9" s="140">
        <v>17000</v>
      </c>
      <c r="H9" s="60"/>
    </row>
    <row r="10" spans="2:8" ht="23.25" x14ac:dyDescent="0.25">
      <c r="B10" s="391" t="s">
        <v>65</v>
      </c>
      <c r="C10" s="392"/>
      <c r="D10" s="141"/>
      <c r="E10" s="142"/>
      <c r="F10" s="84"/>
      <c r="G10" s="143"/>
      <c r="H10" s="60"/>
    </row>
    <row r="11" spans="2:8" ht="23.25" x14ac:dyDescent="0.25">
      <c r="B11" s="391" t="s">
        <v>115</v>
      </c>
      <c r="C11" s="392"/>
      <c r="D11" s="141"/>
      <c r="E11" s="142"/>
      <c r="F11" s="85"/>
      <c r="G11" s="143"/>
      <c r="H11" s="60"/>
    </row>
    <row r="12" spans="2:8" ht="24" thickBot="1" x14ac:dyDescent="0.3">
      <c r="B12" s="391" t="s">
        <v>116</v>
      </c>
      <c r="C12" s="392"/>
      <c r="D12" s="142">
        <v>8400</v>
      </c>
      <c r="E12" s="142">
        <v>9200</v>
      </c>
      <c r="F12" s="144">
        <v>10000</v>
      </c>
      <c r="G12" s="144">
        <v>10400</v>
      </c>
      <c r="H12" s="60"/>
    </row>
    <row r="13" spans="2:8" ht="24" thickBot="1" x14ac:dyDescent="0.4">
      <c r="B13" s="401" t="s">
        <v>75</v>
      </c>
      <c r="C13" s="402"/>
      <c r="D13" s="145">
        <f>SUM(D8:D12)</f>
        <v>36355</v>
      </c>
      <c r="E13" s="145">
        <f t="shared" ref="E13" si="0">SUM(E8:E12)</f>
        <v>38200</v>
      </c>
      <c r="F13" s="146">
        <f>SUM(F8:F12)</f>
        <v>41450</v>
      </c>
      <c r="G13" s="146">
        <f>SUM(G8:G12)</f>
        <v>42850</v>
      </c>
      <c r="H13" s="60"/>
    </row>
    <row r="14" spans="2:8" x14ac:dyDescent="0.25">
      <c r="B14" s="147"/>
      <c r="C14" s="60"/>
      <c r="D14" s="60"/>
      <c r="E14" s="60"/>
      <c r="F14" s="148"/>
      <c r="G14" s="148"/>
      <c r="H14" s="60"/>
    </row>
    <row r="15" spans="2:8" ht="15.75" thickBot="1" x14ac:dyDescent="0.3">
      <c r="B15" s="147"/>
      <c r="C15" s="60"/>
      <c r="D15" s="60"/>
      <c r="E15" s="60"/>
      <c r="F15" s="148"/>
      <c r="G15" s="148"/>
      <c r="H15" s="60"/>
    </row>
    <row r="16" spans="2:8" ht="26.25" x14ac:dyDescent="0.4">
      <c r="B16" s="403" t="s">
        <v>117</v>
      </c>
      <c r="C16" s="403"/>
      <c r="D16" s="149">
        <f t="shared" ref="D16:E16" si="1">+D13-D9</f>
        <v>20900</v>
      </c>
      <c r="E16" s="149">
        <f t="shared" si="1"/>
        <v>22200</v>
      </c>
      <c r="F16" s="150">
        <f>+F13-F9</f>
        <v>25450</v>
      </c>
      <c r="G16" s="150">
        <f>+G13-G9</f>
        <v>25850</v>
      </c>
      <c r="H16" s="60"/>
    </row>
    <row r="17" spans="2:8" ht="15.75" thickBot="1" x14ac:dyDescent="0.3">
      <c r="B17" s="60"/>
      <c r="C17" s="60"/>
      <c r="D17" s="60"/>
      <c r="E17" s="60"/>
      <c r="F17" s="60"/>
      <c r="G17" s="60"/>
      <c r="H17" s="60"/>
    </row>
    <row r="18" spans="2:8" ht="27" thickBot="1" x14ac:dyDescent="0.45">
      <c r="B18" s="151"/>
      <c r="C18" s="152" t="s">
        <v>118</v>
      </c>
      <c r="D18" s="153"/>
      <c r="E18" s="153">
        <f>+E16-D16</f>
        <v>1300</v>
      </c>
      <c r="F18" s="154">
        <f>+F16-E16</f>
        <v>3250</v>
      </c>
      <c r="G18" s="155">
        <f>+G16-F16</f>
        <v>400</v>
      </c>
      <c r="H18" s="60"/>
    </row>
    <row r="19" spans="2:8" x14ac:dyDescent="0.25">
      <c r="B19" s="60"/>
      <c r="C19" s="60"/>
      <c r="D19" s="60"/>
      <c r="E19" s="60"/>
      <c r="F19" s="60"/>
      <c r="G19" s="60"/>
      <c r="H19" s="60"/>
    </row>
    <row r="20" spans="2:8" ht="15.75" thickBot="1" x14ac:dyDescent="0.3">
      <c r="B20" s="60"/>
      <c r="C20" s="60"/>
      <c r="D20" s="60"/>
      <c r="E20" s="60"/>
      <c r="F20" s="60"/>
      <c r="G20" s="60"/>
      <c r="H20" s="60"/>
    </row>
    <row r="21" spans="2:8" ht="24" thickBot="1" x14ac:dyDescent="0.4">
      <c r="B21" s="156"/>
      <c r="C21" s="157" t="s">
        <v>119</v>
      </c>
      <c r="D21" s="159">
        <f t="shared" ref="D21:G21" si="2">+D18*1/D16</f>
        <v>0</v>
      </c>
      <c r="E21" s="158">
        <f t="shared" si="2"/>
        <v>5.8558558558558557E-2</v>
      </c>
      <c r="F21" s="158">
        <f t="shared" si="2"/>
        <v>0.12770137524557956</v>
      </c>
      <c r="G21" s="160">
        <f t="shared" si="2"/>
        <v>1.5473887814313346E-2</v>
      </c>
      <c r="H21" s="60"/>
    </row>
    <row r="22" spans="2:8" x14ac:dyDescent="0.25">
      <c r="B22" s="60"/>
      <c r="C22" s="60"/>
      <c r="D22" s="60"/>
      <c r="E22" s="60"/>
      <c r="F22" s="60"/>
      <c r="G22" s="60"/>
      <c r="H22" s="60"/>
    </row>
    <row r="23" spans="2:8" ht="18.75" customHeight="1" x14ac:dyDescent="0.25">
      <c r="B23" s="371" t="s">
        <v>120</v>
      </c>
      <c r="C23" s="371"/>
      <c r="D23" s="371"/>
      <c r="E23" s="371"/>
      <c r="F23" s="371"/>
      <c r="G23" s="371"/>
      <c r="H23" s="60"/>
    </row>
    <row r="24" spans="2:8" x14ac:dyDescent="0.25">
      <c r="B24" s="60"/>
      <c r="C24" s="60"/>
      <c r="D24" s="60"/>
      <c r="E24" s="60"/>
      <c r="F24" s="60"/>
      <c r="G24" s="60"/>
      <c r="H24" s="60"/>
    </row>
    <row r="25" spans="2:8" x14ac:dyDescent="0.25">
      <c r="B25" s="112" t="s">
        <v>121</v>
      </c>
      <c r="C25" s="114"/>
      <c r="D25" s="114"/>
      <c r="E25" s="114"/>
      <c r="F25" s="114"/>
      <c r="G25" s="161"/>
      <c r="H25" s="161"/>
    </row>
    <row r="26" spans="2:8" x14ac:dyDescent="0.25">
      <c r="B26" s="112" t="s">
        <v>122</v>
      </c>
      <c r="C26" s="114"/>
      <c r="D26" s="114"/>
      <c r="E26" s="114"/>
      <c r="F26" s="114"/>
      <c r="G26" s="161"/>
      <c r="H26" s="161"/>
    </row>
    <row r="27" spans="2:8" x14ac:dyDescent="0.25">
      <c r="B27" s="112"/>
      <c r="C27" s="114"/>
      <c r="D27" s="114"/>
      <c r="E27" s="114"/>
      <c r="F27" s="114"/>
      <c r="G27" s="161"/>
      <c r="H27" s="161"/>
    </row>
    <row r="28" spans="2:8" x14ac:dyDescent="0.25">
      <c r="B28" s="4" t="s">
        <v>78</v>
      </c>
      <c r="C28" s="114"/>
      <c r="D28" s="114"/>
      <c r="E28" s="114"/>
      <c r="F28" s="114"/>
      <c r="G28" s="161"/>
      <c r="H28" s="161"/>
    </row>
    <row r="29" spans="2:8" x14ac:dyDescent="0.25">
      <c r="B29" s="162">
        <v>45292</v>
      </c>
      <c r="C29" s="114"/>
      <c r="D29" s="114"/>
      <c r="E29" s="114"/>
      <c r="F29" s="114"/>
      <c r="G29" s="161"/>
      <c r="H29" s="161"/>
    </row>
    <row r="30" spans="2:8" x14ac:dyDescent="0.25">
      <c r="B30" s="114"/>
      <c r="C30" s="114"/>
      <c r="D30" s="114"/>
      <c r="E30" s="114"/>
      <c r="F30" s="114"/>
      <c r="G30" s="60"/>
      <c r="H30" s="60"/>
    </row>
  </sheetData>
  <mergeCells count="11">
    <mergeCell ref="B11:C11"/>
    <mergeCell ref="B12:C12"/>
    <mergeCell ref="B13:C13"/>
    <mergeCell ref="B16:C16"/>
    <mergeCell ref="B23:G23"/>
    <mergeCell ref="B10:C10"/>
    <mergeCell ref="B5:C5"/>
    <mergeCell ref="B6:C6"/>
    <mergeCell ref="B7:C7"/>
    <mergeCell ref="B8:C8"/>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ilo patio puerto</vt:lpstr>
      <vt:lpstr>MARCONA</vt:lpstr>
      <vt:lpstr>RESUMEN PERU</vt:lpstr>
      <vt:lpstr> RESUMEN CHILE</vt:lpstr>
      <vt:lpstr>Hoja2</vt:lpstr>
      <vt:lpstr>Hoja1</vt:lpstr>
      <vt:lpstr>BOMAR PORT COST 2021-2024</vt:lpstr>
      <vt:lpstr>' RESUMEN CHILE'!Área_de_impresión</vt:lpstr>
      <vt:lpstr>Hoja2!Área_de_impresión</vt:lpstr>
      <vt:lpstr>MARCONA!Área_de_impresión</vt:lpstr>
      <vt:lpstr>'RESUMEN PERU'!Área_de_impresión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Petral Operations</cp:lastModifiedBy>
  <cp:lastPrinted>2026-07-02T22:38:16Z</cp:lastPrinted>
  <dcterms:created xsi:type="dcterms:W3CDTF">2018-10-23T17:50:03Z</dcterms:created>
  <dcterms:modified xsi:type="dcterms:W3CDTF">2026-07-08T17:19:24Z</dcterms:modified>
</cp:coreProperties>
</file>
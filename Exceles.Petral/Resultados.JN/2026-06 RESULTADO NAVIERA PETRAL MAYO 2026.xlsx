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avitranso-my.sharepoint.com/personal/grooveadmin0_navitranso_com/Documents/SVArchivos/Contabilidad/Contabilidad y Presupuestos/PRESUPUESTO/2026/Petral/"/>
    </mc:Choice>
  </mc:AlternateContent>
  <xr:revisionPtr revIDLastSave="0" documentId="8_{7800C3B8-F0C2-4FBB-AE1A-AA7B2A779A10}" xr6:coauthVersionLast="47" xr6:coauthVersionMax="47" xr10:uidLastSave="{00000000-0000-0000-0000-000000000000}"/>
  <bookViews>
    <workbookView xWindow="-108" yWindow="-108" windowWidth="23256" windowHeight="13896" tabRatio="923" firstSheet="1" activeTab="10" xr2:uid="{B75DB40F-E5AE-4A7F-BA72-13F0462FBD9A}"/>
  </bookViews>
  <sheets>
    <sheet name="Presentacion" sheetId="26" state="hidden" r:id="rId1"/>
    <sheet name="PETRAL" sheetId="2" r:id="rId2"/>
    <sheet name="PETRAL GRR3" sheetId="78" state="hidden" r:id="rId3"/>
    <sheet name="Hoja1" sheetId="84" state="hidden" r:id="rId4"/>
    <sheet name="Moquegua" sheetId="75" r:id="rId5"/>
    <sheet name="MOQUEGUA GRR3" sheetId="80" state="hidden" r:id="rId6"/>
    <sheet name="Hoja2" sheetId="85" state="hidden" r:id="rId7"/>
    <sheet name="Tablones" sheetId="76" r:id="rId8"/>
    <sheet name="TABLONES GRR3" sheetId="81" state="hidden" r:id="rId9"/>
    <sheet name="Hoja3" sheetId="86" state="hidden" r:id="rId10"/>
    <sheet name="Flota Contratada" sheetId="74" r:id="rId11"/>
    <sheet name="FLOTA CONTRATADA GRR3" sheetId="82" state="hidden" r:id="rId12"/>
    <sheet name="Hoja4" sheetId="87" state="hidden" r:id="rId13"/>
    <sheet name="Gastos Adm" sheetId="72" r:id="rId14"/>
    <sheet name="GTOS ADM GRR3" sheetId="83" state="hidden" r:id="rId15"/>
    <sheet name="Hoja5" sheetId="88" state="hidden" r:id="rId16"/>
  </sheets>
  <externalReferences>
    <externalReference r:id="rId17"/>
  </externalReferences>
  <definedNames>
    <definedName name="_xlnm.Print_Area" localSheetId="10">'Flota Contratada'!$B$2:$X$113</definedName>
    <definedName name="_xlnm.Print_Area" localSheetId="13">'Gastos Adm'!$B$2:$X$59</definedName>
    <definedName name="_xlnm.Print_Area" localSheetId="4">Moquegua!$B$2:$X$114</definedName>
    <definedName name="_xlnm.Print_Area" localSheetId="1">PETRAL!$B$2:$X$114</definedName>
    <definedName name="_xlnm.Print_Area" localSheetId="7">Tablones!$B$2:$X$114</definedName>
    <definedName name="cr_control_presupuesto_consolidado">[1]Consolidado!#REF!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2" l="1"/>
  <c r="E6" i="72"/>
  <c r="F6" i="72"/>
  <c r="G6" i="72"/>
  <c r="H6" i="72"/>
  <c r="I6" i="72"/>
  <c r="J6" i="72"/>
  <c r="K6" i="72"/>
  <c r="L6" i="72"/>
  <c r="M6" i="72"/>
  <c r="N6" i="72"/>
  <c r="O6" i="72"/>
  <c r="Q7" i="72"/>
  <c r="D12" i="72"/>
  <c r="E12" i="72"/>
  <c r="F12" i="72"/>
  <c r="G12" i="72"/>
  <c r="H12" i="72"/>
  <c r="I12" i="72"/>
  <c r="J12" i="72"/>
  <c r="K12" i="72"/>
  <c r="L12" i="72"/>
  <c r="M12" i="72"/>
  <c r="N12" i="72"/>
  <c r="O12" i="72"/>
  <c r="Q12" i="72"/>
  <c r="R12" i="72"/>
  <c r="S12" i="72"/>
  <c r="T12" i="72"/>
  <c r="M3" i="82"/>
  <c r="N3" i="82"/>
  <c r="O3" i="82"/>
  <c r="P3" i="82"/>
  <c r="Q3" i="82"/>
  <c r="R3" i="82"/>
  <c r="S3" i="82"/>
  <c r="T3" i="82"/>
  <c r="M4" i="82"/>
  <c r="N4" i="82"/>
  <c r="O4" i="82"/>
  <c r="P4" i="82"/>
  <c r="Q4" i="82"/>
  <c r="R4" i="82"/>
  <c r="S4" i="82"/>
  <c r="T4" i="82"/>
  <c r="M5" i="82"/>
  <c r="N5" i="82"/>
  <c r="O5" i="82"/>
  <c r="P5" i="82"/>
  <c r="Q5" i="82"/>
  <c r="R5" i="82"/>
  <c r="S5" i="82"/>
  <c r="T5" i="82"/>
  <c r="M6" i="82"/>
  <c r="N6" i="82"/>
  <c r="O6" i="82"/>
  <c r="P6" i="82"/>
  <c r="Q6" i="82"/>
  <c r="R6" i="82"/>
  <c r="S6" i="82"/>
  <c r="T6" i="82"/>
  <c r="M7" i="82"/>
  <c r="N7" i="82"/>
  <c r="O7" i="82"/>
  <c r="P7" i="82"/>
  <c r="Q7" i="82"/>
  <c r="R7" i="82"/>
  <c r="S7" i="82"/>
  <c r="T7" i="82"/>
  <c r="M8" i="82"/>
  <c r="N8" i="82"/>
  <c r="O8" i="82"/>
  <c r="P8" i="82"/>
  <c r="Q8" i="82"/>
  <c r="R8" i="82"/>
  <c r="S8" i="82"/>
  <c r="T8" i="82"/>
  <c r="M9" i="82"/>
  <c r="N9" i="82"/>
  <c r="O9" i="82"/>
  <c r="P9" i="82"/>
  <c r="Q9" i="82"/>
  <c r="R9" i="82"/>
  <c r="S9" i="82"/>
  <c r="T9" i="82"/>
  <c r="M10" i="82"/>
  <c r="N10" i="82"/>
  <c r="O10" i="82"/>
  <c r="P10" i="82"/>
  <c r="Q10" i="82"/>
  <c r="R10" i="82"/>
  <c r="S10" i="82"/>
  <c r="T10" i="82"/>
  <c r="M11" i="82"/>
  <c r="N11" i="82"/>
  <c r="O11" i="82"/>
  <c r="P11" i="82"/>
  <c r="Q11" i="82"/>
  <c r="R11" i="82"/>
  <c r="S11" i="82"/>
  <c r="T11" i="82"/>
  <c r="M12" i="82"/>
  <c r="N12" i="82"/>
  <c r="O12" i="82"/>
  <c r="P12" i="82"/>
  <c r="Q12" i="82"/>
  <c r="R12" i="82"/>
  <c r="S12" i="82"/>
  <c r="T12" i="82"/>
  <c r="M13" i="82"/>
  <c r="N13" i="82"/>
  <c r="O13" i="82"/>
  <c r="P13" i="82"/>
  <c r="Q13" i="82"/>
  <c r="R13" i="82"/>
  <c r="S13" i="82"/>
  <c r="T13" i="82"/>
  <c r="M14" i="82"/>
  <c r="N14" i="82"/>
  <c r="O14" i="82"/>
  <c r="P14" i="82"/>
  <c r="Q14" i="82"/>
  <c r="R14" i="82"/>
  <c r="S14" i="82"/>
  <c r="T14" i="82"/>
  <c r="M15" i="82"/>
  <c r="N15" i="82"/>
  <c r="O15" i="82"/>
  <c r="P15" i="82"/>
  <c r="Q15" i="82"/>
  <c r="R15" i="82"/>
  <c r="S15" i="82"/>
  <c r="T15" i="82"/>
  <c r="M16" i="82"/>
  <c r="N16" i="82"/>
  <c r="O16" i="82"/>
  <c r="P16" i="82"/>
  <c r="Q16" i="82"/>
  <c r="R16" i="82"/>
  <c r="S16" i="82"/>
  <c r="T16" i="82"/>
  <c r="M17" i="82"/>
  <c r="N17" i="82"/>
  <c r="O17" i="82"/>
  <c r="P17" i="82"/>
  <c r="Q17" i="82"/>
  <c r="R17" i="82"/>
  <c r="S17" i="82"/>
  <c r="T17" i="82"/>
  <c r="M18" i="82"/>
  <c r="N18" i="82"/>
  <c r="O18" i="82"/>
  <c r="P18" i="82"/>
  <c r="Q18" i="82"/>
  <c r="R18" i="82"/>
  <c r="S18" i="82"/>
  <c r="T18" i="82"/>
  <c r="M19" i="82"/>
  <c r="N19" i="82"/>
  <c r="O19" i="82"/>
  <c r="P19" i="82"/>
  <c r="Q19" i="82"/>
  <c r="R19" i="82"/>
  <c r="S19" i="82"/>
  <c r="T19" i="82"/>
  <c r="M20" i="82"/>
  <c r="N20" i="82"/>
  <c r="O20" i="82"/>
  <c r="P20" i="82"/>
  <c r="Q20" i="82"/>
  <c r="R20" i="82"/>
  <c r="S20" i="82"/>
  <c r="T20" i="82"/>
  <c r="M21" i="82"/>
  <c r="N21" i="82"/>
  <c r="O21" i="82"/>
  <c r="P21" i="82"/>
  <c r="Q21" i="82"/>
  <c r="R21" i="82"/>
  <c r="S21" i="82"/>
  <c r="T21" i="82"/>
  <c r="M22" i="82"/>
  <c r="N22" i="82"/>
  <c r="O22" i="82"/>
  <c r="P22" i="82"/>
  <c r="Q22" i="82"/>
  <c r="R22" i="82"/>
  <c r="S22" i="82"/>
  <c r="T22" i="82"/>
  <c r="M23" i="82"/>
  <c r="N23" i="82"/>
  <c r="O23" i="82"/>
  <c r="P23" i="82"/>
  <c r="Q23" i="82"/>
  <c r="R23" i="82"/>
  <c r="S23" i="82"/>
  <c r="T23" i="82"/>
  <c r="M24" i="82"/>
  <c r="N24" i="82"/>
  <c r="O24" i="82"/>
  <c r="P24" i="82"/>
  <c r="Q24" i="82"/>
  <c r="R24" i="82"/>
  <c r="S24" i="82"/>
  <c r="T24" i="82"/>
  <c r="M25" i="82"/>
  <c r="N25" i="82"/>
  <c r="O25" i="82"/>
  <c r="P25" i="82"/>
  <c r="Q25" i="82"/>
  <c r="R25" i="82"/>
  <c r="S25" i="82"/>
  <c r="T25" i="82"/>
  <c r="M26" i="82"/>
  <c r="N26" i="82"/>
  <c r="O26" i="82"/>
  <c r="P26" i="82"/>
  <c r="Q26" i="82"/>
  <c r="R26" i="82"/>
  <c r="S26" i="82"/>
  <c r="T26" i="82"/>
  <c r="M27" i="82"/>
  <c r="N27" i="82"/>
  <c r="O27" i="82"/>
  <c r="P27" i="82"/>
  <c r="Q27" i="82"/>
  <c r="R27" i="82"/>
  <c r="S27" i="82"/>
  <c r="T27" i="82"/>
  <c r="M28" i="82"/>
  <c r="N28" i="82"/>
  <c r="O28" i="82"/>
  <c r="P28" i="82"/>
  <c r="Q28" i="82"/>
  <c r="R28" i="82"/>
  <c r="S28" i="82"/>
  <c r="T28" i="82"/>
  <c r="M29" i="82"/>
  <c r="N29" i="82"/>
  <c r="O29" i="82"/>
  <c r="P29" i="82"/>
  <c r="Q29" i="82"/>
  <c r="R29" i="82"/>
  <c r="S29" i="82"/>
  <c r="T29" i="82"/>
  <c r="M30" i="82"/>
  <c r="N30" i="82"/>
  <c r="O30" i="82"/>
  <c r="P30" i="82"/>
  <c r="Q30" i="82"/>
  <c r="R30" i="82"/>
  <c r="S30" i="82"/>
  <c r="T30" i="82"/>
  <c r="M31" i="82"/>
  <c r="N31" i="82"/>
  <c r="O31" i="82"/>
  <c r="P31" i="82"/>
  <c r="Q31" i="82"/>
  <c r="R31" i="82"/>
  <c r="S31" i="82"/>
  <c r="T31" i="82"/>
  <c r="M32" i="82"/>
  <c r="N32" i="82"/>
  <c r="O32" i="82"/>
  <c r="P32" i="82"/>
  <c r="Q32" i="82"/>
  <c r="R32" i="82"/>
  <c r="S32" i="82"/>
  <c r="T32" i="82"/>
  <c r="M33" i="82"/>
  <c r="N33" i="82"/>
  <c r="O33" i="82"/>
  <c r="P33" i="82"/>
  <c r="Q33" i="82"/>
  <c r="R33" i="82"/>
  <c r="S33" i="82"/>
  <c r="T33" i="82"/>
  <c r="M34" i="82"/>
  <c r="N34" i="82"/>
  <c r="O34" i="82"/>
  <c r="P34" i="82"/>
  <c r="Q34" i="82"/>
  <c r="R34" i="82"/>
  <c r="S34" i="82"/>
  <c r="T34" i="82"/>
  <c r="M35" i="82"/>
  <c r="N35" i="82"/>
  <c r="O35" i="82"/>
  <c r="P35" i="82"/>
  <c r="Q35" i="82"/>
  <c r="R35" i="82"/>
  <c r="S35" i="82"/>
  <c r="T35" i="82"/>
  <c r="M36" i="82"/>
  <c r="N36" i="82"/>
  <c r="O36" i="82"/>
  <c r="P36" i="82"/>
  <c r="Q36" i="82"/>
  <c r="R36" i="82"/>
  <c r="S36" i="82"/>
  <c r="T36" i="82"/>
  <c r="M37" i="82"/>
  <c r="N37" i="82"/>
  <c r="O37" i="82"/>
  <c r="P37" i="82"/>
  <c r="Q37" i="82"/>
  <c r="R37" i="82"/>
  <c r="S37" i="82"/>
  <c r="T37" i="82"/>
  <c r="M38" i="82"/>
  <c r="N38" i="82"/>
  <c r="O38" i="82"/>
  <c r="P38" i="82"/>
  <c r="Q38" i="82"/>
  <c r="R38" i="82"/>
  <c r="S38" i="82"/>
  <c r="T38" i="82"/>
  <c r="M39" i="82"/>
  <c r="N39" i="82"/>
  <c r="O39" i="82"/>
  <c r="P39" i="82"/>
  <c r="Q39" i="82"/>
  <c r="R39" i="82"/>
  <c r="S39" i="82"/>
  <c r="T39" i="82"/>
  <c r="M40" i="82"/>
  <c r="N40" i="82"/>
  <c r="O40" i="82"/>
  <c r="P40" i="82"/>
  <c r="Q40" i="82"/>
  <c r="R40" i="82"/>
  <c r="S40" i="82"/>
  <c r="T40" i="82"/>
  <c r="M41" i="82"/>
  <c r="N41" i="82"/>
  <c r="O41" i="82"/>
  <c r="P41" i="82"/>
  <c r="Q41" i="82"/>
  <c r="R41" i="82"/>
  <c r="S41" i="82"/>
  <c r="T41" i="82"/>
  <c r="M42" i="82"/>
  <c r="N42" i="82"/>
  <c r="O42" i="82"/>
  <c r="P42" i="82"/>
  <c r="Q42" i="82"/>
  <c r="R42" i="82"/>
  <c r="S42" i="82"/>
  <c r="T42" i="82"/>
  <c r="M43" i="82"/>
  <c r="N43" i="82"/>
  <c r="O43" i="82"/>
  <c r="P43" i="82"/>
  <c r="Q43" i="82"/>
  <c r="R43" i="82"/>
  <c r="S43" i="82"/>
  <c r="T43" i="82"/>
  <c r="M44" i="82"/>
  <c r="N44" i="82"/>
  <c r="O44" i="82"/>
  <c r="P44" i="82"/>
  <c r="Q44" i="82"/>
  <c r="R44" i="82"/>
  <c r="S44" i="82"/>
  <c r="T44" i="82"/>
  <c r="M45" i="82"/>
  <c r="N45" i="82"/>
  <c r="O45" i="82"/>
  <c r="P45" i="82"/>
  <c r="Q45" i="82"/>
  <c r="R45" i="82"/>
  <c r="S45" i="82"/>
  <c r="T45" i="82"/>
  <c r="M46" i="82"/>
  <c r="N46" i="82"/>
  <c r="O46" i="82"/>
  <c r="P46" i="82"/>
  <c r="Q46" i="82"/>
  <c r="R46" i="82"/>
  <c r="S46" i="82"/>
  <c r="T46" i="82"/>
  <c r="M47" i="82"/>
  <c r="N47" i="82"/>
  <c r="O47" i="82"/>
  <c r="P47" i="82"/>
  <c r="Q47" i="82"/>
  <c r="R47" i="82"/>
  <c r="S47" i="82"/>
  <c r="T47" i="82"/>
  <c r="B3" i="74"/>
  <c r="B3" i="76"/>
  <c r="C106" i="76"/>
  <c r="C107" i="76"/>
  <c r="C108" i="76"/>
  <c r="C109" i="76"/>
  <c r="P117" i="76"/>
  <c r="X117" i="76"/>
  <c r="P118" i="76"/>
  <c r="P119" i="76"/>
  <c r="P120" i="76"/>
  <c r="X120" i="76"/>
  <c r="P121" i="76"/>
  <c r="P122" i="76"/>
  <c r="B3" i="75"/>
  <c r="P117" i="75"/>
  <c r="W117" i="75"/>
  <c r="P118" i="75"/>
  <c r="W118" i="75"/>
  <c r="P119" i="75"/>
  <c r="W119" i="75"/>
  <c r="P120" i="75"/>
  <c r="W120" i="75"/>
  <c r="P121" i="75"/>
  <c r="W121" i="75"/>
  <c r="P122" i="75"/>
  <c r="W122" i="75"/>
  <c r="Z1" i="2"/>
  <c r="X6" i="2"/>
  <c r="P116" i="2"/>
  <c r="P118" i="2"/>
  <c r="R7" i="72" l="1"/>
  <c r="Z1" i="74"/>
  <c r="X117" i="75"/>
  <c r="Z1" i="72"/>
  <c r="X10" i="72"/>
  <c r="X6" i="74"/>
  <c r="Z1" i="76"/>
  <c r="Z1" i="75"/>
  <c r="X6" i="76"/>
  <c r="X6" i="75"/>
  <c r="X119" i="76" l="1"/>
  <c r="X120" i="75"/>
  <c r="I117" i="75"/>
  <c r="I120" i="75" s="1"/>
  <c r="X118" i="76" l="1"/>
  <c r="X121" i="76" s="1"/>
  <c r="X122" i="76"/>
  <c r="X118" i="75"/>
  <c r="X119" i="75"/>
  <c r="E117" i="75"/>
  <c r="L117" i="75"/>
  <c r="L120" i="75" s="1"/>
  <c r="O117" i="75"/>
  <c r="O120" i="75" s="1"/>
  <c r="K117" i="75"/>
  <c r="K120" i="75" s="1"/>
  <c r="R118" i="75"/>
  <c r="R119" i="75"/>
  <c r="H117" i="75"/>
  <c r="H120" i="75" s="1"/>
  <c r="M117" i="75"/>
  <c r="M120" i="75" s="1"/>
  <c r="R117" i="75"/>
  <c r="D117" i="75"/>
  <c r="J117" i="75"/>
  <c r="J120" i="75" s="1"/>
  <c r="N117" i="75"/>
  <c r="N120" i="75" s="1"/>
  <c r="E118" i="75"/>
  <c r="E119" i="75"/>
  <c r="L118" i="75"/>
  <c r="L121" i="75" s="1"/>
  <c r="L119" i="75"/>
  <c r="L122" i="75" s="1"/>
  <c r="R117" i="76"/>
  <c r="D118" i="76"/>
  <c r="D119" i="76"/>
  <c r="R118" i="76"/>
  <c r="R119" i="76"/>
  <c r="H117" i="76"/>
  <c r="H120" i="76" s="1"/>
  <c r="K118" i="76"/>
  <c r="K121" i="76" s="1"/>
  <c r="K119" i="76"/>
  <c r="K122" i="76" s="1"/>
  <c r="I117" i="76"/>
  <c r="I120" i="76" s="1"/>
  <c r="E117" i="76"/>
  <c r="M117" i="76"/>
  <c r="M120" i="76" s="1"/>
  <c r="L118" i="76"/>
  <c r="L121" i="76" s="1"/>
  <c r="L119" i="76"/>
  <c r="L122" i="76" s="1"/>
  <c r="G117" i="76"/>
  <c r="G120" i="76" s="1"/>
  <c r="J117" i="76"/>
  <c r="J120" i="76" s="1"/>
  <c r="N117" i="76"/>
  <c r="N120" i="76" s="1"/>
  <c r="G118" i="76"/>
  <c r="G119" i="76"/>
  <c r="O118" i="76"/>
  <c r="O121" i="76" s="1"/>
  <c r="O119" i="76"/>
  <c r="O122" i="76" s="1"/>
  <c r="M118" i="76"/>
  <c r="M121" i="76" s="1"/>
  <c r="M119" i="76"/>
  <c r="M122" i="76" s="1"/>
  <c r="R120" i="75" l="1"/>
  <c r="X122" i="75"/>
  <c r="X121" i="75"/>
  <c r="R122" i="75"/>
  <c r="D121" i="76"/>
  <c r="G121" i="76"/>
  <c r="G122" i="76"/>
  <c r="E120" i="76"/>
  <c r="D122" i="76"/>
  <c r="R122" i="76"/>
  <c r="R121" i="76"/>
  <c r="D120" i="75"/>
  <c r="R121" i="75"/>
  <c r="I119" i="75"/>
  <c r="I122" i="75" s="1"/>
  <c r="I118" i="75"/>
  <c r="I121" i="75" s="1"/>
  <c r="G117" i="75"/>
  <c r="G120" i="75" s="1"/>
  <c r="M119" i="75"/>
  <c r="M122" i="75" s="1"/>
  <c r="M118" i="75"/>
  <c r="M121" i="75" s="1"/>
  <c r="K119" i="75"/>
  <c r="K122" i="75" s="1"/>
  <c r="K118" i="75"/>
  <c r="K121" i="75" s="1"/>
  <c r="G119" i="75"/>
  <c r="G122" i="75" s="1"/>
  <c r="G118" i="75"/>
  <c r="G121" i="75" s="1"/>
  <c r="F117" i="75"/>
  <c r="H119" i="75"/>
  <c r="H122" i="75" s="1"/>
  <c r="H118" i="75"/>
  <c r="H121" i="75" s="1"/>
  <c r="F119" i="75"/>
  <c r="F118" i="75"/>
  <c r="F122" i="75"/>
  <c r="F121" i="75"/>
  <c r="D119" i="75"/>
  <c r="D118" i="75"/>
  <c r="N119" i="75"/>
  <c r="N122" i="75" s="1"/>
  <c r="N118" i="75"/>
  <c r="N121" i="75" s="1"/>
  <c r="J119" i="75"/>
  <c r="J122" i="75" s="1"/>
  <c r="J118" i="75"/>
  <c r="J121" i="75" s="1"/>
  <c r="O119" i="75"/>
  <c r="O122" i="75" s="1"/>
  <c r="O118" i="75"/>
  <c r="O121" i="75" s="1"/>
  <c r="E122" i="75"/>
  <c r="E120" i="75"/>
  <c r="E121" i="75"/>
  <c r="R120" i="76"/>
  <c r="K117" i="76"/>
  <c r="K120" i="76" s="1"/>
  <c r="F119" i="76"/>
  <c r="F118" i="76"/>
  <c r="D117" i="76"/>
  <c r="E119" i="76"/>
  <c r="E118" i="76"/>
  <c r="E122" i="76"/>
  <c r="H119" i="76"/>
  <c r="H122" i="76" s="1"/>
  <c r="H118" i="76"/>
  <c r="F117" i="76"/>
  <c r="L117" i="76"/>
  <c r="L120" i="76" s="1"/>
  <c r="O117" i="76"/>
  <c r="O120" i="76" s="1"/>
  <c r="I119" i="76"/>
  <c r="I122" i="76" s="1"/>
  <c r="I118" i="76"/>
  <c r="I121" i="76" s="1"/>
  <c r="N119" i="76"/>
  <c r="N122" i="76" s="1"/>
  <c r="N118" i="76"/>
  <c r="N121" i="76" s="1"/>
  <c r="J119" i="76"/>
  <c r="J122" i="76" s="1"/>
  <c r="J118" i="76"/>
  <c r="J121" i="76" s="1"/>
  <c r="F120" i="76" l="1"/>
  <c r="F122" i="76"/>
  <c r="H121" i="76"/>
  <c r="X116" i="2"/>
  <c r="X118" i="2" s="1"/>
  <c r="E121" i="76"/>
  <c r="F121" i="76"/>
  <c r="D122" i="75"/>
  <c r="F120" i="75"/>
  <c r="Q119" i="75"/>
  <c r="Q118" i="75"/>
  <c r="Q117" i="75"/>
  <c r="D121" i="75"/>
  <c r="R116" i="2"/>
  <c r="R118" i="2" s="1"/>
  <c r="M116" i="2"/>
  <c r="M118" i="2" s="1"/>
  <c r="Q117" i="76"/>
  <c r="D120" i="76"/>
  <c r="Q122" i="75" l="1"/>
  <c r="Q121" i="75"/>
  <c r="Q120" i="75"/>
  <c r="G116" i="2"/>
  <c r="G118" i="2" s="1"/>
  <c r="K116" i="2"/>
  <c r="K118" i="2" s="1"/>
  <c r="Q120" i="76"/>
  <c r="D116" i="2"/>
  <c r="D118" i="2" s="1"/>
  <c r="F116" i="2"/>
  <c r="F118" i="2" s="1"/>
  <c r="L116" i="2"/>
  <c r="L118" i="2" s="1"/>
  <c r="O116" i="2"/>
  <c r="O118" i="2" s="1"/>
  <c r="H116" i="2"/>
  <c r="H118" i="2" s="1"/>
  <c r="E116" i="2"/>
  <c r="E118" i="2" s="1"/>
  <c r="N116" i="2"/>
  <c r="N118" i="2" s="1"/>
  <c r="I116" i="2"/>
  <c r="I118" i="2" s="1"/>
  <c r="J116" i="2"/>
  <c r="J118" i="2" s="1"/>
  <c r="Q118" i="76"/>
  <c r="Q119" i="76"/>
  <c r="Q122" i="76" l="1"/>
  <c r="Q121" i="76"/>
  <c r="Q116" i="2" l="1"/>
  <c r="Q118" i="2" s="1"/>
  <c r="S116" i="2" l="1"/>
  <c r="S118" i="2" s="1"/>
  <c r="T116" i="2"/>
</calcChain>
</file>

<file path=xl/sharedStrings.xml><?xml version="1.0" encoding="utf-8"?>
<sst xmlns="http://schemas.openxmlformats.org/spreadsheetml/2006/main" count="2252" uniqueCount="617">
  <si>
    <t>Control Presupuestal</t>
  </si>
  <si>
    <t xml:space="preserve"> </t>
  </si>
  <si>
    <t>NAVIERA PETRAL</t>
  </si>
  <si>
    <t>REAL</t>
  </si>
  <si>
    <t>PRESUP.</t>
  </si>
  <si>
    <t>PPTO.</t>
  </si>
  <si>
    <t>Real Acum.</t>
  </si>
  <si>
    <t>VARIACION</t>
  </si>
  <si>
    <t>(US$ Dólares)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</si>
  <si>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</si>
  <si>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</si>
  <si>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</si>
  <si>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</si>
  <si>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</si>
  <si>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</si>
  <si>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</si>
  <si>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</si>
  <si>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</si>
  <si>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</si>
  <si>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</si>
  <si>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</si>
  <si>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ACUMUL.</t>
  </si>
  <si>
    <t>%</t>
  </si>
  <si>
    <t>ANUAL</t>
  </si>
  <si>
    <t>VENTAS</t>
  </si>
  <si>
    <t xml:space="preserve">HIRE </t>
  </si>
  <si>
    <t>VENTA DE TERCEROS</t>
  </si>
  <si>
    <t>DEMORAS</t>
  </si>
  <si>
    <t>INGRESOS DE PUERTO</t>
  </si>
  <si>
    <t>OTROS INGRESOS</t>
  </si>
  <si>
    <t>COSTOS DIRECTOS</t>
  </si>
  <si>
    <t>COMBUSTIBLE</t>
  </si>
  <si>
    <t>GASTOS DE PUERTO</t>
  </si>
  <si>
    <t>COSTOS DE DEMORA</t>
  </si>
  <si>
    <t>COMISION BROCKERAGE</t>
  </si>
  <si>
    <t>COMISIONES VARIAS</t>
  </si>
  <si>
    <t>OTROS COSTOS DIRECTOS</t>
  </si>
  <si>
    <t>GASTO PUERTO POR RECIBIR</t>
  </si>
  <si>
    <t>TIME CHARTER EQUIVALENT</t>
  </si>
  <si>
    <t>COSTO DE ARRIENDO NAVES</t>
  </si>
  <si>
    <t>MARGEN BRUTO</t>
  </si>
  <si>
    <t>GTOS. PERSONAL A BORDO</t>
  </si>
  <si>
    <t>GASTOS DE PERSONAL</t>
  </si>
  <si>
    <t>SUELDOS</t>
  </si>
  <si>
    <t>VACACIONES</t>
  </si>
  <si>
    <t>GRATIFICACIONES</t>
  </si>
  <si>
    <t>BENEFICIOS SOCIALES</t>
  </si>
  <si>
    <t>ESSALUD</t>
  </si>
  <si>
    <t>E.P.S. /GASTOS MEDICOS</t>
  </si>
  <si>
    <t>VESTUARIO</t>
  </si>
  <si>
    <t>CAPACITACION</t>
  </si>
  <si>
    <t>TRASLADO DE TRIPULACION</t>
  </si>
  <si>
    <t>OTROS GTOS. DE PERSONAL</t>
  </si>
  <si>
    <t>VIVERES DE TRIPULACION</t>
  </si>
  <si>
    <t>GASTOS DE LA NAVE</t>
  </si>
  <si>
    <t>LUBRICANTES</t>
  </si>
  <si>
    <t>REPUESTOS Y MANTENIMIENTO</t>
  </si>
  <si>
    <t>MATERIAL CONSUMIBLE</t>
  </si>
  <si>
    <t>CERTIF. /INSPECCION</t>
  </si>
  <si>
    <t>OTROS COSTOS</t>
  </si>
  <si>
    <t>SQE</t>
  </si>
  <si>
    <t>VIGILANCIA Y SEGURIDAD PRIVADA</t>
  </si>
  <si>
    <t>AGENCIMIENTO</t>
  </si>
  <si>
    <t>COMUNICACIONES</t>
  </si>
  <si>
    <t>OTROS GTOS. DE LA NAVE</t>
  </si>
  <si>
    <t>GASTO ADM.DIRECTO FLOTA</t>
  </si>
  <si>
    <t>DEPRECIACION CARENA DIQUE</t>
  </si>
  <si>
    <t>SEGUROS</t>
  </si>
  <si>
    <t>CASCO Y MAQUINA</t>
  </si>
  <si>
    <t>PANDI</t>
  </si>
  <si>
    <t>DEDUCIBLES  Y OTROS</t>
  </si>
  <si>
    <t>OPERATING COST</t>
  </si>
  <si>
    <t>BARE BOAT EQUIVALENT</t>
  </si>
  <si>
    <t>DEPRECIACION NAVES</t>
  </si>
  <si>
    <t>COSTO IGV</t>
  </si>
  <si>
    <t>RESULTADO DE NAVE</t>
  </si>
  <si>
    <t>GTOS. ADMINISTRAT. NAVE</t>
  </si>
  <si>
    <t>GTOS. REPRESENTACION</t>
  </si>
  <si>
    <t>GTOS. VIAJE</t>
  </si>
  <si>
    <t>GTOS. INFORMATICA</t>
  </si>
  <si>
    <t>GTOS. Honorarios</t>
  </si>
  <si>
    <t>SUSCRIPCIONES/PUBLICIDAD</t>
  </si>
  <si>
    <t>UTILES DE ESCRITORIO</t>
  </si>
  <si>
    <t>M1 - MARGEN DIRECTO</t>
  </si>
  <si>
    <t>GTOS. ADMINIST. GENERALES</t>
  </si>
  <si>
    <t>GTOS . ADMINIST. DEPRECIACION</t>
  </si>
  <si>
    <t>GTOS.ADM.DIRECTO FLOTA</t>
  </si>
  <si>
    <t>M3 - MARGEN OPERACIONAL</t>
  </si>
  <si>
    <t>OTROS INGR./EGRESOS</t>
  </si>
  <si>
    <t>INGRESOS FINANCIEROS</t>
  </si>
  <si>
    <t>GASTOS FINANCIEROS</t>
  </si>
  <si>
    <t>ING. (GTOS.) AÑO ANTERIOR</t>
  </si>
  <si>
    <t>ING. (GTOS.) GESTION</t>
  </si>
  <si>
    <t>NPETRAL/PERSEUS</t>
  </si>
  <si>
    <t>INT.MINORITARIO Y RES.RENADSA</t>
  </si>
  <si>
    <t>RESULT. DE TRASLACION</t>
  </si>
  <si>
    <t>M4 - RESULTADO ANTES IMPTO</t>
  </si>
  <si>
    <t>TIME CHARTER EQUIVALENT (TCE)</t>
  </si>
  <si>
    <t>COSTO DIA NAVE (DRC)</t>
  </si>
  <si>
    <t>RESULTADO DIARIO</t>
  </si>
  <si>
    <t>DIAS OFF-HIRE</t>
  </si>
  <si>
    <t>DIAS OPERATIVOS</t>
  </si>
  <si>
    <t>DIAS DE EXCEPCION</t>
  </si>
  <si>
    <t>NRO DE FAENAS</t>
  </si>
  <si>
    <t>EBITDA</t>
  </si>
  <si>
    <t>MOQUEGUA</t>
  </si>
  <si>
    <t>COSTO DIA (DRC SIN DIQUE)</t>
  </si>
  <si>
    <t>NRO DE VIAJES</t>
  </si>
  <si>
    <t xml:space="preserve">  </t>
  </si>
  <si>
    <t>TABLONES</t>
  </si>
  <si>
    <t>FLOTA CONTRATADA</t>
  </si>
  <si>
    <t>HIRE</t>
  </si>
  <si>
    <t>AGENCIAMIENTO</t>
  </si>
  <si>
    <t>GASTOS DE REPRESENTACION</t>
  </si>
  <si>
    <t>M3 - MARGEN OPERACIONAL.</t>
  </si>
  <si>
    <t>RESULT. DE TRASLACION/DIF. CAMBIO</t>
  </si>
  <si>
    <t>M4 - RESULTADO ANTES IMPTO.</t>
  </si>
  <si>
    <t>5000</t>
  </si>
  <si>
    <t>5001</t>
  </si>
  <si>
    <t>5002</t>
  </si>
  <si>
    <t>5003</t>
  </si>
  <si>
    <t>5006</t>
  </si>
  <si>
    <t xml:space="preserve">DIAS OFF-HIRE </t>
  </si>
  <si>
    <t>5007</t>
  </si>
  <si>
    <t>GASTOS ADMINISTRATIVOS</t>
  </si>
  <si>
    <t>Titulos</t>
  </si>
  <si>
    <t>Holding (Presupuesto)</t>
  </si>
  <si>
    <t>Diciembre</t>
  </si>
  <si>
    <t>Todas</t>
  </si>
  <si>
    <t>Pivote</t>
  </si>
  <si>
    <t>Diás del mes</t>
  </si>
  <si>
    <t>(US$ Dólares Americanos)</t>
  </si>
  <si>
    <t>0</t>
  </si>
  <si>
    <t>GTOS. ADMINISTRATIVOS</t>
  </si>
  <si>
    <t>SUELDOS ADMINISTR.</t>
  </si>
  <si>
    <t>IMP. EXT. SOLIDARIDAD</t>
  </si>
  <si>
    <t>E.P.S.</t>
  </si>
  <si>
    <t>OTROS GTOS.  PERSONAL</t>
  </si>
  <si>
    <t>INDEMNIZACIONES</t>
  </si>
  <si>
    <t>GASTOS GENERALES</t>
  </si>
  <si>
    <t>GASTOS DE VIAJE</t>
  </si>
  <si>
    <t>MOVILIDAD LOCAL</t>
  </si>
  <si>
    <t>TELECOMUNICACIONES</t>
  </si>
  <si>
    <t>AGUA</t>
  </si>
  <si>
    <t>ENERGIA</t>
  </si>
  <si>
    <t>HONORARIOS</t>
  </si>
  <si>
    <t>MANTENIMIENTO</t>
  </si>
  <si>
    <t>SERVICIO PERSONAL - SEGURIDAD</t>
  </si>
  <si>
    <t>GTOS. DE REPRESENT.</t>
  </si>
  <si>
    <t>SEGUROS DE OFICINAS</t>
  </si>
  <si>
    <t>SUSCRIPC./PUBLICAC.</t>
  </si>
  <si>
    <t>GTOS. DE INFORMATICA</t>
  </si>
  <si>
    <t>PAPELERIA Y UTILES</t>
  </si>
  <si>
    <t xml:space="preserve">OTROS TRIBUTOS </t>
  </si>
  <si>
    <t>DEPRECIACION</t>
  </si>
  <si>
    <t>GTOS. ADM.DIRECTO FLOTA</t>
  </si>
  <si>
    <t>ING. FINANCIEROS</t>
  </si>
  <si>
    <t>ING. (GTOS.) AÑO ANTER.</t>
  </si>
  <si>
    <t>INTERES MINORITARIO</t>
  </si>
  <si>
    <t>RESULT.  DE TRASLACION</t>
  </si>
  <si>
    <t>ok</t>
  </si>
  <si>
    <t>US$ Dólar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</si>
  <si>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</si>
  <si>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</si>
  <si>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</si>
  <si>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</si>
  <si>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</si>
  <si>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</si>
  <si>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</si>
  <si>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</si>
  <si>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</si>
  <si>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</si>
  <si>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</si>
  <si>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Acum. 2025</t>
  </si>
  <si>
    <t>Variación</t>
  </si>
  <si>
    <t>Ppto Anual</t>
  </si>
  <si>
    <t>Ppto Mensual</t>
  </si>
  <si>
    <t>Real Año anterior</t>
  </si>
  <si>
    <t>***      VENTAS</t>
  </si>
  <si>
    <t xml:space="preserve">         704121  FLETES A TERC-NAV</t>
  </si>
  <si>
    <t xml:space="preserve">         703213  FLETES A T-NAV PR</t>
  </si>
  <si>
    <t>*        HIRE</t>
  </si>
  <si>
    <t xml:space="preserve">         704123  DEMORAS</t>
  </si>
  <si>
    <t xml:space="preserve">         703115  DEMORAS EXPORTACIO</t>
  </si>
  <si>
    <t xml:space="preserve">         703215  DEMORAS -LOCAL</t>
  </si>
  <si>
    <t>*        DEMORAS</t>
  </si>
  <si>
    <t xml:space="preserve">         704136  SERV DE ATENC EN P</t>
  </si>
  <si>
    <t xml:space="preserve">         703118  SERV ATENC EN PUE</t>
  </si>
  <si>
    <t xml:space="preserve">         703218  SERV ATENC EN PUE</t>
  </si>
  <si>
    <t>*        INGRESOS DE PUERTO</t>
  </si>
  <si>
    <t>**       OTROS INGRESOS</t>
  </si>
  <si>
    <t xml:space="preserve">         639413  SERV ADM. RELACION</t>
  </si>
  <si>
    <t>*        OTROS INGRESOS</t>
  </si>
  <si>
    <t>**       COSTOS DIRECTOS</t>
  </si>
  <si>
    <t xml:space="preserve">         613112  VAR EXIST-COMS COM</t>
  </si>
  <si>
    <t>*        COMBUSTIBLE</t>
  </si>
  <si>
    <t xml:space="preserve">         638105  GASTO DE PUERTO TE</t>
  </si>
  <si>
    <t xml:space="preserve">         638106  COSTO PUERTO ESTIM</t>
  </si>
  <si>
    <t>*        GASTOS DE PUERTO</t>
  </si>
  <si>
    <t xml:space="preserve">         638103  COMISIONES  VARIAS</t>
  </si>
  <si>
    <t>*        COMISIONES VARIAS</t>
  </si>
  <si>
    <t xml:space="preserve">         638107  OTROS COST DRC DE</t>
  </si>
  <si>
    <t>*        OTROS COSTOS DIRECTOS</t>
  </si>
  <si>
    <t>****     TIME CHARTER EQUIVALENT</t>
  </si>
  <si>
    <t>*****    MARGEN BRUTO</t>
  </si>
  <si>
    <t>**       GASTOS PERSONAL ABORDO</t>
  </si>
  <si>
    <t xml:space="preserve">         632114  ADM TRIP</t>
  </si>
  <si>
    <t xml:space="preserve">         621111  REMUNERACIONES</t>
  </si>
  <si>
    <t xml:space="preserve">         621113  PRESTAC ALIMENT</t>
  </si>
  <si>
    <t xml:space="preserve">         622111  OTRAS REMUNERACION</t>
  </si>
  <si>
    <t>*        SUELDOS</t>
  </si>
  <si>
    <t xml:space="preserve">         621511  VACACIONES</t>
  </si>
  <si>
    <t>*        VACACIONES</t>
  </si>
  <si>
    <t xml:space="preserve">         621411  GRATIFICACIONES EX</t>
  </si>
  <si>
    <t xml:space="preserve">         621412  GRATIF LEG (JUL Y</t>
  </si>
  <si>
    <t>*        GRATIFICACIONES</t>
  </si>
  <si>
    <t xml:space="preserve">         629111  CTS</t>
  </si>
  <si>
    <t>*        BENEFICIOS SOCIALES</t>
  </si>
  <si>
    <t xml:space="preserve">         627111  REG PRESTAC ESSALU</t>
  </si>
  <si>
    <t>*        ESSALUD</t>
  </si>
  <si>
    <t xml:space="preserve">         627511  SEG PART  PREST Y</t>
  </si>
  <si>
    <t xml:space="preserve">         627512  SEGUROS EPS ONC</t>
  </si>
  <si>
    <t xml:space="preserve">         627311  SCTR, ACCID. DE TR</t>
  </si>
  <si>
    <t>*        E.P.S. /GASTOS MEDICOS</t>
  </si>
  <si>
    <t xml:space="preserve">         625113  VESTUARIO</t>
  </si>
  <si>
    <t>*        VESTUARIO</t>
  </si>
  <si>
    <t xml:space="preserve">         624111  CAPACITACION</t>
  </si>
  <si>
    <t>*        CAPACITACION</t>
  </si>
  <si>
    <t xml:space="preserve">         631121  TRANSP. PASAJEROS</t>
  </si>
  <si>
    <t xml:space="preserve">         631122  TRANSP PASAJ- LANC</t>
  </si>
  <si>
    <t xml:space="preserve">         631311  GTOS VIAJE-ALOJAMI</t>
  </si>
  <si>
    <t>*        TRASLADO DE TRIPULACION</t>
  </si>
  <si>
    <t xml:space="preserve">         625111  ATENC AL PERSONAL</t>
  </si>
  <si>
    <t xml:space="preserve">         627411  SEGURO DE VIDA</t>
  </si>
  <si>
    <t xml:space="preserve">         639414  COM ADM TARJ ALIME</t>
  </si>
  <si>
    <t xml:space="preserve">         629411  PART UTIL - CORR L</t>
  </si>
  <si>
    <t>*        OTROS GTOS. DE PERSONAL</t>
  </si>
  <si>
    <t xml:space="preserve">         625112  VIVERES PERSNL EMB</t>
  </si>
  <si>
    <t>*        VIVERES DE TRIPULACION</t>
  </si>
  <si>
    <t>***      GASTOS DE LA NAVE</t>
  </si>
  <si>
    <t xml:space="preserve">         634112  LUBRICANTES</t>
  </si>
  <si>
    <t>*        LUBRICANTES</t>
  </si>
  <si>
    <t xml:space="preserve">         621112  REMUNERAC-MANT</t>
  </si>
  <si>
    <t xml:space="preserve">         634111  MANTENIMIENTO REP</t>
  </si>
  <si>
    <t xml:space="preserve">         634101  RPTOS MANT,CASCO C</t>
  </si>
  <si>
    <t xml:space="preserve">         634102  RPTOS MANT,CARGA Y</t>
  </si>
  <si>
    <t xml:space="preserve">         634103  RPTOS MANT,SIST AU</t>
  </si>
  <si>
    <t xml:space="preserve">         634104  RPTOS MANT,EQUI TR</t>
  </si>
  <si>
    <t xml:space="preserve">         634105  RPTOS MANT,MAQ PRI</t>
  </si>
  <si>
    <t xml:space="preserve">         634106  RPTOS MANT,EQUI Y</t>
  </si>
  <si>
    <t xml:space="preserve">         634107  RPTOS MANT,SIST CO</t>
  </si>
  <si>
    <t>*        REPUESTOS Y MANTENIMIEN</t>
  </si>
  <si>
    <t xml:space="preserve">         634113  MATERIAL CONSUMIBL</t>
  </si>
  <si>
    <t xml:space="preserve">         656211  ACTIVOS MENORES</t>
  </si>
  <si>
    <t>*        MATERIAL CONSUMIBLE</t>
  </si>
  <si>
    <t xml:space="preserve">         681334  DEP CARENA DIQUE A</t>
  </si>
  <si>
    <t xml:space="preserve">         684132  DEP CARENA DIQUE U</t>
  </si>
  <si>
    <t>*        DEPRECIACION CARENA DIQUE</t>
  </si>
  <si>
    <t xml:space="preserve">         632411  CLASIF E INSPECCIO</t>
  </si>
  <si>
    <t>*        CERTIF. /INSPECCION</t>
  </si>
  <si>
    <t>**       OTROS COSTOS</t>
  </si>
  <si>
    <t xml:space="preserve">         659311  HSQE</t>
  </si>
  <si>
    <t>*        SQE</t>
  </si>
  <si>
    <t xml:space="preserve">         631211  CORREOS</t>
  </si>
  <si>
    <t xml:space="preserve">         636411  TELÉFONO</t>
  </si>
  <si>
    <t xml:space="preserve">         636511  INTERNET</t>
  </si>
  <si>
    <t xml:space="preserve">         636711  CABLE</t>
  </si>
  <si>
    <t>*        COMUNICACIONES</t>
  </si>
  <si>
    <t xml:space="preserve">         639412  OTROS SERV TERC NA</t>
  </si>
  <si>
    <t>*        OTROS GTOS. DE LA NAVE</t>
  </si>
  <si>
    <t xml:space="preserve">         639311  GTO ADM FLOTA RELA</t>
  </si>
  <si>
    <t>*        GASTO ADM.DIRECTO FLOTA</t>
  </si>
  <si>
    <t>**       SEGUROS</t>
  </si>
  <si>
    <t xml:space="preserve">         651111  SEGUROS H &amp; M</t>
  </si>
  <si>
    <t>*        CASCO Y MAQUINA</t>
  </si>
  <si>
    <t xml:space="preserve">         651112  SEGUROS PANDI</t>
  </si>
  <si>
    <t>*        PANDI</t>
  </si>
  <si>
    <t xml:space="preserve">         651113  SEG. ADMINISTRT Y</t>
  </si>
  <si>
    <t>*        DEDUCIBLES  Y OTROS</t>
  </si>
  <si>
    <t>****     OPERATING COST</t>
  </si>
  <si>
    <t>*****    BARE BOAT EQUIVALENT</t>
  </si>
  <si>
    <t xml:space="preserve">         681432  DEPR UNID DE TRANS</t>
  </si>
  <si>
    <t xml:space="preserve">         684131  DEP UNID TRANSP NA</t>
  </si>
  <si>
    <t xml:space="preserve">         684141  DEP MUEBLES Y ENSE</t>
  </si>
  <si>
    <t xml:space="preserve">         684151  DEP EQUIPOS DE COM</t>
  </si>
  <si>
    <t xml:space="preserve">         684152  DEP EQUIPOS DE COM</t>
  </si>
  <si>
    <t xml:space="preserve">         684153  DEP EQUIPOS DIVERS</t>
  </si>
  <si>
    <t xml:space="preserve">         686131  AMORT PROGRAMAS DE</t>
  </si>
  <si>
    <t>*        DEPRECIACION NAVES</t>
  </si>
  <si>
    <t>**       GTOS. ADMINIST. NAVE</t>
  </si>
  <si>
    <t xml:space="preserve">         634121  GASTOS DE INFORMAT</t>
  </si>
  <si>
    <t xml:space="preserve">         634411  MANT Y REP- INTANG</t>
  </si>
  <si>
    <t xml:space="preserve">         634315  MANTEN EQUIP INFOR</t>
  </si>
  <si>
    <t xml:space="preserve">         656118  SUMINISTROS INFORM</t>
  </si>
  <si>
    <t>*        GTOS. INFORMATICA</t>
  </si>
  <si>
    <t xml:space="preserve">         632111  ASESORIA Y CON-ADM</t>
  </si>
  <si>
    <t xml:space="preserve">         632112  GASTOS NOT Y DE RE</t>
  </si>
  <si>
    <t xml:space="preserve">         632212  ASESORIA LEGAL Y T</t>
  </si>
  <si>
    <t xml:space="preserve">         632911  ASES Y CONSULT-OTR</t>
  </si>
  <si>
    <t>*        GTOS. HONORARIOS</t>
  </si>
  <si>
    <t xml:space="preserve">         656111  SUMINISTROS</t>
  </si>
  <si>
    <t>*        UTILES DE ESCRITORIO</t>
  </si>
  <si>
    <t>******   M1 - MARGEN DIRECTO</t>
  </si>
  <si>
    <t>**       GASTOS DE PERSONAL</t>
  </si>
  <si>
    <t>*        SUELDOS DE ADMINISTRACION</t>
  </si>
  <si>
    <t xml:space="preserve">         629412  PART UTIL - CORR V</t>
  </si>
  <si>
    <t>*        OTROS GASTOS DE PERSONAL</t>
  </si>
  <si>
    <t>**       GASTOS GENERALES</t>
  </si>
  <si>
    <t xml:space="preserve">         631511  OTROS GASTOS D VIA</t>
  </si>
  <si>
    <t>*        GASTOS DE VIAJE</t>
  </si>
  <si>
    <t>*        TELECOMUNICACIONES</t>
  </si>
  <si>
    <t xml:space="preserve">         636111  ENERGÍA ELÉCTRICA</t>
  </si>
  <si>
    <t>*        ENERGIA</t>
  </si>
  <si>
    <t xml:space="preserve">         632311  AUDITORIA Y CONTAB</t>
  </si>
  <si>
    <t>*        HONORARIOS</t>
  </si>
  <si>
    <t xml:space="preserve">         635213  ALQ EDIF TERCEROS</t>
  </si>
  <si>
    <t>*        MANTENIMIENTO</t>
  </si>
  <si>
    <t xml:space="preserve">         639411  SERVICIOS DE PERSO</t>
  </si>
  <si>
    <t>*        VIGILANCIA Y SEGURIDAD PRI</t>
  </si>
  <si>
    <t xml:space="preserve">         637115  GASTOS DE REPRESEN</t>
  </si>
  <si>
    <t xml:space="preserve">         637311  RELACIONES PUBLICA</t>
  </si>
  <si>
    <t>*        GASTOS DE REPRESENTACION</t>
  </si>
  <si>
    <t>*        SEGUROS DE OFICINAS</t>
  </si>
  <si>
    <t xml:space="preserve">         637111  PUBLICIDAD</t>
  </si>
  <si>
    <t xml:space="preserve">         653111  SUSCR,COTIZ Y LIBR</t>
  </si>
  <si>
    <t>*        SUSCRIPCIONES/PUBLICIDAD</t>
  </si>
  <si>
    <t>*        GASTOS DE INFORMATICA</t>
  </si>
  <si>
    <t>*        PAPELERIA Y UTILES</t>
  </si>
  <si>
    <t xml:space="preserve">         649111  OTROS TRIBUTOS</t>
  </si>
  <si>
    <t xml:space="preserve">         644311  OTROS</t>
  </si>
  <si>
    <t>*        OTROS TRIBUTOS</t>
  </si>
  <si>
    <t xml:space="preserve">         681411  DEPR EDIFS ADM</t>
  </si>
  <si>
    <t xml:space="preserve">         684130  DEP VEHICULOS</t>
  </si>
  <si>
    <t>*        GTOS . ADMINIST. DEPRECIAC</t>
  </si>
  <si>
    <t>*        GTOS.ADM.DIRECTO FLOTA</t>
  </si>
  <si>
    <t xml:space="preserve">         3216AGTOS.ADM.DIRECTO FLO</t>
  </si>
  <si>
    <t>*******  M3 - MARGEN OPERACIONAL</t>
  </si>
  <si>
    <t>**       OTR.INGRESOS/EGRESO</t>
  </si>
  <si>
    <t xml:space="preserve">         772111  ING FIN DEP INST F</t>
  </si>
  <si>
    <t>*        INGRESOS FINANCIEROS</t>
  </si>
  <si>
    <t xml:space="preserve">         639111  GASTOS BANCARIOS</t>
  </si>
  <si>
    <t xml:space="preserve">         671111  GF-PREST INST FIN</t>
  </si>
  <si>
    <t xml:space="preserve">         673111  INT. PREST  INST F</t>
  </si>
  <si>
    <t xml:space="preserve">         641211  IMPTO TRANSAC FINA</t>
  </si>
  <si>
    <t>*        GASTOS FINANCIEROS</t>
  </si>
  <si>
    <t xml:space="preserve">         659411  GASTOS NO DEDUCIBL</t>
  </si>
  <si>
    <t xml:space="preserve">         659911  GASTOS DE REDONDEO</t>
  </si>
  <si>
    <t xml:space="preserve">         649112  IMP RENTA TER NO D</t>
  </si>
  <si>
    <t xml:space="preserve">         659113  OTROS GASTOS DE GE</t>
  </si>
  <si>
    <t xml:space="preserve">         659211  SANCIONES ADMINIST</t>
  </si>
  <si>
    <t xml:space="preserve">         759912  INGRESOS REDONDEO</t>
  </si>
  <si>
    <t xml:space="preserve">         759911  OTR INGRESOS DE GE</t>
  </si>
  <si>
    <t>*        ING. (GTOS.) GESTION</t>
  </si>
  <si>
    <t xml:space="preserve">         777111  GCIA POR TRASLACIO</t>
  </si>
  <si>
    <t xml:space="preserve">         677111  PERDIDA POR TRASLA</t>
  </si>
  <si>
    <t xml:space="preserve">         776111  DIFERENCIA DE CAMB</t>
  </si>
  <si>
    <t xml:space="preserve">         776112  DIF DE CAMBIO SALD</t>
  </si>
  <si>
    <t xml:space="preserve">         676111  DIFERENCIA DE CAMB</t>
  </si>
  <si>
    <t xml:space="preserve">         676112  DIF DE CAMBIO SALD</t>
  </si>
  <si>
    <t>*        RESULT. DE TRASLACION/DIF.</t>
  </si>
  <si>
    <t>******** M4 - RESULTADO ANTES DE IM</t>
  </si>
  <si>
    <t>*****    TIME CHARTER EQUIVALENT (T</t>
  </si>
  <si>
    <t>*****    COSTO DIA NAVE (DRC)</t>
  </si>
  <si>
    <t>*****    COSTO DIA (DRC SIN DIQUE)</t>
  </si>
  <si>
    <t>*******  RESULTADO DIARIO</t>
  </si>
  <si>
    <t xml:space="preserve">         DIAS OPERATIVOS - TIME CHA</t>
  </si>
  <si>
    <t xml:space="preserve">         DIAS OPERATIVOS - COSTO DR</t>
  </si>
  <si>
    <t xml:space="preserve">         NUMERO DE VIAJES - NAVES</t>
  </si>
  <si>
    <t>******** EBITDA</t>
  </si>
  <si>
    <t>*        RESULT. DE TRASLACION/DIF. CAMB</t>
  </si>
  <si>
    <t>**      VENTAS</t>
  </si>
  <si>
    <t>*       HIRE</t>
  </si>
  <si>
    <t xml:space="preserve">        704123  DEMORAS</t>
  </si>
  <si>
    <t xml:space="preserve">        703215  DEMORAS -LOCAL</t>
  </si>
  <si>
    <t>*       DEMORAS</t>
  </si>
  <si>
    <t>*       INGRESOS DE PUERTO</t>
  </si>
  <si>
    <t>*       OTROS INGRESOS</t>
  </si>
  <si>
    <t>**      COSTOS DIRECTOS</t>
  </si>
  <si>
    <t xml:space="preserve">        613112  VAR EXIST-COMS COMB</t>
  </si>
  <si>
    <t>*       COMBUSTIBLE</t>
  </si>
  <si>
    <t xml:space="preserve">        638106  COSTO PUERTO ESTIM</t>
  </si>
  <si>
    <t>*       GASTOS DE PUERTO</t>
  </si>
  <si>
    <t xml:space="preserve">        638103  COMISIONES  VARIAS</t>
  </si>
  <si>
    <t>*       COMISIONES VARIAS</t>
  </si>
  <si>
    <t>***     TIME CHARTER EQUIVALENT</t>
  </si>
  <si>
    <t>****    MARGEN BRUTO</t>
  </si>
  <si>
    <t>**      GASTOS PERSONAL ABORDO</t>
  </si>
  <si>
    <t xml:space="preserve">        632114  ADM TRIP</t>
  </si>
  <si>
    <t xml:space="preserve">        621111  REMUNERACIONES</t>
  </si>
  <si>
    <t xml:space="preserve">        621113  PRESTAC ALIMENT</t>
  </si>
  <si>
    <t>*       SUELDOS</t>
  </si>
  <si>
    <t xml:space="preserve">        621511  VACACIONES</t>
  </si>
  <si>
    <t>*       VACACIONES</t>
  </si>
  <si>
    <t>*       GRATIFICACIONES</t>
  </si>
  <si>
    <t xml:space="preserve">        629111  CTS</t>
  </si>
  <si>
    <t>*       BENEFICIOS SOCIALES</t>
  </si>
  <si>
    <t xml:space="preserve">        627111  REG PRESTAC ESSALUD</t>
  </si>
  <si>
    <t>*       ESSALUD</t>
  </si>
  <si>
    <t xml:space="preserve">        627512  SEGUROS EPS ONC</t>
  </si>
  <si>
    <t>*       E.P.S. /GASTOS MEDICOS</t>
  </si>
  <si>
    <t xml:space="preserve">        625113  VESTUARIO</t>
  </si>
  <si>
    <t>*       VESTUARIO</t>
  </si>
  <si>
    <t xml:space="preserve">        624111  CAPACITACION</t>
  </si>
  <si>
    <t>*       CAPACITACION</t>
  </si>
  <si>
    <t>*       TRASLADO DE TRIPULACION</t>
  </si>
  <si>
    <t>*       OTROS GTOS. DE PERSONAL</t>
  </si>
  <si>
    <t>*       VIVERES DE TRIPULACION</t>
  </si>
  <si>
    <t>***     GASTOS DE LA NAVE</t>
  </si>
  <si>
    <t xml:space="preserve">        634112  LUBRICANTES</t>
  </si>
  <si>
    <t>*       LUBRICANTES</t>
  </si>
  <si>
    <t xml:space="preserve">        621112  REMUNERAC-MANT</t>
  </si>
  <si>
    <t xml:space="preserve">        634103  RPTOS MANT,SIST AUX</t>
  </si>
  <si>
    <t xml:space="preserve">        634113  MATERIAL CONSUMIBLE</t>
  </si>
  <si>
    <t>*       MATERIAL CONSUMIBLE</t>
  </si>
  <si>
    <t>*       DEPRECIACION CARENA DIQUE</t>
  </si>
  <si>
    <t>*       CERTIF. /INSPECCION</t>
  </si>
  <si>
    <t>**      OTROS COSTOS</t>
  </si>
  <si>
    <t xml:space="preserve">        659311  HSQE</t>
  </si>
  <si>
    <t>*       SQE</t>
  </si>
  <si>
    <t xml:space="preserve">        631211  CORREOS</t>
  </si>
  <si>
    <t xml:space="preserve">        636411  TELÉFONO</t>
  </si>
  <si>
    <t xml:space="preserve">        636511  INTERNET</t>
  </si>
  <si>
    <t xml:space="preserve">        636711  CABLE</t>
  </si>
  <si>
    <t>*       COMUNICACIONES</t>
  </si>
  <si>
    <t xml:space="preserve">        639412  OTROS SERV TERC NAV</t>
  </si>
  <si>
    <t>*       OTROS GTOS. DE LA NAVE</t>
  </si>
  <si>
    <t xml:space="preserve">        639311  GTO ADM FLOTA RELAC</t>
  </si>
  <si>
    <t>*       GASTO ADM.DIRECTO FLOTA</t>
  </si>
  <si>
    <t>**      SEGUROS</t>
  </si>
  <si>
    <t>*       CASCO Y MAQUINA</t>
  </si>
  <si>
    <t xml:space="preserve">        651112  SEGUROS PANDI</t>
  </si>
  <si>
    <t>*       PANDI</t>
  </si>
  <si>
    <t>*       DEDUCIBLES  Y OTROS</t>
  </si>
  <si>
    <t>****    OPERATING COST</t>
  </si>
  <si>
    <t>*****   BARE BOAT EQUIVALENT</t>
  </si>
  <si>
    <t>*       DEPRECIACION NAVES</t>
  </si>
  <si>
    <t>**      GTOS. ADMINIST. NAVE</t>
  </si>
  <si>
    <t xml:space="preserve">        634315  MANTEN EQUIP INFORM</t>
  </si>
  <si>
    <t>*       GTOS. INFORMATICA</t>
  </si>
  <si>
    <t xml:space="preserve">        656111  SUMINISTROS</t>
  </si>
  <si>
    <t>*       UTILES DE ESCRITORIO</t>
  </si>
  <si>
    <t>*****   M1 - MARGEN DIRECTO</t>
  </si>
  <si>
    <t>*       GASTOS DE PERSONAL</t>
  </si>
  <si>
    <t>**      GASTOS GENERALES</t>
  </si>
  <si>
    <t>*       GTOS.ADM.DIRECTO FLOTA</t>
  </si>
  <si>
    <t>******  M3 - MARGEN OPERACIONAL</t>
  </si>
  <si>
    <t>*****   COSTO DIA NAVE (DRC)</t>
  </si>
  <si>
    <t>*****   COSTO DIA (DRC SIN DIQUE)</t>
  </si>
  <si>
    <t>******  RESULTADO DIARIO</t>
  </si>
  <si>
    <t xml:space="preserve">        NUMERO DE VIAJES - NAVES</t>
  </si>
  <si>
    <t>******* EBITDA</t>
  </si>
  <si>
    <t xml:space="preserve">        656211  ACTIVOS MENORES</t>
  </si>
  <si>
    <t>**      OTR.INGRESOS/EGRESO</t>
  </si>
  <si>
    <t xml:space="preserve">        671111  GF-PREST INST FIN</t>
  </si>
  <si>
    <t xml:space="preserve">        673111  INT. PREST  INST FN</t>
  </si>
  <si>
    <t>*       GASTOS FINANCIEROS</t>
  </si>
  <si>
    <t>*       VENTAS TERCEROS</t>
  </si>
  <si>
    <t>*       COSTOS DE HIRE</t>
  </si>
  <si>
    <t>*       GTOS. ADMINIST. NAVE</t>
  </si>
  <si>
    <t>*        COSTOS DIRECTOS</t>
  </si>
  <si>
    <t>*        GASTOS PERSONAL ABORDO</t>
  </si>
  <si>
    <t>**       GASTOS DE LA NAVE</t>
  </si>
  <si>
    <t>*        OTROS COSTOS</t>
  </si>
  <si>
    <t>*        SEGUROS</t>
  </si>
  <si>
    <t>***      OPERATING COST</t>
  </si>
  <si>
    <t>*        GTOS. ADMINIST. NAVE</t>
  </si>
  <si>
    <t>****     COSTO DIA NAVE (DRC)</t>
  </si>
  <si>
    <t>****     COSTO DIA (DRC SIN DIQUE)</t>
  </si>
  <si>
    <t xml:space="preserve">         703117  OTROS ING OPERAC E</t>
  </si>
  <si>
    <t xml:space="preserve">        704121  FLETES A TERC-NAV P</t>
  </si>
  <si>
    <t xml:space="preserve">        703213  FLETES A T-NAV PR L</t>
  </si>
  <si>
    <t xml:space="preserve">        703115  DEMORAS EXPORTACION</t>
  </si>
  <si>
    <t xml:space="preserve">        704136  SERV DE ATENC EN PU</t>
  </si>
  <si>
    <t xml:space="preserve">        703118  SERV ATENC EN PUE E</t>
  </si>
  <si>
    <t xml:space="preserve">        703218  SERV ATENC EN PUE L</t>
  </si>
  <si>
    <t xml:space="preserve">        659115  AJUSTE COMBUSTIBLES</t>
  </si>
  <si>
    <t xml:space="preserve">        638105  GASTO DE PUERTO TER</t>
  </si>
  <si>
    <t xml:space="preserve">        638107  OTROS COST DRC DE N</t>
  </si>
  <si>
    <t>*       OTROS COSTOS DIRECTOS</t>
  </si>
  <si>
    <t xml:space="preserve">        638101  FLETES NAVES TERCER</t>
  </si>
  <si>
    <t xml:space="preserve">        622111  OTRAS REMUNERACION</t>
  </si>
  <si>
    <t xml:space="preserve">        621411  GRATIFICACIONES EXT</t>
  </si>
  <si>
    <t xml:space="preserve">        621412  GRATIF LEG (JUL Y D</t>
  </si>
  <si>
    <t xml:space="preserve">        627511  SEG PART  PREST Y O</t>
  </si>
  <si>
    <t xml:space="preserve">        627311  SCTR, ACCID. DE TRA</t>
  </si>
  <si>
    <t xml:space="preserve">        631121  TRANSP. PASAJEROS</t>
  </si>
  <si>
    <t xml:space="preserve">        631122  TRANSP PASAJ- LANCH</t>
  </si>
  <si>
    <t xml:space="preserve">        631311  GTOS VIAJE-ALOJAMIE</t>
  </si>
  <si>
    <t xml:space="preserve">        631511  OTROS GASTOS D VIAJ</t>
  </si>
  <si>
    <t xml:space="preserve">        625111  ATENC AL PERSONAL</t>
  </si>
  <si>
    <t xml:space="preserve">        627411  SEGURO DE VIDA</t>
  </si>
  <si>
    <t xml:space="preserve">        639414  COM ADM TARJ ALIMEN</t>
  </si>
  <si>
    <t xml:space="preserve">        629411  PART UTIL - CORR LE</t>
  </si>
  <si>
    <t xml:space="preserve">        625112  VIVERES PERSNL EMBA</t>
  </si>
  <si>
    <t xml:space="preserve">        634111  MANTENIMIENTO REP</t>
  </si>
  <si>
    <t xml:space="preserve">        634101  RPTOS MANT,CASCO CU</t>
  </si>
  <si>
    <t xml:space="preserve">        634102  RPTOS MANT,CARGA Y</t>
  </si>
  <si>
    <t xml:space="preserve">        634104  RPTOS MANT,EQUI TRI</t>
  </si>
  <si>
    <t xml:space="preserve">        634105  RPTOS MANT,MAQ PRIN</t>
  </si>
  <si>
    <t xml:space="preserve">        634106  RPTOS MANT,EQUI Y S</t>
  </si>
  <si>
    <t xml:space="preserve">        634107  RPTOS MANT,SIST COM</t>
  </si>
  <si>
    <t>*       REPUESTOS Y MANTENIMIEN</t>
  </si>
  <si>
    <t xml:space="preserve">        632411  CLASIF E INSPECCION</t>
  </si>
  <si>
    <t xml:space="preserve">        681334  DEP CARENA DIQUE A.</t>
  </si>
  <si>
    <t xml:space="preserve">        684132  DEP CARENA DIQUE UN</t>
  </si>
  <si>
    <t xml:space="preserve">        651111  SEGUROS H &amp; M</t>
  </si>
  <si>
    <t xml:space="preserve">        651113  SEG. ADMINISTRT Y O</t>
  </si>
  <si>
    <t xml:space="preserve">        681432  DEPR UNID DE TRANS</t>
  </si>
  <si>
    <t xml:space="preserve">        684131  DEP UNID TRANSP NAV</t>
  </si>
  <si>
    <t xml:space="preserve">        684141  DEP MUEBLES Y ENSER</t>
  </si>
  <si>
    <t xml:space="preserve">        684151  DEP EQUIPOS DE COMP</t>
  </si>
  <si>
    <t xml:space="preserve">        684152  DEP EQUIPOS DE COMU</t>
  </si>
  <si>
    <t xml:space="preserve">        684153  DEP EQUIPOS DIVERSO</t>
  </si>
  <si>
    <t xml:space="preserve">        686131  AMORT PROGRAMAS DE</t>
  </si>
  <si>
    <t xml:space="preserve">        634121  GASTOS DE INFORMATI</t>
  </si>
  <si>
    <t xml:space="preserve">        634411  MANT Y REP- INTANG</t>
  </si>
  <si>
    <t xml:space="preserve">        656118  SUMINISTROS INFORMA</t>
  </si>
  <si>
    <t xml:space="preserve">        632111  ASESORIA Y CON-ADMI</t>
  </si>
  <si>
    <t>*       GTOS. HONORARIOS</t>
  </si>
  <si>
    <t xml:space="preserve">        659211  SANCIONES ADMINISTR</t>
  </si>
  <si>
    <t>*       ING. (GTOS.) GESTION</t>
  </si>
  <si>
    <t>******* M4 - RESULTADO ANTES DE IMP</t>
  </si>
  <si>
    <t>****    TIME CHARTER EQUIVALENT (TC</t>
  </si>
  <si>
    <t xml:space="preserve">        DIAS OPERATIVOS - TIME CHAR</t>
  </si>
  <si>
    <t xml:space="preserve">        DIAS OPERATIVOS - COSTO DRC</t>
  </si>
  <si>
    <t xml:space="preserve">        632112  GASTOS NOT Y DE REG</t>
  </si>
  <si>
    <t xml:space="preserve">        632911  ASES Y CONSULT-OTRO</t>
  </si>
  <si>
    <t xml:space="preserve">        776111  DIFERENCIA DE CAMBI</t>
  </si>
  <si>
    <t>*       RESULT. DE TRASLACION/DIF.</t>
  </si>
  <si>
    <t xml:space="preserve">         759211  OTROS IN GEST -REC</t>
  </si>
  <si>
    <t xml:space="preserve">        759211  OTROS IN GEST -REC</t>
  </si>
  <si>
    <t xml:space="preserve">        703114  FLETES A T-NAV CO E</t>
  </si>
  <si>
    <t xml:space="preserve">        703214  FLETES A T-NAV CO L</t>
  </si>
  <si>
    <t>*       GASTOS PERSONAL ABORDO</t>
  </si>
  <si>
    <t>**      GASTOS DE LA NAVE</t>
  </si>
  <si>
    <t>*       OTROS COSTOS</t>
  </si>
  <si>
    <t>***     OPERATING COST</t>
  </si>
  <si>
    <t>****    BARE BOAT EQUIVALENT</t>
  </si>
  <si>
    <t>****    COSTO DIA NAVE (DRC)</t>
  </si>
  <si>
    <t>****    COSTO DIA (DRC SIN DIQUE)</t>
  </si>
  <si>
    <t xml:space="preserve">         684271  DEPRECIACION MAYOR</t>
  </si>
  <si>
    <t xml:space="preserve">        684271  DEPRECIACION MAYOR</t>
  </si>
  <si>
    <t>1</t>
  </si>
  <si>
    <t>2</t>
  </si>
  <si>
    <t>3</t>
  </si>
  <si>
    <t>4</t>
  </si>
  <si>
    <t>5</t>
  </si>
  <si>
    <t>6</t>
  </si>
  <si>
    <t>7</t>
  </si>
  <si>
    <t>Ppto.Acum a 10</t>
  </si>
  <si>
    <t>US$ Dolar</t>
  </si>
  <si>
    <t>Ppto.Acum a 11</t>
  </si>
  <si>
    <t>Variacion</t>
  </si>
  <si>
    <t>Ppto Mens</t>
  </si>
  <si>
    <t>Real A o anterior</t>
  </si>
  <si>
    <t>*        GASTOS DE PERSONAL</t>
  </si>
  <si>
    <t>*        OTR.INGRESOS/EGRESO</t>
  </si>
  <si>
    <t>Acum. 2026</t>
  </si>
  <si>
    <t>**      GASTOS DE PERSONAL</t>
  </si>
  <si>
    <t>*       SUELDOS DE ADMINISTRACION</t>
  </si>
  <si>
    <t>*       OTROS GASTOS DE PERSONAL</t>
  </si>
  <si>
    <t>*       GASTOS DE VIAJE</t>
  </si>
  <si>
    <t>*       TELECOMUNICACIONES</t>
  </si>
  <si>
    <t xml:space="preserve">        636111  ENERGÍA ELÉCTRICA</t>
  </si>
  <si>
    <t>*       ENERGIA</t>
  </si>
  <si>
    <t xml:space="preserve">        639413  SERV ADM. RELACIONA</t>
  </si>
  <si>
    <t>*       HONORARIOS</t>
  </si>
  <si>
    <t xml:space="preserve">        635213  ALQ EDIF TERCEROS</t>
  </si>
  <si>
    <t>*       MANTENIMIENTO</t>
  </si>
  <si>
    <t xml:space="preserve">        639411  SERVICIOS DE PERSON</t>
  </si>
  <si>
    <t>*       VIGILANCIA Y SEGURIDAD PRIV</t>
  </si>
  <si>
    <t xml:space="preserve">        637115  GASTOS DE REPRESENT</t>
  </si>
  <si>
    <t xml:space="preserve">        659111  DONACIONES</t>
  </si>
  <si>
    <t xml:space="preserve">        637311  RELACIONES PUBLICAS</t>
  </si>
  <si>
    <t>*       GASTOS DE REPRESENTACION</t>
  </si>
  <si>
    <t>*       SEGUROS DE OFICINAS</t>
  </si>
  <si>
    <t xml:space="preserve">        637111  PUBLICIDAD</t>
  </si>
  <si>
    <t xml:space="preserve">        653111  SUSCR,COTIZ Y LIBR</t>
  </si>
  <si>
    <t>*       SUSCRIPCIONES/PUBLICIDAD</t>
  </si>
  <si>
    <t>*       GASTOS DE INFORMATICA</t>
  </si>
  <si>
    <t>*       PAPELERIA Y UTILES</t>
  </si>
  <si>
    <t xml:space="preserve">        649111  OTROS TRIBUTOS</t>
  </si>
  <si>
    <t xml:space="preserve">        644311  OTROS</t>
  </si>
  <si>
    <t>*       OTROS TRIBUTOS</t>
  </si>
  <si>
    <t xml:space="preserve">        681411  DEPR EDIFS ADM</t>
  </si>
  <si>
    <t xml:space="preserve">        684130  DEP VEHICULOS</t>
  </si>
  <si>
    <t>*       GTOS . ADMINIST. DEPRECIACI</t>
  </si>
  <si>
    <t xml:space="preserve">        3216AGTOS.ADM.DIRECTO FLO 6</t>
  </si>
  <si>
    <t xml:space="preserve">        779211  ING FIN EN MED VAL</t>
  </si>
  <si>
    <t xml:space="preserve">        772111  ING FIN DEP INST FI</t>
  </si>
  <si>
    <t>*       INGRESOS FINANCIEROS</t>
  </si>
  <si>
    <t xml:space="preserve">        639111  GASTOS BANCARIOS</t>
  </si>
  <si>
    <t xml:space="preserve">        641211  IMPTO TRANSAC FINAN</t>
  </si>
  <si>
    <t xml:space="preserve">        659411  GASTOS NO DEDUCIBLE</t>
  </si>
  <si>
    <t xml:space="preserve">        659911  GASTOS DE REDONDEO</t>
  </si>
  <si>
    <t xml:space="preserve">        659113  OTROS GASTOS DE GES</t>
  </si>
  <si>
    <t xml:space="preserve">        759912  INGRESOS REDONDEO</t>
  </si>
  <si>
    <t xml:space="preserve">        777111  GCIA POR TRASLACION</t>
  </si>
  <si>
    <t xml:space="preserve">        677111  PERDIDA POR TRASLAC</t>
  </si>
  <si>
    <t xml:space="preserve">        776112  DIF DE CAMBIO SALDO</t>
  </si>
  <si>
    <t xml:space="preserve">        676111  DIFERENCIA DE CAMBI</t>
  </si>
  <si>
    <t xml:space="preserve">        676112  DIF DE CAMBIO SALDO</t>
  </si>
  <si>
    <t xml:space="preserve">        703117  OTROS ING OPERAC E</t>
  </si>
  <si>
    <t xml:space="preserve">        639413  SERV ADM. RELACION</t>
  </si>
  <si>
    <t>*       OTR.INGRESOS/EGRESO</t>
  </si>
  <si>
    <t>*       COSTOS DIRECTOS</t>
  </si>
  <si>
    <t>*       SEGUROS</t>
  </si>
  <si>
    <t xml:space="preserve">        634314  MANT Y REP- PRO,PL,</t>
  </si>
  <si>
    <t xml:space="preserve">        649112  IMP RENTA TER NO DE</t>
  </si>
  <si>
    <t>Ppto.Acum a 3</t>
  </si>
  <si>
    <t xml:space="preserve">        634114  REPUESTOS</t>
  </si>
  <si>
    <t xml:space="preserve">        641612  CANONES</t>
  </si>
  <si>
    <t xml:space="preserve">        632311  AUDITORIA Y CONTABL</t>
  </si>
  <si>
    <t xml:space="preserve">        759911  OTR INGRESOS DE GES</t>
  </si>
  <si>
    <t>VAR</t>
  </si>
  <si>
    <t>*       COSTOS DEMORAS</t>
  </si>
  <si>
    <t xml:space="preserve">SPCC: Huemul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</si>
</sst>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\ /\ yyyy"/>
    <numFmt numFmtId="165" formatCode="#,##0\-;#,##0_-;&quot; &quot;"/>
    <numFmt numFmtId="166" formatCode="#,##0_-;#,##0\-;&quot; &quot;"/>
  </numFmts>
  <fonts count="20" x14ac:knownFonts="1">
    <font>
      <sz val="10"/>
      <name val="Arial"/>
    </font>
    <font>
      <sz val="10"/>
      <name val="Arial"/>
      <family val="2"/>
    </font>
    <font>
      <b/>
      <i/>
      <sz val="22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2" fillId="0" borderId="1" applyNumberFormat="0" applyFill="0" applyBorder="0" applyAlignment="0" applyProtection="0">
      <alignment horizontal="left"/>
    </xf>
    <xf numFmtId="0" fontId="8" fillId="0" borderId="0"/>
    <xf numFmtId="0" fontId="1" fillId="0" borderId="0"/>
    <xf numFmtId="0" fontId="6" fillId="0" borderId="0"/>
    <xf numFmtId="0" fontId="7" fillId="0" borderId="0"/>
    <xf numFmtId="0" fontId="7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0">
    <xf numFmtId="0" fontId="0" fillId="0" borderId="0" xfId="0"/>
    <xf numFmtId="3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3" fontId="5" fillId="2" borderId="0" xfId="0" applyNumberFormat="1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15" fillId="0" borderId="0" xfId="0" applyFont="1"/>
    <xf numFmtId="3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3" fontId="4" fillId="2" borderId="0" xfId="0" applyNumberFormat="1" applyFont="1" applyFill="1" applyAlignment="1">
      <alignment horizontal="left"/>
    </xf>
    <xf numFmtId="3" fontId="4" fillId="2" borderId="0" xfId="0" quotePrefix="1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15" fillId="13" borderId="0" xfId="0" applyFont="1" applyFill="1"/>
    <xf numFmtId="3" fontId="15" fillId="0" borderId="0" xfId="0" applyNumberFormat="1" applyFont="1"/>
    <xf numFmtId="0" fontId="15" fillId="14" borderId="0" xfId="0" applyFont="1" applyFill="1"/>
    <xf numFmtId="3" fontId="15" fillId="14" borderId="0" xfId="0" applyNumberFormat="1" applyFont="1" applyFill="1"/>
    <xf numFmtId="3" fontId="10" fillId="3" borderId="0" xfId="0" applyNumberFormat="1" applyFont="1" applyFill="1"/>
    <xf numFmtId="0" fontId="15" fillId="0" borderId="0" xfId="0" applyFont="1" applyAlignment="1">
      <alignment horizontal="left"/>
    </xf>
    <xf numFmtId="0" fontId="16" fillId="0" borderId="0" xfId="0" applyFont="1"/>
    <xf numFmtId="0" fontId="15" fillId="13" borderId="0" xfId="0" applyFont="1" applyFill="1" applyAlignment="1">
      <alignment horizontal="left"/>
    </xf>
    <xf numFmtId="3" fontId="4" fillId="0" borderId="0" xfId="5" applyNumberFormat="1" applyFont="1" applyAlignment="1">
      <alignment horizontal="left"/>
    </xf>
    <xf numFmtId="3" fontId="10" fillId="0" borderId="0" xfId="0" applyNumberFormat="1" applyFont="1"/>
    <xf numFmtId="3" fontId="10" fillId="0" borderId="0" xfId="0" applyNumberFormat="1" applyFont="1" applyAlignment="1">
      <alignment horizontal="left"/>
    </xf>
    <xf numFmtId="0" fontId="4" fillId="2" borderId="0" xfId="7" applyNumberFormat="1" applyFont="1" applyFill="1" applyAlignment="1">
      <alignment horizontal="center"/>
    </xf>
    <xf numFmtId="0" fontId="4" fillId="0" borderId="0" xfId="7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11" fillId="3" borderId="0" xfId="6" applyNumberFormat="1" applyFont="1" applyFill="1"/>
    <xf numFmtId="3" fontId="5" fillId="3" borderId="0" xfId="0" applyNumberFormat="1" applyFont="1" applyFill="1"/>
    <xf numFmtId="3" fontId="4" fillId="3" borderId="0" xfId="0" applyNumberFormat="1" applyFont="1" applyFill="1"/>
    <xf numFmtId="3" fontId="10" fillId="4" borderId="0" xfId="0" applyNumberFormat="1" applyFont="1" applyFill="1"/>
    <xf numFmtId="3" fontId="12" fillId="0" borderId="0" xfId="0" applyNumberFormat="1" applyFont="1"/>
    <xf numFmtId="3" fontId="5" fillId="0" borderId="0" xfId="0" applyNumberFormat="1" applyFont="1"/>
    <xf numFmtId="3" fontId="10" fillId="2" borderId="0" xfId="0" applyNumberFormat="1" applyFont="1" applyFill="1"/>
    <xf numFmtId="3" fontId="4" fillId="2" borderId="0" xfId="6" applyNumberFormat="1" applyFont="1" applyFill="1"/>
    <xf numFmtId="4" fontId="10" fillId="0" borderId="0" xfId="0" applyNumberFormat="1" applyFont="1"/>
    <xf numFmtId="0" fontId="10" fillId="0" borderId="0" xfId="0" applyFont="1" applyAlignment="1">
      <alignment horizontal="left"/>
    </xf>
    <xf numFmtId="3" fontId="10" fillId="5" borderId="0" xfId="0" applyNumberFormat="1" applyFont="1" applyFill="1"/>
    <xf numFmtId="3" fontId="10" fillId="6" borderId="0" xfId="0" applyNumberFormat="1" applyFont="1" applyFill="1"/>
    <xf numFmtId="3" fontId="10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 indent="3"/>
    </xf>
    <xf numFmtId="3" fontId="10" fillId="0" borderId="0" xfId="3" applyNumberFormat="1" applyFont="1"/>
    <xf numFmtId="0" fontId="16" fillId="0" borderId="0" xfId="0" applyFont="1" applyAlignment="1">
      <alignment horizontal="center" vertical="center" wrapText="1"/>
    </xf>
    <xf numFmtId="0" fontId="17" fillId="15" borderId="0" xfId="0" applyFont="1" applyFill="1"/>
    <xf numFmtId="4" fontId="4" fillId="0" borderId="0" xfId="0" applyNumberFormat="1" applyFont="1"/>
    <xf numFmtId="3" fontId="10" fillId="16" borderId="0" xfId="0" applyNumberFormat="1" applyFont="1" applyFill="1"/>
    <xf numFmtId="3" fontId="10" fillId="5" borderId="0" xfId="3" applyNumberFormat="1" applyFont="1" applyFill="1" applyAlignment="1">
      <alignment horizontal="right"/>
    </xf>
    <xf numFmtId="3" fontId="10" fillId="3" borderId="0" xfId="3" applyNumberFormat="1" applyFont="1" applyFill="1" applyAlignment="1">
      <alignment horizontal="right"/>
    </xf>
    <xf numFmtId="3" fontId="10" fillId="6" borderId="0" xfId="3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0" fillId="7" borderId="0" xfId="0" applyFill="1"/>
    <xf numFmtId="49" fontId="4" fillId="8" borderId="2" xfId="0" applyNumberFormat="1" applyFont="1" applyFill="1" applyBorder="1" applyAlignment="1">
      <alignment horizontal="left"/>
    </xf>
    <xf numFmtId="49" fontId="4" fillId="8" borderId="2" xfId="0" applyNumberFormat="1" applyFont="1" applyFill="1" applyBorder="1" applyAlignment="1">
      <alignment horizontal="center"/>
    </xf>
    <xf numFmtId="49" fontId="0" fillId="9" borderId="3" xfId="0" applyNumberFormat="1" applyFill="1" applyBorder="1" applyAlignment="1">
      <alignment horizontal="left"/>
    </xf>
    <xf numFmtId="165" fontId="0" fillId="9" borderId="3" xfId="0" applyNumberFormat="1" applyFill="1" applyBorder="1"/>
    <xf numFmtId="166" fontId="0" fillId="9" borderId="3" xfId="0" applyNumberFormat="1" applyFill="1" applyBorder="1"/>
    <xf numFmtId="49" fontId="0" fillId="10" borderId="3" xfId="0" applyNumberFormat="1" applyFill="1" applyBorder="1" applyAlignment="1">
      <alignment horizontal="left"/>
    </xf>
    <xf numFmtId="166" fontId="0" fillId="11" borderId="3" xfId="0" applyNumberFormat="1" applyFill="1" applyBorder="1"/>
    <xf numFmtId="165" fontId="0" fillId="11" borderId="3" xfId="0" applyNumberFormat="1" applyFill="1" applyBorder="1"/>
    <xf numFmtId="49" fontId="13" fillId="12" borderId="3" xfId="0" applyNumberFormat="1" applyFont="1" applyFill="1" applyBorder="1" applyAlignment="1">
      <alignment horizontal="left"/>
    </xf>
    <xf numFmtId="165" fontId="13" fillId="12" borderId="3" xfId="0" applyNumberFormat="1" applyFont="1" applyFill="1" applyBorder="1"/>
    <xf numFmtId="166" fontId="13" fillId="12" borderId="3" xfId="0" applyNumberFormat="1" applyFont="1" applyFill="1" applyBorder="1"/>
    <xf numFmtId="3" fontId="14" fillId="3" borderId="0" xfId="6" applyNumberFormat="1" applyFont="1" applyFill="1"/>
    <xf numFmtId="3" fontId="10" fillId="0" borderId="0" xfId="0" applyNumberFormat="1" applyFont="1" applyAlignment="1">
      <alignment horizontal="right"/>
    </xf>
    <xf numFmtId="49" fontId="1" fillId="9" borderId="3" xfId="0" applyNumberFormat="1" applyFont="1" applyFill="1" applyBorder="1" applyAlignment="1">
      <alignment horizontal="left"/>
    </xf>
    <xf numFmtId="49" fontId="1" fillId="10" borderId="3" xfId="0" applyNumberFormat="1" applyFont="1" applyFill="1" applyBorder="1" applyAlignment="1">
      <alignment horizontal="left"/>
    </xf>
    <xf numFmtId="3" fontId="18" fillId="14" borderId="0" xfId="0" applyNumberFormat="1" applyFont="1" applyFill="1"/>
    <xf numFmtId="3" fontId="4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</cellXfs>
  <cellStyles count="10">
    <cellStyle name="HeadingS" xfId="1" xr:uid="{FFAE00D6-B4FA-474F-9C28-D583466DD335}"/>
    <cellStyle name="Normal" xfId="0" builtinId="0"/>
    <cellStyle name="Normal 2" xfId="2" xr:uid="{6E6EE8FF-EB79-48F8-BBFE-AB84CEFDF2FA}"/>
    <cellStyle name="Normal 2_v1_TEMP_ADMINIS_HOLDPP_2014" xfId="3" xr:uid="{2201E8D4-6471-472E-8B6E-6DE62778AF02}"/>
    <cellStyle name="Normal 3" xfId="4" xr:uid="{7B278D7C-1685-4CA5-8E8A-025E2540D71D}"/>
    <cellStyle name="Normal_Consolidado" xfId="5" xr:uid="{627C6AAA-A967-451F-8C13-48ED4243F460}"/>
    <cellStyle name="Normal_Todas" xfId="6" xr:uid="{80BAD7CF-4222-444E-BBF7-C9B046FBB84A}"/>
    <cellStyle name="Porcentaje" xfId="7" builtinId="5"/>
    <cellStyle name="Porcentaje 2" xfId="8" xr:uid="{BE441FD5-ADE8-4250-9C91-72A71C1D5FDA}"/>
    <cellStyle name="Porcentaje 3" xfId="9" xr:uid="{5FB1AF55-16CC-45D9-A411-19EE1FA4FABD}"/>
  </cellStyles>
  <dxfs count="0"/>
  <tableStyles count="1" defaultTableStyle="TableStyleMedium9" defaultPivotStyle="PivotStyleLight16">
    <tableStyle name="Invisible" pivot="0" table="0" count="0" xr9:uid="{E5F73654-D545-407C-8B81-D9FE81B7DE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12</xdr:col>
      <xdr:colOff>274320</xdr:colOff>
      <xdr:row>40</xdr:row>
      <xdr:rowOff>175260</xdr:rowOff>
    </xdr:to>
    <xdr:pic>
      <xdr:nvPicPr>
        <xdr:cNvPr id="2062" name="Picture 3">
          <a:extLst>
            <a:ext uri="{FF2B5EF4-FFF2-40B4-BE49-F238E27FC236}">
              <a16:creationId xmlns:a16="http://schemas.microsoft.com/office/drawing/2014/main" id="{2347BD81-4A7B-57E8-C985-5D8D8487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9692640" cy="6842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624840</xdr:colOff>
          <xdr:row>7</xdr:row>
          <xdr:rowOff>76200</xdr:rowOff>
        </xdr:from>
        <xdr:to>
          <xdr:col>11</xdr:col>
          <xdr:colOff>205740</xdr:colOff>
          <xdr:row>9</xdr:row>
          <xdr:rowOff>76200</xdr:rowOff>
        </xdr:to>
        <xdr:sp macro="" textlink="">
          <xdr:nvSpPr>
            <xdr:cNvPr id="2050" name="cmdEjecutar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ONTABILIDAD%20Y%20PRESUPUESTOS/PRESUPUESTO/2016/PPTO%202016/Holding%20Petral%20Perseus/Control%20Consolidado%20Petral%20Perseus/Presupuesto%20Ejecutado.xls" TargetMode="External"/><Relationship Id="rId1" Type="http://schemas.openxmlformats.org/officeDocument/2006/relationships/externalLinkPath" Target="/CONTABILIDAD%20Y%20PRESUPUESTOS/PRESUPUESTO/2016/PPTO%202016/Holding%20Petral%20Perseus/Control%20Consolidado%20Petral%20Perseus/Presupuesto%20Ejecut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ado Financiero"/>
      <sheetName val="Balance Gral."/>
      <sheetName val="Gananc. y Perd."/>
      <sheetName val="Balance x Cia."/>
      <sheetName val="Gananc. y Perd. x Cia."/>
      <sheetName val="Result. x Naves"/>
      <sheetName val="Result. x Unid."/>
      <sheetName val="Presupuesto"/>
      <sheetName val="Consolidado"/>
      <sheetName val="Flota Propia"/>
      <sheetName val="Isabel Barreto"/>
      <sheetName val="Pavayacu"/>
      <sheetName val="Capahuari"/>
      <sheetName val="Samiria"/>
      <sheetName val="Andoas"/>
      <sheetName val="TBN"/>
      <sheetName val="Remolcadores"/>
      <sheetName val="Manu"/>
      <sheetName val="Lachay"/>
      <sheetName val="San Gallan"/>
      <sheetName val="Calipuy"/>
      <sheetName val="Ballestas"/>
      <sheetName val="Samanco"/>
      <sheetName val="Remolque Terceros"/>
      <sheetName val="Flota Contratada"/>
      <sheetName val="Charter"/>
      <sheetName val="Otros Negocios - Fender"/>
      <sheetName val="Gastos de Oficina"/>
      <sheetName val="Oficina Flota Propia"/>
      <sheetName val="Oficina Remolcadores"/>
      <sheetName val="Oficina Flota Contratada"/>
      <sheetName val="Configuracion"/>
      <sheetName val="Configuracion BACKUP"/>
      <sheetName val="Parametros"/>
      <sheetName val="Módulo2"/>
      <sheetName val="Módulo3"/>
      <sheetName val="Módulo4"/>
      <sheetName val="Módulo5"/>
      <sheetName val="Módulo6"/>
      <sheetName val="PRESUPUESTO EJECU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3999-ECEB-43BC-A197-8531E1F10FAF}">
  <sheetPr codeName="Hoja24"/>
  <dimension ref="A1"/>
  <sheetViews>
    <sheetView showGridLines="0" showRowColHeaders="0" topLeftCell="A22" zoomScaleNormal="100" workbookViewId="0"/>
  </sheetViews>
  <sheetFormatPr baseColWidth="10" defaultColWidth="11.44140625" defaultRowHeight="13.2" x14ac:dyDescent="0.25"/>
  <sheetData/>
  <sheetProtection sheet="1" objects="1" scenarios="1"/>
  <phoneticPr fontId="3" type="noConversion"/>
  <pageMargins left="0.75" right="0.75" top="1" bottom="1" header="0" footer="0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50" r:id="rId4" name="cmdEjecutar">
          <controlPr defaultSize="0" autoLine="0" r:id="rId5">
            <anchor moveWithCells="1">
              <from>
                <xdr:col>9</xdr:col>
                <xdr:colOff>624840</xdr:colOff>
                <xdr:row>7</xdr:row>
                <xdr:rowOff>76200</xdr:rowOff>
              </from>
              <to>
                <xdr:col>11</xdr:col>
                <xdr:colOff>205740</xdr:colOff>
                <xdr:row>9</xdr:row>
                <xdr:rowOff>76200</xdr:rowOff>
              </to>
            </anchor>
          </controlPr>
        </control>
      </mc:Choice>
      <mc:Fallback>
        <control shapeId="2050" r:id="rId4" name="cmdEjecuta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8B90-0DC0-473A-A1D9-5852F4340FD1}">
  <sheetPr codeName="Hoja1">
    <tabColor theme="4" tint="-0.499984740745262"/>
    <outlinePr summaryBelow="0"/>
    <pageSetUpPr fitToPage="1"/>
  </sheetPr>
  <dimension ref="A1:IA122"/>
  <sheetViews>
    <sheetView showGridLines="0" zoomScale="75" zoomScaleNormal="75" workbookViewId="0">
      <pane xSplit="3" ySplit="6" topLeftCell="D7" activePane="bottomRight" state="frozen"/>
      <selection activeCell="F1" sqref="F1:F65536"/>
      <selection pane="topRight" activeCell="F1" sqref="F1:F65536"/>
      <selection pane="bottomLeft" activeCell="F1" sqref="F1:F65536"/>
      <selection pane="bottomRight" activeCell="I47" sqref="I47"/>
    </sheetView>
  </sheetViews>
  <sheetFormatPr baseColWidth="10" defaultColWidth="11.44140625" defaultRowHeight="13.8" outlineLevelRow="1" x14ac:dyDescent="0.25"/>
  <cols>
    <col min="1" max="1" width="36.5546875" style="21" hidden="1" customWidth="1"/>
    <col min="2" max="2" width="35.77734375" style="4" customWidth="1"/>
    <col min="3" max="3" width="0.6640625" style="21" customWidth="1"/>
    <col min="4" max="8" width="11.77734375" style="21" customWidth="1"/>
    <col min="9" max="15" width="5.44140625" style="21" customWidth="1"/>
    <col min="16" max="16" width="0.6640625" style="21" customWidth="1"/>
    <col min="17" max="17" width="11.6640625" style="21" bestFit="1" customWidth="1"/>
    <col min="18" max="18" width="11.109375" style="21" customWidth="1"/>
    <col min="19" max="19" width="11.21875" style="21" customWidth="1"/>
    <col min="20" max="20" width="5.109375" style="21" customWidth="1"/>
    <col min="21" max="21" width="0.6640625" style="21" customWidth="1"/>
    <col min="22" max="22" width="11.6640625" style="21" bestFit="1" customWidth="1"/>
    <col min="23" max="23" width="0.6640625" style="21" customWidth="1"/>
    <col min="24" max="24" width="12.44140625" style="21" bestFit="1" customWidth="1"/>
    <col min="25" max="16384" width="11.44140625" style="21"/>
  </cols>
  <sheetData>
    <row r="1" spans="1:26" ht="14.4" customHeight="1" x14ac:dyDescent="0.25">
      <c r="B1" s="20"/>
      <c r="Z1" s="21">
        <f>+MONTH(B3)</f>
        <v>5</v>
      </c>
    </row>
    <row r="2" spans="1:26" s="7" customFormat="1" ht="14.4" customHeight="1" x14ac:dyDescent="0.25">
      <c r="B2" s="7" t="s">
        <v>0</v>
      </c>
      <c r="D2" s="21"/>
      <c r="E2" s="21"/>
      <c r="F2" s="21"/>
      <c r="G2" s="21"/>
      <c r="H2" s="21"/>
      <c r="I2" s="21"/>
      <c r="J2" s="21"/>
      <c r="K2" s="21"/>
      <c r="L2" s="21"/>
      <c r="M2" s="21"/>
      <c r="X2" s="7" t="s">
        <v>1</v>
      </c>
    </row>
    <row r="3" spans="1:26" s="7" customFormat="1" ht="14.4" customHeight="1" x14ac:dyDescent="0.25">
      <c r="B3" s="8">
        <v>46143</v>
      </c>
      <c r="D3" s="67" t="s">
        <v>2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X3" s="7" t="s">
        <v>1</v>
      </c>
    </row>
    <row r="4" spans="1:26" s="22" customFormat="1" ht="1.95" customHeight="1" x14ac:dyDescent="0.25">
      <c r="B4" s="7"/>
    </row>
    <row r="5" spans="1:26" s="7" customFormat="1" x14ac:dyDescent="0.25">
      <c r="B5" s="9"/>
      <c r="D5" s="10"/>
      <c r="E5" s="10"/>
      <c r="F5" s="10"/>
      <c r="G5" s="10"/>
      <c r="H5" s="10"/>
      <c r="I5" s="1"/>
      <c r="J5" s="10"/>
      <c r="K5" s="10"/>
      <c r="L5" s="10"/>
      <c r="M5" s="10"/>
      <c r="N5" s="10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26" ht="12.75" customHeight="1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+B3-365</f>
        <v>45778</v>
      </c>
    </row>
    <row r="7" spans="1:26" ht="4.2" customHeight="1" x14ac:dyDescent="0.25">
      <c r="B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4" customFormat="1" x14ac:dyDescent="0.25">
      <c r="B8" s="3" t="s">
        <v>24</v>
      </c>
      <c r="D8" s="2">
        <v>1722066.9</v>
      </c>
      <c r="E8" s="2">
        <v>2111191.85</v>
      </c>
      <c r="F8" s="2">
        <v>2658974.6899999995</v>
      </c>
      <c r="G8" s="2">
        <v>1923319.54</v>
      </c>
      <c r="H8" s="2">
        <v>2702829.48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11118382.459999999</v>
      </c>
      <c r="R8" s="2">
        <v>9709260</v>
      </c>
      <c r="S8" s="2">
        <v>1409122.459999999</v>
      </c>
      <c r="T8" s="2">
        <v>14.513180819135538</v>
      </c>
      <c r="V8" s="2">
        <v>22433750</v>
      </c>
      <c r="X8" s="2">
        <v>8456501.7300000004</v>
      </c>
    </row>
    <row r="9" spans="1:26" x14ac:dyDescent="0.25">
      <c r="A9" s="53" t="s">
        <v>371</v>
      </c>
      <c r="B9" s="16" t="s">
        <v>25</v>
      </c>
      <c r="D9" s="26">
        <v>1041229.44</v>
      </c>
      <c r="E9" s="26">
        <v>1827318.95</v>
      </c>
      <c r="F9" s="26">
        <v>1992698.17</v>
      </c>
      <c r="G9" s="26">
        <v>1361976.84</v>
      </c>
      <c r="H9" s="26">
        <v>2170959.65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Q9" s="16">
        <v>8394183.0499999989</v>
      </c>
      <c r="R9" s="26">
        <v>7732260</v>
      </c>
      <c r="S9" s="16">
        <v>661923.04999999888</v>
      </c>
      <c r="T9" s="16">
        <v>8.5605379281089728</v>
      </c>
      <c r="V9" s="26">
        <v>18193750</v>
      </c>
      <c r="X9" s="16">
        <v>6133555</v>
      </c>
    </row>
    <row r="10" spans="1:26" x14ac:dyDescent="0.25">
      <c r="A10" s="64" t="s">
        <v>456</v>
      </c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Q10" s="16">
        <v>0</v>
      </c>
      <c r="R10" s="26">
        <v>0</v>
      </c>
      <c r="S10" s="16">
        <v>0</v>
      </c>
      <c r="T10" s="16">
        <v>0</v>
      </c>
      <c r="V10" s="26">
        <v>0</v>
      </c>
      <c r="X10" s="16">
        <v>0</v>
      </c>
    </row>
    <row r="11" spans="1:26" x14ac:dyDescent="0.25">
      <c r="A11" s="64" t="s">
        <v>374</v>
      </c>
      <c r="B11" s="16" t="s">
        <v>27</v>
      </c>
      <c r="D11" s="26">
        <v>604689.25</v>
      </c>
      <c r="E11" s="26">
        <v>215350</v>
      </c>
      <c r="F11" s="26">
        <v>562537.01</v>
      </c>
      <c r="G11" s="26">
        <v>484964.72</v>
      </c>
      <c r="H11" s="26">
        <v>465646.06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Q11" s="16">
        <v>2333187.04</v>
      </c>
      <c r="R11" s="26">
        <v>1610000</v>
      </c>
      <c r="S11" s="16">
        <v>723187.04</v>
      </c>
      <c r="T11" s="16">
        <v>44.918449689440997</v>
      </c>
      <c r="V11" s="26">
        <v>3460000</v>
      </c>
      <c r="X11" s="16">
        <v>2034225.29</v>
      </c>
    </row>
    <row r="12" spans="1:26" x14ac:dyDescent="0.25">
      <c r="A12" s="64" t="s">
        <v>375</v>
      </c>
      <c r="B12" s="16" t="s">
        <v>28</v>
      </c>
      <c r="D12" s="26">
        <v>76148.210000000006</v>
      </c>
      <c r="E12" s="26">
        <v>68522.899999999994</v>
      </c>
      <c r="F12" s="26">
        <v>103739.51</v>
      </c>
      <c r="G12" s="26">
        <v>76377.98</v>
      </c>
      <c r="H12" s="26">
        <v>66223.77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Q12" s="16">
        <v>391012.37</v>
      </c>
      <c r="R12" s="26">
        <v>367000</v>
      </c>
      <c r="S12" s="16">
        <v>24012.369999999995</v>
      </c>
      <c r="T12" s="16">
        <v>6.5428801089918247</v>
      </c>
      <c r="V12" s="26">
        <v>780000</v>
      </c>
      <c r="X12" s="16">
        <v>288721.43999999994</v>
      </c>
    </row>
    <row r="13" spans="1:26" x14ac:dyDescent="0.25">
      <c r="A13" s="64" t="s">
        <v>602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Q13" s="16">
        <v>0</v>
      </c>
      <c r="R13" s="26">
        <v>0</v>
      </c>
      <c r="S13" s="16">
        <v>0</v>
      </c>
      <c r="T13" s="16">
        <v>0</v>
      </c>
      <c r="V13" s="26">
        <v>0</v>
      </c>
      <c r="X13" s="16">
        <v>0</v>
      </c>
    </row>
    <row r="14" spans="1:26" ht="3.6" customHeight="1" x14ac:dyDescent="0.25"/>
    <row r="15" spans="1:26" s="4" customFormat="1" x14ac:dyDescent="0.25">
      <c r="B15" s="27" t="s">
        <v>30</v>
      </c>
      <c r="D15" s="28">
        <v>-493471.6</v>
      </c>
      <c r="E15" s="28">
        <v>-715684.56</v>
      </c>
      <c r="F15" s="28">
        <v>-581044.39</v>
      </c>
      <c r="G15" s="28">
        <v>-449259.95999999996</v>
      </c>
      <c r="H15" s="28">
        <v>-682277.99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Q15" s="28">
        <v>-2921738.5</v>
      </c>
      <c r="R15" s="28">
        <v>-2944787.4299999997</v>
      </c>
      <c r="S15" s="28">
        <v>23048.930000000044</v>
      </c>
      <c r="T15" s="28">
        <v>-0.78270267541858018</v>
      </c>
      <c r="V15" s="28">
        <v>-6890694.1500000004</v>
      </c>
      <c r="X15" s="28">
        <v>-2465161.83</v>
      </c>
    </row>
    <row r="16" spans="1:26" x14ac:dyDescent="0.25">
      <c r="A16" s="64" t="s">
        <v>379</v>
      </c>
      <c r="B16" s="16" t="s">
        <v>31</v>
      </c>
      <c r="D16" s="26">
        <v>-177692.04</v>
      </c>
      <c r="E16" s="26">
        <v>-232201.91</v>
      </c>
      <c r="F16" s="26">
        <v>-187359</v>
      </c>
      <c r="G16" s="26">
        <v>-189898.4</v>
      </c>
      <c r="H16" s="26">
        <v>-237922.54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16">
        <v>-1025073.89</v>
      </c>
      <c r="R16" s="26">
        <v>-1207787.43</v>
      </c>
      <c r="S16" s="16">
        <v>182713.53999999992</v>
      </c>
      <c r="T16" s="16">
        <v>-15.127955090574169</v>
      </c>
      <c r="V16" s="26">
        <v>-2892694.15</v>
      </c>
      <c r="X16" s="16">
        <v>-1077494.6499999999</v>
      </c>
    </row>
    <row r="17" spans="1:235" x14ac:dyDescent="0.25">
      <c r="A17" s="64" t="s">
        <v>381</v>
      </c>
      <c r="B17" s="16" t="s">
        <v>32</v>
      </c>
      <c r="D17" s="26">
        <v>-315779.56</v>
      </c>
      <c r="E17" s="26">
        <v>-483482.65</v>
      </c>
      <c r="F17" s="26">
        <v>-390235.4</v>
      </c>
      <c r="G17" s="26">
        <v>-259361.56</v>
      </c>
      <c r="H17" s="26">
        <v>-330840.45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16">
        <v>-1779699.6199999999</v>
      </c>
      <c r="R17" s="26">
        <v>-1737000</v>
      </c>
      <c r="S17" s="16">
        <v>-42699.619999999879</v>
      </c>
      <c r="T17" s="16">
        <v>2.4582394933793825</v>
      </c>
      <c r="V17" s="26">
        <v>-3998000</v>
      </c>
      <c r="X17" s="16">
        <v>-1387667.18</v>
      </c>
    </row>
    <row r="18" spans="1:235" ht="13.8" customHeight="1" x14ac:dyDescent="0.25">
      <c r="A18" s="53" t="s">
        <v>615</v>
      </c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-112500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16">
        <v>-112500</v>
      </c>
      <c r="R18" s="26">
        <v>0</v>
      </c>
      <c r="S18" s="16">
        <v>-112500</v>
      </c>
      <c r="T18" s="16">
        <v>0</v>
      </c>
      <c r="V18" s="26">
        <v>0</v>
      </c>
      <c r="X18" s="16">
        <v>0</v>
      </c>
    </row>
    <row r="19" spans="1:235" s="29" customFormat="1" ht="13.8" hidden="1" customHeight="1" x14ac:dyDescent="0.25">
      <c r="A19" s="21"/>
      <c r="B19" s="29" t="s">
        <v>34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1"/>
      <c r="Q19" s="16">
        <v>0</v>
      </c>
      <c r="R19" s="26">
        <v>0</v>
      </c>
      <c r="S19" s="16">
        <v>0</v>
      </c>
      <c r="T19" s="29">
        <v>0</v>
      </c>
      <c r="U19" s="21"/>
      <c r="V19" s="26">
        <v>0</v>
      </c>
      <c r="W19" s="21"/>
      <c r="X19" s="16">
        <v>0</v>
      </c>
    </row>
    <row r="20" spans="1:235" x14ac:dyDescent="0.25">
      <c r="A20" s="64" t="s">
        <v>383</v>
      </c>
      <c r="B20" s="16" t="s">
        <v>35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16">
        <v>0</v>
      </c>
      <c r="R20" s="26">
        <v>0</v>
      </c>
      <c r="S20" s="16">
        <v>0</v>
      </c>
      <c r="T20" s="16">
        <v>0</v>
      </c>
      <c r="V20" s="26">
        <v>0</v>
      </c>
      <c r="X20" s="16">
        <v>0</v>
      </c>
    </row>
    <row r="21" spans="1:235" x14ac:dyDescent="0.25">
      <c r="A21" s="53" t="s">
        <v>478</v>
      </c>
      <c r="B21" s="16" t="s">
        <v>36</v>
      </c>
      <c r="D21" s="26">
        <v>0</v>
      </c>
      <c r="E21" s="26">
        <v>0</v>
      </c>
      <c r="F21" s="26">
        <v>-3449.99</v>
      </c>
      <c r="G21" s="26">
        <v>0</v>
      </c>
      <c r="H21" s="26">
        <v>-1015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Q21" s="16">
        <v>-4464.99</v>
      </c>
      <c r="R21" s="26">
        <v>0</v>
      </c>
      <c r="S21" s="16">
        <v>-4464.99</v>
      </c>
      <c r="T21" s="16">
        <v>0</v>
      </c>
      <c r="V21" s="26">
        <v>0</v>
      </c>
      <c r="X21" s="16">
        <v>0</v>
      </c>
    </row>
    <row r="22" spans="1:235" s="29" customFormat="1" ht="13.8" hidden="1" customHeight="1" x14ac:dyDescent="0.25">
      <c r="A22" s="21"/>
      <c r="B22" s="29" t="s">
        <v>37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1"/>
      <c r="Q22" s="29">
        <v>0</v>
      </c>
      <c r="R22" s="29">
        <v>0</v>
      </c>
      <c r="S22" s="29">
        <v>0</v>
      </c>
      <c r="T22" s="29">
        <v>0</v>
      </c>
      <c r="U22" s="21"/>
      <c r="V22" s="29">
        <v>0</v>
      </c>
      <c r="W22" s="21"/>
      <c r="X22" s="29">
        <v>0</v>
      </c>
    </row>
    <row r="23" spans="1:235" ht="4.2" customHeight="1" x14ac:dyDescent="0.25">
      <c r="B23" s="30"/>
    </row>
    <row r="24" spans="1:235" ht="12.75" customHeight="1" x14ac:dyDescent="0.25">
      <c r="B24" s="3" t="s">
        <v>38</v>
      </c>
      <c r="C24" s="4"/>
      <c r="D24" s="2">
        <v>1228595.2999999998</v>
      </c>
      <c r="E24" s="2">
        <v>1395507.29</v>
      </c>
      <c r="F24" s="2">
        <v>2077930.2999999993</v>
      </c>
      <c r="G24" s="2">
        <v>1474059.58</v>
      </c>
      <c r="H24" s="2">
        <v>2020551.49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8196643.959999999</v>
      </c>
      <c r="R24" s="2">
        <v>6764472.5700000003</v>
      </c>
      <c r="S24" s="2">
        <v>1432171.389999999</v>
      </c>
      <c r="T24" s="2">
        <v>21.171959456995758</v>
      </c>
      <c r="U24" s="4"/>
      <c r="V24" s="2">
        <v>15543055.85</v>
      </c>
      <c r="W24" s="4"/>
      <c r="X24" s="2">
        <v>5991339.9000000004</v>
      </c>
    </row>
    <row r="25" spans="1:235" ht="4.2" customHeight="1" x14ac:dyDescent="0.25">
      <c r="B25" s="3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35" x14ac:dyDescent="0.25">
      <c r="A26" s="56" t="s">
        <v>479</v>
      </c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-417912.29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16">
        <v>-417912.29</v>
      </c>
      <c r="R26" s="26">
        <v>0</v>
      </c>
      <c r="S26" s="16">
        <v>-417912.29</v>
      </c>
      <c r="T26" s="16">
        <v>0</v>
      </c>
      <c r="V26" s="26">
        <v>0</v>
      </c>
      <c r="X26" s="16">
        <v>0</v>
      </c>
    </row>
    <row r="27" spans="1:235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35" s="32" customFormat="1" ht="12.75" customHeight="1" x14ac:dyDescent="0.25">
      <c r="A28" s="21"/>
      <c r="B28" s="3" t="s">
        <v>40</v>
      </c>
      <c r="C28" s="4"/>
      <c r="D28" s="2">
        <v>1228595.2999999998</v>
      </c>
      <c r="E28" s="2">
        <v>1395507.29</v>
      </c>
      <c r="F28" s="2">
        <v>2077930.2999999993</v>
      </c>
      <c r="G28" s="2">
        <v>1474059.58</v>
      </c>
      <c r="H28" s="2">
        <v>1602639.2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7778731.669999999</v>
      </c>
      <c r="R28" s="2">
        <v>6764472.5700000003</v>
      </c>
      <c r="S28" s="2">
        <v>1014259.0999999989</v>
      </c>
      <c r="T28" s="32">
        <v>14.993912526132084</v>
      </c>
      <c r="U28" s="21"/>
      <c r="V28" s="2">
        <v>15543055.85</v>
      </c>
      <c r="W28" s="4"/>
      <c r="X28" s="2">
        <v>3336817.16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</row>
    <row r="29" spans="1:235" ht="3.6" customHeight="1" x14ac:dyDescent="0.25">
      <c r="B29" s="30"/>
    </row>
    <row r="30" spans="1:235" s="4" customFormat="1" collapsed="1" x14ac:dyDescent="0.25">
      <c r="B30" s="27" t="s">
        <v>41</v>
      </c>
      <c r="D30" s="28">
        <v>-307128.8</v>
      </c>
      <c r="E30" s="28">
        <v>-401979.63000000006</v>
      </c>
      <c r="F30" s="28">
        <v>-337687.37999999995</v>
      </c>
      <c r="G30" s="28">
        <v>-324665.37999999995</v>
      </c>
      <c r="H30" s="28">
        <v>-343379.91000000003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Q30" s="28">
        <v>-1714841.0999999999</v>
      </c>
      <c r="R30" s="28">
        <v>-1856283.76</v>
      </c>
      <c r="S30" s="28">
        <v>141442.66000000015</v>
      </c>
      <c r="T30" s="28">
        <v>-7.6196680188593655</v>
      </c>
      <c r="V30" s="28">
        <v>-4344042.96</v>
      </c>
      <c r="X30" s="28">
        <v>-1548284.2399999998</v>
      </c>
    </row>
    <row r="31" spans="1:235" s="4" customFormat="1" hidden="1" outlineLevel="1" x14ac:dyDescent="0.25">
      <c r="B31" s="16" t="s">
        <v>42</v>
      </c>
      <c r="D31" s="16">
        <v>-307128.8</v>
      </c>
      <c r="E31" s="16">
        <v>-401979.63000000006</v>
      </c>
      <c r="F31" s="16">
        <v>-337687.37999999995</v>
      </c>
      <c r="G31" s="16">
        <v>-324665.37999999995</v>
      </c>
      <c r="H31" s="16">
        <v>-343379.91000000003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-1714841.0999999999</v>
      </c>
      <c r="R31" s="16">
        <v>-1856283.76</v>
      </c>
      <c r="S31" s="16">
        <v>141442.66000000015</v>
      </c>
      <c r="T31" s="28">
        <v>-7.6196680188593655</v>
      </c>
      <c r="U31" s="21"/>
      <c r="V31" s="16">
        <v>-4344042.96</v>
      </c>
      <c r="W31" s="21"/>
      <c r="X31" s="16">
        <v>-1548284.2399999998</v>
      </c>
    </row>
    <row r="32" spans="1:235" s="4" customFormat="1" ht="3.6" hidden="1" customHeight="1" outlineLevel="1" x14ac:dyDescent="0.25">
      <c r="B32" s="31"/>
      <c r="T32" s="4">
        <v>0</v>
      </c>
    </row>
    <row r="33" spans="1:24" ht="13.8" hidden="1" customHeight="1" outlineLevel="1" x14ac:dyDescent="0.25">
      <c r="A33" s="64" t="s">
        <v>390</v>
      </c>
      <c r="B33" s="16" t="s">
        <v>43</v>
      </c>
      <c r="C33" s="4"/>
      <c r="D33" s="26">
        <v>-185547.12</v>
      </c>
      <c r="E33" s="26">
        <v>-279897.96000000002</v>
      </c>
      <c r="F33" s="26">
        <v>-193455.21</v>
      </c>
      <c r="G33" s="26">
        <v>-203027.9</v>
      </c>
      <c r="H33" s="26">
        <v>-209116.51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16">
        <v>-1071044.7000000002</v>
      </c>
      <c r="R33" s="26">
        <v>-1046041.44</v>
      </c>
      <c r="S33" s="16">
        <v>-25003.260000000242</v>
      </c>
      <c r="T33" s="16">
        <v>2.3902743279463423</v>
      </c>
      <c r="V33" s="26">
        <v>-2411431.34</v>
      </c>
      <c r="X33" s="16">
        <v>-982081.21</v>
      </c>
    </row>
    <row r="34" spans="1:24" ht="13.8" hidden="1" customHeight="1" outlineLevel="1" x14ac:dyDescent="0.25">
      <c r="A34" s="64" t="s">
        <v>392</v>
      </c>
      <c r="B34" s="16" t="s">
        <v>44</v>
      </c>
      <c r="C34" s="4"/>
      <c r="D34" s="26">
        <v>-12772.42</v>
      </c>
      <c r="E34" s="26">
        <v>-13543.83</v>
      </c>
      <c r="F34" s="26">
        <v>-12200.26</v>
      </c>
      <c r="G34" s="26">
        <v>-12032.7</v>
      </c>
      <c r="H34" s="26">
        <v>-19470.34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16">
        <v>-70019.55</v>
      </c>
      <c r="R34" s="26">
        <v>-80142.5</v>
      </c>
      <c r="S34" s="16">
        <v>10122.949999999997</v>
      </c>
      <c r="T34" s="16">
        <v>-12.631188196025825</v>
      </c>
      <c r="V34" s="26">
        <v>-195395.54</v>
      </c>
      <c r="X34" s="16">
        <v>-45239.64</v>
      </c>
    </row>
    <row r="35" spans="1:24" ht="13.8" hidden="1" customHeight="1" outlineLevel="1" x14ac:dyDescent="0.25">
      <c r="A35" s="64" t="s">
        <v>393</v>
      </c>
      <c r="B35" s="16" t="s">
        <v>45</v>
      </c>
      <c r="C35" s="4"/>
      <c r="D35" s="26">
        <v>-19794.73</v>
      </c>
      <c r="E35" s="26">
        <v>-22656.3</v>
      </c>
      <c r="F35" s="26">
        <v>-32887.919999999998</v>
      </c>
      <c r="G35" s="26">
        <v>-28723.68</v>
      </c>
      <c r="H35" s="26">
        <v>-36745.980000000003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16">
        <v>-140808.61000000002</v>
      </c>
      <c r="R35" s="26">
        <v>-212141.82</v>
      </c>
      <c r="S35" s="16">
        <v>71333.209999999992</v>
      </c>
      <c r="T35" s="16">
        <v>-33.62524654497637</v>
      </c>
      <c r="V35" s="26">
        <v>-487906.62</v>
      </c>
      <c r="X35" s="16">
        <v>-116457.09000000001</v>
      </c>
    </row>
    <row r="36" spans="1:24" ht="13.8" hidden="1" customHeight="1" outlineLevel="1" x14ac:dyDescent="0.25">
      <c r="A36" s="64" t="s">
        <v>395</v>
      </c>
      <c r="B36" s="16" t="s">
        <v>46</v>
      </c>
      <c r="C36" s="4"/>
      <c r="D36" s="26">
        <v>-22418.720000000001</v>
      </c>
      <c r="E36" s="26">
        <v>-15939.07</v>
      </c>
      <c r="F36" s="26">
        <v>-18340.52</v>
      </c>
      <c r="G36" s="26">
        <v>-802.07</v>
      </c>
      <c r="H36" s="26">
        <v>-14930.08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16">
        <v>-72430.459999999992</v>
      </c>
      <c r="R36" s="26">
        <v>-91666.2</v>
      </c>
      <c r="S36" s="16">
        <v>19235.740000000005</v>
      </c>
      <c r="T36" s="16">
        <v>-20.984550466802382</v>
      </c>
      <c r="V36" s="26">
        <v>-223491.6</v>
      </c>
      <c r="X36" s="16">
        <v>-64643.3</v>
      </c>
    </row>
    <row r="37" spans="1:24" ht="13.8" hidden="1" customHeight="1" outlineLevel="1" x14ac:dyDescent="0.25">
      <c r="A37" s="64" t="s">
        <v>397</v>
      </c>
      <c r="B37" s="16" t="s">
        <v>47</v>
      </c>
      <c r="C37" s="4"/>
      <c r="D37" s="26">
        <v>-12214.01</v>
      </c>
      <c r="E37" s="26">
        <v>-17548.28</v>
      </c>
      <c r="F37" s="26">
        <v>-11487.45</v>
      </c>
      <c r="G37" s="26">
        <v>-11360.94</v>
      </c>
      <c r="H37" s="26">
        <v>-12646.21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16">
        <v>-65256.890000000007</v>
      </c>
      <c r="R37" s="26">
        <v>-71318.899999999994</v>
      </c>
      <c r="S37" s="16">
        <v>6062.0099999999875</v>
      </c>
      <c r="T37" s="16">
        <v>-8.4998646922484618</v>
      </c>
      <c r="V37" s="26">
        <v>-173882.9</v>
      </c>
      <c r="X37" s="16">
        <v>-56582.01</v>
      </c>
    </row>
    <row r="38" spans="1:24" ht="13.8" hidden="1" customHeight="1" outlineLevel="1" x14ac:dyDescent="0.25">
      <c r="A38" s="64" t="s">
        <v>399</v>
      </c>
      <c r="B38" s="16" t="s">
        <v>48</v>
      </c>
      <c r="C38" s="4"/>
      <c r="D38" s="26">
        <v>-7964.11</v>
      </c>
      <c r="E38" s="26">
        <v>-9812.6299999999992</v>
      </c>
      <c r="F38" s="26">
        <v>-6099.32</v>
      </c>
      <c r="G38" s="26">
        <v>-895.91</v>
      </c>
      <c r="H38" s="26">
        <v>-11480.44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16">
        <v>-36252.409999999996</v>
      </c>
      <c r="R38" s="26">
        <v>-36000</v>
      </c>
      <c r="S38" s="16">
        <v>-252.40999999999622</v>
      </c>
      <c r="T38" s="16">
        <v>0.70113888888887843</v>
      </c>
      <c r="V38" s="26">
        <v>-86400</v>
      </c>
      <c r="X38" s="16">
        <v>-40647.630000000005</v>
      </c>
    </row>
    <row r="39" spans="1:24" ht="13.8" hidden="1" customHeight="1" outlineLevel="1" x14ac:dyDescent="0.25">
      <c r="A39" s="64" t="s">
        <v>401</v>
      </c>
      <c r="B39" s="16" t="s">
        <v>49</v>
      </c>
      <c r="C39" s="4"/>
      <c r="D39" s="26">
        <v>-7854.87</v>
      </c>
      <c r="E39" s="26">
        <v>-8.6999999999999993</v>
      </c>
      <c r="F39" s="26">
        <v>0</v>
      </c>
      <c r="G39" s="26">
        <v>-415.46</v>
      </c>
      <c r="H39" s="26">
        <v>-156.38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16">
        <v>-8435.409999999998</v>
      </c>
      <c r="R39" s="26">
        <v>-8500</v>
      </c>
      <c r="S39" s="16">
        <v>64.590000000001965</v>
      </c>
      <c r="T39" s="16">
        <v>-0.75988235294119966</v>
      </c>
      <c r="V39" s="26">
        <v>-20400</v>
      </c>
      <c r="X39" s="16">
        <v>-5359.92</v>
      </c>
    </row>
    <row r="40" spans="1:24" ht="13.8" hidden="1" customHeight="1" outlineLevel="1" x14ac:dyDescent="0.25">
      <c r="A40" s="64" t="s">
        <v>403</v>
      </c>
      <c r="B40" s="16" t="s">
        <v>50</v>
      </c>
      <c r="C40" s="4"/>
      <c r="D40" s="26">
        <v>-185.37</v>
      </c>
      <c r="E40" s="26">
        <v>-335.49</v>
      </c>
      <c r="F40" s="26">
        <v>-47.72</v>
      </c>
      <c r="G40" s="26">
        <v>-754.84</v>
      </c>
      <c r="H40" s="26">
        <v>-859.98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16">
        <v>-2183.4</v>
      </c>
      <c r="R40" s="26">
        <v>-8000</v>
      </c>
      <c r="S40" s="16">
        <v>5816.6</v>
      </c>
      <c r="T40" s="16">
        <v>-72.707499999999996</v>
      </c>
      <c r="V40" s="26">
        <v>-19200</v>
      </c>
      <c r="X40" s="16">
        <v>-2213.04</v>
      </c>
    </row>
    <row r="41" spans="1:24" ht="13.8" hidden="1" customHeight="1" outlineLevel="1" x14ac:dyDescent="0.25">
      <c r="A41" s="64" t="s">
        <v>404</v>
      </c>
      <c r="B41" s="16" t="s">
        <v>51</v>
      </c>
      <c r="C41" s="4"/>
      <c r="D41" s="26">
        <v>-14053.24</v>
      </c>
      <c r="E41" s="26">
        <v>-18198.72</v>
      </c>
      <c r="F41" s="26">
        <v>-13049.19</v>
      </c>
      <c r="G41" s="26">
        <v>-19878.66</v>
      </c>
      <c r="H41" s="26">
        <v>-13985.06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16">
        <v>-79164.87</v>
      </c>
      <c r="R41" s="26">
        <v>-72000</v>
      </c>
      <c r="S41" s="16">
        <v>-7164.8699999999953</v>
      </c>
      <c r="T41" s="16">
        <v>9.9512083333333266</v>
      </c>
      <c r="V41" s="26">
        <v>-172800</v>
      </c>
      <c r="X41" s="16">
        <v>-49183.5</v>
      </c>
    </row>
    <row r="42" spans="1:24" ht="13.8" hidden="1" customHeight="1" outlineLevel="1" x14ac:dyDescent="0.25">
      <c r="A42" s="64" t="s">
        <v>405</v>
      </c>
      <c r="B42" s="16" t="s">
        <v>52</v>
      </c>
      <c r="C42" s="4"/>
      <c r="D42" s="26">
        <v>-24369.17</v>
      </c>
      <c r="E42" s="26">
        <v>-24024.36</v>
      </c>
      <c r="F42" s="26">
        <v>-23445.91</v>
      </c>
      <c r="G42" s="26">
        <v>-23774.74</v>
      </c>
      <c r="H42" s="26">
        <v>-23986.35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16">
        <v>-119600.53</v>
      </c>
      <c r="R42" s="26">
        <v>-131033.60000000001</v>
      </c>
      <c r="S42" s="16">
        <v>11433.070000000007</v>
      </c>
      <c r="T42" s="16">
        <v>-8.7252964125232051</v>
      </c>
      <c r="V42" s="26">
        <v>-314480.64000000001</v>
      </c>
      <c r="X42" s="16">
        <v>-117930.19</v>
      </c>
    </row>
    <row r="43" spans="1:24" ht="13.8" hidden="1" customHeight="1" outlineLevel="1" x14ac:dyDescent="0.25">
      <c r="A43" s="64" t="s">
        <v>406</v>
      </c>
      <c r="B43" s="16" t="s">
        <v>53</v>
      </c>
      <c r="C43" s="4"/>
      <c r="D43" s="26">
        <v>44.96</v>
      </c>
      <c r="E43" s="26">
        <v>-14.29</v>
      </c>
      <c r="F43" s="26">
        <v>-26673.88</v>
      </c>
      <c r="G43" s="26">
        <v>-22998.48</v>
      </c>
      <c r="H43" s="26">
        <v>-2.58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16">
        <v>-49644.270000000004</v>
      </c>
      <c r="R43" s="26">
        <v>-99439.3</v>
      </c>
      <c r="S43" s="16">
        <v>49795.03</v>
      </c>
      <c r="T43" s="16">
        <v>-50.075805038852849</v>
      </c>
      <c r="V43" s="26">
        <v>-238654.32</v>
      </c>
      <c r="X43" s="16">
        <v>-67946.709999999992</v>
      </c>
    </row>
    <row r="44" spans="1:24" ht="3" customHeight="1" x14ac:dyDescent="0.25">
      <c r="B44" s="30"/>
    </row>
    <row r="45" spans="1:24" s="4" customFormat="1" x14ac:dyDescent="0.25">
      <c r="B45" s="27" t="s">
        <v>54</v>
      </c>
      <c r="D45" s="28">
        <v>-117932.96</v>
      </c>
      <c r="E45" s="28">
        <v>-220527.15999999997</v>
      </c>
      <c r="F45" s="28">
        <v>-172453.84000000003</v>
      </c>
      <c r="G45" s="28">
        <v>-251079.25</v>
      </c>
      <c r="H45" s="28">
        <v>-229408.28999999998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Q45" s="28">
        <v>-991401.5</v>
      </c>
      <c r="R45" s="28">
        <v>-769690</v>
      </c>
      <c r="S45" s="28">
        <v>-221711.49999999994</v>
      </c>
      <c r="T45" s="28">
        <v>28.805298236952531</v>
      </c>
      <c r="V45" s="28">
        <v>-1828384</v>
      </c>
      <c r="W45" s="21"/>
      <c r="X45" s="28">
        <v>-881805.23</v>
      </c>
    </row>
    <row r="46" spans="1:24" x14ac:dyDescent="0.25">
      <c r="A46" s="64" t="s">
        <v>409</v>
      </c>
      <c r="B46" s="16" t="s">
        <v>55</v>
      </c>
      <c r="D46" s="26">
        <v>-27161.45</v>
      </c>
      <c r="E46" s="26">
        <v>-53104.49</v>
      </c>
      <c r="F46" s="26">
        <v>-5587.31</v>
      </c>
      <c r="G46" s="26">
        <v>-4539.43</v>
      </c>
      <c r="H46" s="26">
        <v>-36685.46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16">
        <v>-127078.13999999998</v>
      </c>
      <c r="R46" s="26">
        <v>-81880</v>
      </c>
      <c r="S46" s="16">
        <v>-45198.139999999985</v>
      </c>
      <c r="T46" s="16">
        <v>55.200464093795773</v>
      </c>
      <c r="V46" s="26">
        <v>-235840</v>
      </c>
      <c r="X46" s="16">
        <v>-64100.859999999993</v>
      </c>
    </row>
    <row r="47" spans="1:24" x14ac:dyDescent="0.25">
      <c r="A47" s="64" t="s">
        <v>501</v>
      </c>
      <c r="B47" s="16" t="s">
        <v>56</v>
      </c>
      <c r="D47" s="26">
        <v>-18503.14</v>
      </c>
      <c r="E47" s="26">
        <v>-95346.84</v>
      </c>
      <c r="F47" s="26">
        <v>-106898.64</v>
      </c>
      <c r="G47" s="26">
        <v>-118927.73</v>
      </c>
      <c r="H47" s="26">
        <v>-92465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16">
        <v>-432141.35</v>
      </c>
      <c r="R47" s="26">
        <v>-349350</v>
      </c>
      <c r="S47" s="16">
        <v>-82791.349999999977</v>
      </c>
      <c r="T47" s="16">
        <v>23.698683268928004</v>
      </c>
      <c r="V47" s="26">
        <v>-783600</v>
      </c>
      <c r="X47" s="16">
        <v>-423284.52</v>
      </c>
    </row>
    <row r="48" spans="1:24" x14ac:dyDescent="0.25">
      <c r="A48" s="64" t="s">
        <v>413</v>
      </c>
      <c r="B48" s="16" t="s">
        <v>57</v>
      </c>
      <c r="D48" s="26">
        <v>-39873.040000000001</v>
      </c>
      <c r="E48" s="26">
        <v>-13267.93</v>
      </c>
      <c r="F48" s="26">
        <v>-23365.59</v>
      </c>
      <c r="G48" s="26">
        <v>-60533.11</v>
      </c>
      <c r="H48" s="26">
        <v>-46452.08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16">
        <v>-183491.75</v>
      </c>
      <c r="R48" s="26">
        <v>-129000</v>
      </c>
      <c r="S48" s="16">
        <v>-54491.75</v>
      </c>
      <c r="T48" s="16">
        <v>42.241666666666667</v>
      </c>
      <c r="V48" s="26">
        <v>-309600</v>
      </c>
      <c r="X48" s="16">
        <v>-159038.21</v>
      </c>
    </row>
    <row r="49" spans="1:24" x14ac:dyDescent="0.25">
      <c r="A49" s="64" t="s">
        <v>415</v>
      </c>
      <c r="B49" s="16" t="s">
        <v>58</v>
      </c>
      <c r="D49" s="26">
        <v>-4647.3500000000004</v>
      </c>
      <c r="E49" s="26">
        <v>-20553.46</v>
      </c>
      <c r="F49" s="26">
        <v>-3113.7</v>
      </c>
      <c r="G49" s="26">
        <v>-29879.21</v>
      </c>
      <c r="H49" s="26">
        <v>-16929.900000000001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16">
        <v>-75123.62</v>
      </c>
      <c r="R49" s="26">
        <v>-40900</v>
      </c>
      <c r="S49" s="16">
        <v>-34223.619999999995</v>
      </c>
      <c r="T49" s="16">
        <v>83.676332518337389</v>
      </c>
      <c r="V49" s="26">
        <v>-94800</v>
      </c>
      <c r="X49" s="16">
        <v>-56112.89</v>
      </c>
    </row>
    <row r="50" spans="1:24" ht="12.75" customHeight="1" collapsed="1" x14ac:dyDescent="0.25">
      <c r="B50" s="16" t="s">
        <v>59</v>
      </c>
      <c r="D50" s="26">
        <v>-2435.98</v>
      </c>
      <c r="E50" s="26">
        <v>-12942.439999999999</v>
      </c>
      <c r="F50" s="26">
        <v>-8176.6</v>
      </c>
      <c r="G50" s="26">
        <v>-11887.77</v>
      </c>
      <c r="H50" s="26">
        <v>-11563.85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Q50" s="16">
        <v>-47006.64</v>
      </c>
      <c r="R50" s="16">
        <v>-42000</v>
      </c>
      <c r="S50" s="16">
        <v>-5006.6399999999994</v>
      </c>
      <c r="T50" s="16">
        <v>11.920571428571428</v>
      </c>
      <c r="V50" s="16">
        <v>-100800</v>
      </c>
      <c r="X50" s="16">
        <v>-52708.75</v>
      </c>
    </row>
    <row r="51" spans="1:24" ht="16.95" hidden="1" customHeight="1" outlineLevel="1" x14ac:dyDescent="0.25">
      <c r="A51" s="64" t="s">
        <v>418</v>
      </c>
      <c r="B51" s="16" t="s">
        <v>60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16">
        <v>0</v>
      </c>
      <c r="R51" s="26">
        <v>0</v>
      </c>
      <c r="S51" s="16">
        <v>0</v>
      </c>
      <c r="T51" s="16">
        <v>0</v>
      </c>
      <c r="V51" s="26">
        <v>0</v>
      </c>
      <c r="X51" s="16">
        <v>0</v>
      </c>
    </row>
    <row r="52" spans="1:24" ht="13.8" hidden="1" customHeight="1" outlineLevel="1" x14ac:dyDescent="0.25">
      <c r="B52" s="16" t="s">
        <v>61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16">
        <v>0</v>
      </c>
      <c r="R52" s="26">
        <v>0</v>
      </c>
      <c r="S52" s="16">
        <v>0</v>
      </c>
      <c r="T52" s="16">
        <v>0</v>
      </c>
      <c r="V52" s="26">
        <v>0</v>
      </c>
      <c r="X52" s="16">
        <v>0</v>
      </c>
    </row>
    <row r="53" spans="1:24" ht="13.8" hidden="1" customHeight="1" outlineLevel="1" x14ac:dyDescent="0.25">
      <c r="B53" s="16" t="s">
        <v>62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16">
        <v>0</v>
      </c>
      <c r="R53" s="26">
        <v>0</v>
      </c>
      <c r="S53" s="16">
        <v>0</v>
      </c>
      <c r="T53" s="16">
        <v>0</v>
      </c>
      <c r="V53" s="26">
        <v>0</v>
      </c>
      <c r="X53" s="16">
        <v>0</v>
      </c>
    </row>
    <row r="54" spans="1:24" ht="13.8" hidden="1" customHeight="1" outlineLevel="1" x14ac:dyDescent="0.25">
      <c r="A54" s="64" t="s">
        <v>423</v>
      </c>
      <c r="B54" s="16" t="s">
        <v>63</v>
      </c>
      <c r="D54" s="26">
        <v>-2735.98</v>
      </c>
      <c r="E54" s="26">
        <v>-5542.44</v>
      </c>
      <c r="F54" s="26">
        <v>-5776.6</v>
      </c>
      <c r="G54" s="26">
        <v>-5017.3999999999996</v>
      </c>
      <c r="H54" s="26">
        <v>-9609.85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16">
        <v>-28682.269999999997</v>
      </c>
      <c r="R54" s="26">
        <v>-32000</v>
      </c>
      <c r="S54" s="16">
        <v>3317.7300000000032</v>
      </c>
      <c r="T54" s="16">
        <v>-10.36790625000001</v>
      </c>
      <c r="V54" s="26">
        <v>-76800</v>
      </c>
      <c r="X54" s="16">
        <v>-41771.79</v>
      </c>
    </row>
    <row r="55" spans="1:24" ht="13.8" hidden="1" customHeight="1" outlineLevel="1" x14ac:dyDescent="0.25">
      <c r="A55" s="64" t="s">
        <v>425</v>
      </c>
      <c r="B55" s="16" t="s">
        <v>64</v>
      </c>
      <c r="D55" s="26">
        <v>300</v>
      </c>
      <c r="E55" s="26">
        <v>-7400</v>
      </c>
      <c r="F55" s="26">
        <v>-2400</v>
      </c>
      <c r="G55" s="26">
        <v>-6870.37</v>
      </c>
      <c r="H55" s="26">
        <v>-1954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16">
        <v>-18324.37</v>
      </c>
      <c r="R55" s="26">
        <v>-10000</v>
      </c>
      <c r="S55" s="16">
        <v>-8324.369999999999</v>
      </c>
      <c r="T55" s="16">
        <v>83.24369999999999</v>
      </c>
      <c r="V55" s="26">
        <v>-24000</v>
      </c>
      <c r="X55" s="16">
        <v>-10936.96</v>
      </c>
    </row>
    <row r="56" spans="1:24" x14ac:dyDescent="0.25">
      <c r="A56" s="64" t="s">
        <v>427</v>
      </c>
      <c r="B56" s="16" t="s">
        <v>65</v>
      </c>
      <c r="D56" s="26">
        <v>-25312</v>
      </c>
      <c r="E56" s="26">
        <v>-25312</v>
      </c>
      <c r="F56" s="26">
        <v>-25312</v>
      </c>
      <c r="G56" s="26">
        <v>-25312</v>
      </c>
      <c r="H56" s="26">
        <v>-25312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16">
        <v>-126560</v>
      </c>
      <c r="R56" s="26">
        <v>-126560</v>
      </c>
      <c r="S56" s="16">
        <v>0</v>
      </c>
      <c r="T56" s="16">
        <v>0</v>
      </c>
      <c r="V56" s="26">
        <v>-303744</v>
      </c>
      <c r="X56" s="16">
        <v>-126560</v>
      </c>
    </row>
    <row r="57" spans="1:24" ht="3.6" customHeight="1" x14ac:dyDescent="0.25">
      <c r="B57" s="30"/>
    </row>
    <row r="58" spans="1:24" x14ac:dyDescent="0.25">
      <c r="A58" s="53" t="s">
        <v>414</v>
      </c>
      <c r="B58" s="27" t="s">
        <v>66</v>
      </c>
      <c r="C58" s="4"/>
      <c r="D58" s="62">
        <v>-101341.53</v>
      </c>
      <c r="E58" s="62">
        <v>-101341.54</v>
      </c>
      <c r="F58" s="62">
        <v>-101341.54</v>
      </c>
      <c r="G58" s="62">
        <v>-101341.53</v>
      </c>
      <c r="H58" s="62">
        <v>-101341.53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4"/>
      <c r="Q58" s="28">
        <v>-506707.67000000004</v>
      </c>
      <c r="R58" s="62">
        <v>-506707.65</v>
      </c>
      <c r="S58" s="28">
        <v>-2.0000000018626451E-2</v>
      </c>
      <c r="T58" s="28">
        <v>3.9470491551936218E-6</v>
      </c>
      <c r="U58" s="4"/>
      <c r="V58" s="62">
        <v>-1216098.3600000001</v>
      </c>
      <c r="W58" s="4"/>
      <c r="X58" s="62">
        <v>-58764.41</v>
      </c>
    </row>
    <row r="59" spans="1:24" ht="3.6" customHeight="1" x14ac:dyDescent="0.25">
      <c r="B59" s="30"/>
    </row>
    <row r="60" spans="1:24" s="4" customFormat="1" x14ac:dyDescent="0.25">
      <c r="B60" s="27" t="s">
        <v>67</v>
      </c>
      <c r="D60" s="28">
        <v>-24263.210000000003</v>
      </c>
      <c r="E60" s="28">
        <v>-21915.23</v>
      </c>
      <c r="F60" s="28">
        <v>-24108.91</v>
      </c>
      <c r="G60" s="28">
        <v>-23361.829999999998</v>
      </c>
      <c r="H60" s="28">
        <v>-24140.710000000003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Q60" s="28">
        <v>-117789.89</v>
      </c>
      <c r="R60" s="28">
        <v>-115868.81</v>
      </c>
      <c r="S60" s="28">
        <v>-1921.0800000000072</v>
      </c>
      <c r="T60" s="28">
        <v>1.6579785362428485</v>
      </c>
      <c r="V60" s="28">
        <v>-281879.17</v>
      </c>
      <c r="X60" s="28">
        <v>-46898.15</v>
      </c>
    </row>
    <row r="61" spans="1:24" x14ac:dyDescent="0.25">
      <c r="A61" s="64" t="s">
        <v>429</v>
      </c>
      <c r="B61" s="16" t="s">
        <v>68</v>
      </c>
      <c r="D61" s="26">
        <v>-15886.12</v>
      </c>
      <c r="E61" s="26">
        <v>-14348.77</v>
      </c>
      <c r="F61" s="26">
        <v>-15886.12</v>
      </c>
      <c r="G61" s="26">
        <v>-15373.65</v>
      </c>
      <c r="H61" s="26">
        <v>-15886.11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16">
        <v>-77380.77</v>
      </c>
      <c r="R61" s="26">
        <v>-75283.83</v>
      </c>
      <c r="S61" s="16">
        <v>-2096.9400000000023</v>
      </c>
      <c r="T61" s="16">
        <v>2.7853790116682458</v>
      </c>
      <c r="V61" s="26">
        <v>-183975.03</v>
      </c>
      <c r="X61" s="16">
        <v>-23271.89</v>
      </c>
    </row>
    <row r="62" spans="1:24" x14ac:dyDescent="0.25">
      <c r="A62" s="64" t="s">
        <v>431</v>
      </c>
      <c r="B62" s="16" t="s">
        <v>69</v>
      </c>
      <c r="D62" s="26">
        <v>-6708.78</v>
      </c>
      <c r="E62" s="26">
        <v>-6059.58</v>
      </c>
      <c r="F62" s="26">
        <v>-6554.48</v>
      </c>
      <c r="G62" s="26">
        <v>-6373.67</v>
      </c>
      <c r="H62" s="26">
        <v>-6586.13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16">
        <v>-32282.640000000003</v>
      </c>
      <c r="R62" s="26">
        <v>-32458.6</v>
      </c>
      <c r="S62" s="16">
        <v>175.95999999999549</v>
      </c>
      <c r="T62" s="16">
        <v>-0.54210594418735103</v>
      </c>
      <c r="V62" s="26">
        <v>-78179.56</v>
      </c>
      <c r="X62" s="16">
        <v>-25056.609999999997</v>
      </c>
    </row>
    <row r="63" spans="1:24" x14ac:dyDescent="0.25">
      <c r="A63" s="64" t="s">
        <v>432</v>
      </c>
      <c r="B63" s="16" t="s">
        <v>70</v>
      </c>
      <c r="D63" s="26">
        <v>-1668.31</v>
      </c>
      <c r="E63" s="26">
        <v>-1506.88</v>
      </c>
      <c r="F63" s="26">
        <v>-1668.31</v>
      </c>
      <c r="G63" s="26">
        <v>-1614.51</v>
      </c>
      <c r="H63" s="26">
        <v>-1668.47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Q63" s="16">
        <v>-8126.4800000000005</v>
      </c>
      <c r="R63" s="26">
        <v>-8126.38</v>
      </c>
      <c r="S63" s="16">
        <v>-0.1000000000003638</v>
      </c>
      <c r="T63" s="16">
        <v>1.230560224852441E-3</v>
      </c>
      <c r="V63" s="26">
        <v>-19724.580000000002</v>
      </c>
      <c r="X63" s="16">
        <v>1430.3499999999995</v>
      </c>
    </row>
    <row r="64" spans="1:24" ht="3.6" customHeight="1" x14ac:dyDescent="0.25">
      <c r="B64" s="30"/>
    </row>
    <row r="65" spans="1:24" ht="12.75" customHeight="1" x14ac:dyDescent="0.25">
      <c r="A65" s="4"/>
      <c r="B65" s="2" t="s">
        <v>71</v>
      </c>
      <c r="C65" s="4"/>
      <c r="D65" s="2">
        <v>-550666.5</v>
      </c>
      <c r="E65" s="2">
        <v>-745763.56</v>
      </c>
      <c r="F65" s="2">
        <v>-635591.67000000004</v>
      </c>
      <c r="G65" s="2">
        <v>-700447.98999999987</v>
      </c>
      <c r="H65" s="2">
        <v>-698270.44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4"/>
      <c r="Q65" s="2">
        <v>-3330740.1599999997</v>
      </c>
      <c r="R65" s="2">
        <v>-3248550.2199999997</v>
      </c>
      <c r="S65" s="2">
        <v>-82189.939999999813</v>
      </c>
      <c r="T65" s="2">
        <v>2.5300498509762863</v>
      </c>
      <c r="U65" s="4"/>
      <c r="V65" s="2">
        <v>-7670404.4900000002</v>
      </c>
      <c r="W65" s="4"/>
      <c r="X65" s="2">
        <v>-2535752.0299999998</v>
      </c>
    </row>
    <row r="66" spans="1:24" ht="3.6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 customHeight="1" x14ac:dyDescent="0.25">
      <c r="A67" s="4"/>
      <c r="B67" s="2" t="s">
        <v>72</v>
      </c>
      <c r="C67" s="4"/>
      <c r="D67" s="2">
        <v>677928.79999999981</v>
      </c>
      <c r="E67" s="2">
        <v>649743.73</v>
      </c>
      <c r="F67" s="2">
        <v>1442338.6299999994</v>
      </c>
      <c r="G67" s="2">
        <v>773611.5900000002</v>
      </c>
      <c r="H67" s="2">
        <v>1322281.05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4"/>
      <c r="Q67" s="2">
        <v>4865903.7999999989</v>
      </c>
      <c r="R67" s="2">
        <v>3515922.3500000006</v>
      </c>
      <c r="S67" s="2">
        <v>1349981.4499999993</v>
      </c>
      <c r="T67" s="2">
        <v>38.396224819925244</v>
      </c>
      <c r="U67" s="4"/>
      <c r="V67" s="2">
        <v>7872651.3599999994</v>
      </c>
      <c r="W67" s="4"/>
      <c r="X67" s="2">
        <v>3455587.8700000006</v>
      </c>
    </row>
    <row r="68" spans="1:24" ht="3.6" customHeight="1" x14ac:dyDescent="0.25">
      <c r="B68" s="30"/>
    </row>
    <row r="69" spans="1:24" x14ac:dyDescent="0.25">
      <c r="A69" s="64" t="s">
        <v>435</v>
      </c>
      <c r="B69" s="16" t="s">
        <v>73</v>
      </c>
      <c r="D69" s="26">
        <v>-153898.72</v>
      </c>
      <c r="E69" s="26">
        <v>-153802.41</v>
      </c>
      <c r="F69" s="26">
        <v>-153837.96</v>
      </c>
      <c r="G69" s="26">
        <v>-154150.1</v>
      </c>
      <c r="H69" s="26">
        <v>-154031.5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Q69" s="16">
        <v>-769720.69</v>
      </c>
      <c r="R69" s="26">
        <v>-763199.3</v>
      </c>
      <c r="S69" s="16">
        <v>-6521.3899999998976</v>
      </c>
      <c r="T69" s="16">
        <v>0.85448060552465088</v>
      </c>
      <c r="V69" s="26">
        <v>-1831678.32</v>
      </c>
      <c r="X69" s="16">
        <v>-758012.65</v>
      </c>
    </row>
    <row r="70" spans="1:24" ht="13.8" hidden="1" customHeight="1" x14ac:dyDescent="0.25">
      <c r="B70" s="16" t="s">
        <v>74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Q70" s="16">
        <v>0</v>
      </c>
      <c r="R70" s="16">
        <v>0</v>
      </c>
      <c r="S70" s="16">
        <v>0</v>
      </c>
      <c r="T70" s="16">
        <v>0</v>
      </c>
      <c r="V70" s="16">
        <v>0</v>
      </c>
      <c r="X70" s="16">
        <v>0</v>
      </c>
    </row>
    <row r="71" spans="1:24" ht="4.5" hidden="1" customHeight="1" x14ac:dyDescent="0.25">
      <c r="B71" s="21"/>
      <c r="T71" s="21">
        <v>0</v>
      </c>
    </row>
    <row r="72" spans="1:24" s="4" customFormat="1" ht="13.8" hidden="1" customHeight="1" x14ac:dyDescent="0.25">
      <c r="B72" s="2" t="s">
        <v>75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0</v>
      </c>
      <c r="X72" s="2">
        <v>0</v>
      </c>
    </row>
    <row r="73" spans="1:24" ht="3.6" hidden="1" customHeight="1" x14ac:dyDescent="0.25">
      <c r="B73" s="21"/>
      <c r="T73" s="21">
        <v>0</v>
      </c>
    </row>
    <row r="74" spans="1:24" collapsed="1" x14ac:dyDescent="0.25">
      <c r="A74" s="53" t="s">
        <v>436</v>
      </c>
      <c r="B74" s="16" t="s">
        <v>76</v>
      </c>
      <c r="D74" s="26">
        <v>-1923.31</v>
      </c>
      <c r="E74" s="26">
        <v>-1142.94</v>
      </c>
      <c r="F74" s="26">
        <v>-1269.02</v>
      </c>
      <c r="G74" s="26">
        <v>-1102.82</v>
      </c>
      <c r="H74" s="26">
        <v>-1093.5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Q74" s="16">
        <v>-6531.59</v>
      </c>
      <c r="R74" s="26">
        <v>-5530.35</v>
      </c>
      <c r="S74" s="16">
        <v>-1017.0600000000004</v>
      </c>
      <c r="T74" s="16">
        <v>18.390517779164071</v>
      </c>
      <c r="V74" s="16">
        <v>-13272.84</v>
      </c>
      <c r="X74" s="16">
        <v>-6052.14</v>
      </c>
    </row>
    <row r="75" spans="1:24" ht="13.8" hidden="1" customHeight="1" outlineLevel="1" x14ac:dyDescent="0.25">
      <c r="B75" s="29" t="s">
        <v>77</v>
      </c>
      <c r="C75" s="29"/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Q75" s="45">
        <v>0</v>
      </c>
      <c r="R75" s="26">
        <v>0</v>
      </c>
      <c r="S75" s="29">
        <v>0</v>
      </c>
      <c r="T75" s="29">
        <v>0</v>
      </c>
      <c r="V75" s="26">
        <v>0</v>
      </c>
      <c r="X75" s="26">
        <v>0</v>
      </c>
    </row>
    <row r="76" spans="1:24" ht="13.8" hidden="1" customHeight="1" outlineLevel="1" x14ac:dyDescent="0.25">
      <c r="B76" s="29" t="s">
        <v>78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45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</row>
    <row r="77" spans="1:24" ht="13.8" hidden="1" customHeight="1" outlineLevel="1" x14ac:dyDescent="0.25">
      <c r="A77" s="64" t="s">
        <v>438</v>
      </c>
      <c r="B77" s="29" t="s">
        <v>79</v>
      </c>
      <c r="C77" s="29"/>
      <c r="D77" s="26">
        <v>-1826.31</v>
      </c>
      <c r="E77" s="26">
        <v>-1142.94</v>
      </c>
      <c r="F77" s="26">
        <v>-1269.02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45">
        <v>-4238.2700000000004</v>
      </c>
      <c r="R77" s="26">
        <v>-3318.21</v>
      </c>
      <c r="S77" s="29">
        <v>-920.0600000000004</v>
      </c>
      <c r="T77" s="29">
        <v>27.727600121752406</v>
      </c>
      <c r="V77" s="26">
        <v>-13272.84</v>
      </c>
      <c r="X77" s="26">
        <v>-1861.88</v>
      </c>
    </row>
    <row r="78" spans="1:24" ht="13.8" hidden="1" customHeight="1" outlineLevel="1" x14ac:dyDescent="0.25">
      <c r="A78" s="53" t="s">
        <v>299</v>
      </c>
      <c r="B78" s="29" t="s">
        <v>80</v>
      </c>
      <c r="C78" s="29"/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Q78" s="45">
        <v>0</v>
      </c>
      <c r="R78" s="26">
        <v>0</v>
      </c>
      <c r="S78" s="29">
        <v>0</v>
      </c>
      <c r="T78" s="29">
        <v>0</v>
      </c>
      <c r="V78" s="26">
        <v>0</v>
      </c>
      <c r="X78" s="26">
        <v>0</v>
      </c>
    </row>
    <row r="79" spans="1:24" ht="13.8" hidden="1" customHeight="1" outlineLevel="1" x14ac:dyDescent="0.25">
      <c r="B79" s="29" t="s">
        <v>81</v>
      </c>
      <c r="C79" s="29"/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Q79" s="45">
        <v>0</v>
      </c>
      <c r="R79" s="26">
        <v>0</v>
      </c>
      <c r="S79" s="29">
        <v>0</v>
      </c>
      <c r="T79" s="29">
        <v>0</v>
      </c>
      <c r="V79" s="26">
        <v>0</v>
      </c>
      <c r="X79" s="26">
        <v>0</v>
      </c>
    </row>
    <row r="80" spans="1:24" ht="13.8" hidden="1" customHeight="1" outlineLevel="1" x14ac:dyDescent="0.25">
      <c r="A80" s="64" t="s">
        <v>440</v>
      </c>
      <c r="B80" s="29" t="s">
        <v>82</v>
      </c>
      <c r="C80" s="29"/>
      <c r="D80" s="26">
        <v>-97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Q80" s="45">
        <v>-97</v>
      </c>
      <c r="R80" s="26">
        <v>0</v>
      </c>
      <c r="S80" s="29">
        <v>-97</v>
      </c>
      <c r="T80" s="29">
        <v>0</v>
      </c>
      <c r="V80" s="26">
        <v>0</v>
      </c>
      <c r="X80" s="26">
        <v>-12.93</v>
      </c>
    </row>
    <row r="81" spans="1:24" ht="13.8" hidden="1" customHeight="1" outlineLevel="1" x14ac:dyDescent="0.25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>
        <v>0</v>
      </c>
      <c r="V81" s="29"/>
      <c r="X81" s="29"/>
    </row>
    <row r="82" spans="1:24" ht="13.8" hidden="1" customHeight="1" outlineLevel="1" x14ac:dyDescent="0.25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>
        <v>0</v>
      </c>
      <c r="V82" s="29"/>
      <c r="X82" s="29"/>
    </row>
    <row r="83" spans="1:24" ht="13.8" hidden="1" customHeight="1" outlineLevel="1" x14ac:dyDescent="0.25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Q83" s="29"/>
      <c r="R83" s="29"/>
      <c r="S83" s="29"/>
      <c r="T83" s="29">
        <v>0</v>
      </c>
      <c r="V83" s="29"/>
      <c r="X83" s="29"/>
    </row>
    <row r="84" spans="1:24" ht="13.8" hidden="1" customHeight="1" outlineLevel="1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Q84" s="29"/>
      <c r="R84" s="29"/>
      <c r="S84" s="29"/>
      <c r="T84" s="29">
        <v>0</v>
      </c>
      <c r="V84" s="29"/>
      <c r="X84" s="29"/>
    </row>
    <row r="85" spans="1:24" ht="13.8" hidden="1" customHeight="1" outlineLevel="1" x14ac:dyDescent="0.25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Q85" s="29"/>
      <c r="R85" s="29"/>
      <c r="S85" s="29"/>
      <c r="T85" s="29">
        <v>0</v>
      </c>
      <c r="V85" s="29"/>
      <c r="X85" s="29"/>
    </row>
    <row r="86" spans="1:24" ht="4.2" customHeight="1" x14ac:dyDescent="0.25">
      <c r="B86" s="21"/>
    </row>
    <row r="87" spans="1:24" s="4" customFormat="1" x14ac:dyDescent="0.25">
      <c r="A87" s="65" t="s">
        <v>603</v>
      </c>
      <c r="B87" s="2" t="s">
        <v>83</v>
      </c>
      <c r="D87" s="2">
        <v>522106.76999999984</v>
      </c>
      <c r="E87" s="2">
        <v>494798.37999999995</v>
      </c>
      <c r="F87" s="2">
        <v>1287231.6499999994</v>
      </c>
      <c r="G87" s="2">
        <v>618358.67000000027</v>
      </c>
      <c r="H87" s="2">
        <v>749243.76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3671739.23</v>
      </c>
      <c r="R87" s="2">
        <v>2747192.7000000007</v>
      </c>
      <c r="S87" s="2">
        <v>924530.70999999915</v>
      </c>
      <c r="T87" s="2">
        <v>33.653653418633461</v>
      </c>
      <c r="V87" s="2">
        <v>6027700.1999999993</v>
      </c>
      <c r="X87" s="2">
        <v>2691523.0800000005</v>
      </c>
    </row>
    <row r="88" spans="1:24" ht="3.6" customHeight="1" x14ac:dyDescent="0.25">
      <c r="A88" s="53" t="s">
        <v>558</v>
      </c>
    </row>
    <row r="89" spans="1:24" s="4" customFormat="1" x14ac:dyDescent="0.25">
      <c r="A89" s="53" t="s">
        <v>443</v>
      </c>
      <c r="B89" s="2" t="s">
        <v>84</v>
      </c>
      <c r="D89" s="33">
        <v>-114226.44999999998</v>
      </c>
      <c r="E89" s="33">
        <v>-133812.52000000002</v>
      </c>
      <c r="F89" s="33">
        <v>-117013.5</v>
      </c>
      <c r="G89" s="33">
        <v>-97741.73</v>
      </c>
      <c r="H89" s="33">
        <v>-84057.05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Q89" s="2">
        <v>-546851.25</v>
      </c>
      <c r="R89" s="33">
        <v>-471036.41000000003</v>
      </c>
      <c r="S89" s="2">
        <v>-75814.839999999967</v>
      </c>
      <c r="T89" s="2">
        <v>16.095324775424466</v>
      </c>
      <c r="V89" s="33">
        <v>-1085068.03</v>
      </c>
      <c r="X89" s="33">
        <v>-372848.38</v>
      </c>
    </row>
    <row r="90" spans="1:24" x14ac:dyDescent="0.25">
      <c r="A90" s="53" t="s">
        <v>586</v>
      </c>
      <c r="B90" s="2" t="s">
        <v>85</v>
      </c>
      <c r="C90" s="4"/>
      <c r="D90" s="33">
        <v>-442.07</v>
      </c>
      <c r="E90" s="33">
        <v>-442.08</v>
      </c>
      <c r="F90" s="33">
        <v>-442.06</v>
      </c>
      <c r="G90" s="33">
        <v>-402.94</v>
      </c>
      <c r="H90" s="33">
        <v>-402.95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4"/>
      <c r="Q90" s="2">
        <v>-2132.1</v>
      </c>
      <c r="R90" s="33">
        <v>-2049.3000000000002</v>
      </c>
      <c r="S90" s="2">
        <v>-82.799999999999727</v>
      </c>
      <c r="T90" s="2">
        <v>4.0404040404040265</v>
      </c>
      <c r="U90" s="4"/>
      <c r="V90" s="33">
        <v>-4918.32</v>
      </c>
      <c r="W90" s="4"/>
      <c r="X90" s="33">
        <v>-2425.4900000000002</v>
      </c>
    </row>
    <row r="91" spans="1:24" ht="15" hidden="1" customHeight="1" x14ac:dyDescent="0.25">
      <c r="B91" s="29" t="s">
        <v>86</v>
      </c>
      <c r="C91" s="29"/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Q91" s="29">
        <v>0</v>
      </c>
      <c r="R91" s="29">
        <v>0</v>
      </c>
      <c r="S91" s="29">
        <v>0</v>
      </c>
      <c r="T91" s="29">
        <v>0</v>
      </c>
      <c r="V91" s="29">
        <v>0</v>
      </c>
      <c r="X91" s="29">
        <v>0</v>
      </c>
    </row>
    <row r="92" spans="1:24" ht="3.6" customHeight="1" x14ac:dyDescent="0.25">
      <c r="B92" s="21"/>
    </row>
    <row r="93" spans="1:24" x14ac:dyDescent="0.25">
      <c r="A93" s="4"/>
      <c r="B93" s="2" t="s">
        <v>87</v>
      </c>
      <c r="C93" s="4"/>
      <c r="D93" s="33">
        <v>407438.24999999983</v>
      </c>
      <c r="E93" s="33">
        <v>360543.77999999991</v>
      </c>
      <c r="F93" s="33">
        <v>1169776.0899999994</v>
      </c>
      <c r="G93" s="33">
        <v>520214.00000000029</v>
      </c>
      <c r="H93" s="33">
        <v>664783.76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4"/>
      <c r="Q93" s="33">
        <v>3122755.88</v>
      </c>
      <c r="R93" s="33">
        <v>2274106.9900000007</v>
      </c>
      <c r="S93" s="33">
        <v>848648.8899999992</v>
      </c>
      <c r="T93" s="2">
        <v>37.317896375666962</v>
      </c>
      <c r="U93" s="4"/>
      <c r="V93" s="33">
        <v>4937713.8499999987</v>
      </c>
      <c r="W93" s="4"/>
      <c r="X93" s="33">
        <v>2316249.2100000004</v>
      </c>
    </row>
    <row r="94" spans="1:24" ht="3.6" customHeight="1" x14ac:dyDescent="0.25">
      <c r="B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4"/>
      <c r="R94" s="4"/>
      <c r="S94" s="4"/>
      <c r="T94" s="4"/>
      <c r="U94" s="4"/>
      <c r="V94" s="4"/>
      <c r="W94" s="4"/>
      <c r="X94" s="4"/>
    </row>
    <row r="95" spans="1:24" s="4" customFormat="1" x14ac:dyDescent="0.25">
      <c r="B95" s="3" t="s">
        <v>88</v>
      </c>
      <c r="D95" s="2">
        <v>-22390.030000000002</v>
      </c>
      <c r="E95" s="2">
        <v>26879.22</v>
      </c>
      <c r="F95" s="2">
        <v>-3281.4700000000003</v>
      </c>
      <c r="G95" s="2">
        <v>-65041.96</v>
      </c>
      <c r="H95" s="2">
        <v>-11906.869999999999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Q95" s="2">
        <v>-75741.11000000003</v>
      </c>
      <c r="R95" s="2">
        <v>-42158.789999999994</v>
      </c>
      <c r="S95" s="2">
        <v>-33582.320000000036</v>
      </c>
      <c r="T95" s="2">
        <v>79.656745366743309</v>
      </c>
      <c r="V95" s="2">
        <v>-104287.10000000002</v>
      </c>
      <c r="X95" s="2">
        <v>-121097.23</v>
      </c>
    </row>
    <row r="96" spans="1:24" x14ac:dyDescent="0.25">
      <c r="A96" s="64" t="s">
        <v>590</v>
      </c>
      <c r="B96" s="16" t="s">
        <v>89</v>
      </c>
      <c r="D96" s="26">
        <v>15490.9</v>
      </c>
      <c r="E96" s="26">
        <v>24326.799999999999</v>
      </c>
      <c r="F96" s="26">
        <v>17151.87</v>
      </c>
      <c r="G96" s="26">
        <v>13391.97</v>
      </c>
      <c r="H96" s="26">
        <v>8336.3700000000008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16">
        <v>78697.909999999989</v>
      </c>
      <c r="R96" s="26">
        <v>80892.460000000006</v>
      </c>
      <c r="S96" s="16">
        <v>-2194.5500000000175</v>
      </c>
      <c r="T96" s="16">
        <v>-2.7129228113473336</v>
      </c>
      <c r="V96" s="26">
        <v>168732.24</v>
      </c>
      <c r="X96" s="16">
        <v>53737.58</v>
      </c>
    </row>
    <row r="97" spans="1:24" x14ac:dyDescent="0.25">
      <c r="A97" s="64" t="s">
        <v>455</v>
      </c>
      <c r="B97" s="16" t="s">
        <v>90</v>
      </c>
      <c r="D97" s="26">
        <v>-17880.990000000002</v>
      </c>
      <c r="E97" s="26">
        <v>-16205.69</v>
      </c>
      <c r="F97" s="26">
        <v>-17716.87</v>
      </c>
      <c r="G97" s="26">
        <v>-14601.1</v>
      </c>
      <c r="H97" s="26">
        <v>-17036.400000000001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16">
        <v>-83441.050000000017</v>
      </c>
      <c r="R97" s="26">
        <v>-98485.05</v>
      </c>
      <c r="S97" s="16">
        <v>15043.999999999985</v>
      </c>
      <c r="T97" s="16">
        <v>-15.275414897997194</v>
      </c>
      <c r="V97" s="26">
        <v>-211953.14</v>
      </c>
      <c r="X97" s="16">
        <v>-139779.93</v>
      </c>
    </row>
    <row r="98" spans="1:24" ht="13.8" hidden="1" customHeight="1" x14ac:dyDescent="0.25">
      <c r="B98" s="16" t="s">
        <v>91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16">
        <v>0</v>
      </c>
      <c r="R98" s="26">
        <v>0</v>
      </c>
      <c r="S98" s="16">
        <v>0</v>
      </c>
      <c r="T98" s="16">
        <v>0</v>
      </c>
      <c r="V98" s="26">
        <v>0</v>
      </c>
      <c r="X98" s="16">
        <v>0</v>
      </c>
    </row>
    <row r="99" spans="1:24" x14ac:dyDescent="0.25">
      <c r="A99" s="64" t="s">
        <v>520</v>
      </c>
      <c r="B99" s="16" t="s">
        <v>92</v>
      </c>
      <c r="D99" s="26">
        <v>-1.07</v>
      </c>
      <c r="E99" s="26">
        <v>-3676.68</v>
      </c>
      <c r="F99" s="26">
        <v>-1987.44</v>
      </c>
      <c r="G99" s="26">
        <v>-47172.01</v>
      </c>
      <c r="H99" s="26">
        <v>-2474.29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16">
        <v>-55311.490000000005</v>
      </c>
      <c r="R99" s="26">
        <v>-34566.199999999997</v>
      </c>
      <c r="S99" s="16">
        <v>-20745.290000000008</v>
      </c>
      <c r="T99" s="16">
        <v>60.016114007325108</v>
      </c>
      <c r="V99" s="26">
        <v>-85066.2</v>
      </c>
      <c r="X99" s="16">
        <v>-57885.889999999992</v>
      </c>
    </row>
    <row r="100" spans="1:24" ht="13.8" hidden="1" customHeight="1" x14ac:dyDescent="0.25">
      <c r="B100" s="16" t="s">
        <v>93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16">
        <v>0</v>
      </c>
      <c r="R100" s="26">
        <v>0</v>
      </c>
      <c r="S100" s="16">
        <v>0</v>
      </c>
      <c r="T100" s="16">
        <v>0</v>
      </c>
      <c r="V100" s="26">
        <v>0</v>
      </c>
      <c r="X100" s="16">
        <v>0</v>
      </c>
    </row>
    <row r="101" spans="1:24" ht="13.8" hidden="1" customHeight="1" x14ac:dyDescent="0.25">
      <c r="B101" s="16" t="s">
        <v>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Q101" s="16">
        <v>0</v>
      </c>
      <c r="R101" s="26">
        <v>0</v>
      </c>
      <c r="S101" s="16">
        <v>0</v>
      </c>
      <c r="T101" s="16">
        <v>0</v>
      </c>
      <c r="V101" s="26">
        <v>0</v>
      </c>
      <c r="X101" s="16">
        <v>0</v>
      </c>
    </row>
    <row r="102" spans="1:24" x14ac:dyDescent="0.25">
      <c r="A102" s="64" t="s">
        <v>528</v>
      </c>
      <c r="B102" s="16" t="s">
        <v>95</v>
      </c>
      <c r="D102" s="26">
        <v>-19998.87</v>
      </c>
      <c r="E102" s="26">
        <v>22434.79</v>
      </c>
      <c r="F102" s="26">
        <v>-729.03</v>
      </c>
      <c r="G102" s="26">
        <v>-16660.82</v>
      </c>
      <c r="H102" s="26">
        <v>-732.55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Q102" s="16">
        <v>-15686.479999999998</v>
      </c>
      <c r="R102" s="26">
        <v>10000</v>
      </c>
      <c r="S102" s="16">
        <v>-25686.479999999996</v>
      </c>
      <c r="T102" s="16">
        <v>-256.86479999999995</v>
      </c>
      <c r="V102" s="26">
        <v>24000</v>
      </c>
      <c r="X102" s="16">
        <v>22831.01</v>
      </c>
    </row>
    <row r="103" spans="1:24" ht="4.2" customHeight="1" x14ac:dyDescent="0.25">
      <c r="B103" s="21"/>
      <c r="Q103" s="34"/>
    </row>
    <row r="104" spans="1:24" s="4" customFormat="1" x14ac:dyDescent="0.25">
      <c r="B104" s="2" t="s">
        <v>96</v>
      </c>
      <c r="D104" s="2">
        <v>385048.2199999998</v>
      </c>
      <c r="E104" s="2">
        <v>387422.99999999988</v>
      </c>
      <c r="F104" s="2">
        <v>1166494.6199999994</v>
      </c>
      <c r="G104" s="2">
        <v>455172.04000000027</v>
      </c>
      <c r="H104" s="2">
        <v>652876.89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Q104" s="2">
        <v>3047014.7699999996</v>
      </c>
      <c r="R104" s="2">
        <v>2231948.2000000007</v>
      </c>
      <c r="S104" s="2">
        <v>815066.56999999913</v>
      </c>
      <c r="T104" s="2">
        <v>36.518166953874598</v>
      </c>
      <c r="V104" s="2">
        <v>4833426.7499999991</v>
      </c>
      <c r="X104" s="2">
        <v>2195151.9800000004</v>
      </c>
    </row>
    <row r="105" spans="1:24" ht="4.2" customHeight="1" x14ac:dyDescent="0.25"/>
    <row r="106" spans="1:24" ht="12.75" hidden="1" customHeight="1" x14ac:dyDescent="0.25">
      <c r="B106" s="28" t="s">
        <v>97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Q106" s="16">
        <v>0</v>
      </c>
      <c r="R106" s="16">
        <v>0</v>
      </c>
      <c r="S106" s="16">
        <v>-14947.643712574851</v>
      </c>
      <c r="T106" s="16">
        <v>0</v>
      </c>
      <c r="U106" s="4"/>
      <c r="V106" s="16">
        <v>0</v>
      </c>
      <c r="X106" s="16">
        <v>0</v>
      </c>
    </row>
    <row r="107" spans="1:24" ht="12.75" hidden="1" customHeight="1" x14ac:dyDescent="0.25">
      <c r="B107" s="28" t="s">
        <v>98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Q107" s="16">
        <v>0</v>
      </c>
      <c r="R107" s="16">
        <v>0</v>
      </c>
      <c r="S107" s="28">
        <v>8540.7155688622752</v>
      </c>
      <c r="T107" s="28">
        <v>0</v>
      </c>
      <c r="U107" s="4"/>
      <c r="V107" s="16">
        <v>0</v>
      </c>
      <c r="X107" s="16">
        <v>0</v>
      </c>
    </row>
    <row r="108" spans="1:24" ht="13.8" hidden="1" customHeight="1" x14ac:dyDescent="0.25">
      <c r="B108" s="28" t="s">
        <v>99</v>
      </c>
      <c r="D108" s="16">
        <v>8138.6082142857113</v>
      </c>
      <c r="E108" s="16">
        <v>8138.6082142857113</v>
      </c>
      <c r="F108" s="16">
        <v>8138.6082142857113</v>
      </c>
      <c r="G108" s="16">
        <v>8138.6082142857113</v>
      </c>
      <c r="H108" s="16">
        <v>8138.6082142857113</v>
      </c>
      <c r="I108" s="16">
        <v>8138.6082142857113</v>
      </c>
      <c r="J108" s="16">
        <v>8138.6082142857113</v>
      </c>
      <c r="K108" s="16">
        <v>8138.6082142857113</v>
      </c>
      <c r="L108" s="16">
        <v>8138.6082142857113</v>
      </c>
      <c r="M108" s="16">
        <v>8138.6082142857113</v>
      </c>
      <c r="N108" s="16">
        <v>8138.6082142857113</v>
      </c>
      <c r="O108" s="16">
        <v>8138.6082142857113</v>
      </c>
      <c r="Q108" s="16">
        <v>6670.0466167664654</v>
      </c>
      <c r="R108" s="16">
        <v>8138.6082142857113</v>
      </c>
      <c r="S108" s="28">
        <v>2905.9567964071839</v>
      </c>
      <c r="T108" s="28">
        <v>35.705819962021927</v>
      </c>
      <c r="U108" s="4"/>
      <c r="V108" s="16">
        <v>8138.6082142857113</v>
      </c>
      <c r="X108" s="16">
        <v>6670.0466167664654</v>
      </c>
    </row>
    <row r="109" spans="1:24" s="4" customFormat="1" ht="13.8" hidden="1" customHeight="1" x14ac:dyDescent="0.25">
      <c r="A109" s="21"/>
      <c r="B109" s="28" t="s">
        <v>100</v>
      </c>
      <c r="C109" s="21"/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21"/>
      <c r="Q109" s="16">
        <v>0</v>
      </c>
      <c r="R109" s="16">
        <v>0</v>
      </c>
      <c r="S109" s="16"/>
      <c r="T109" s="16">
        <v>0</v>
      </c>
      <c r="U109" s="21"/>
      <c r="V109" s="16">
        <v>0</v>
      </c>
      <c r="W109" s="21"/>
      <c r="X109" s="16">
        <v>0</v>
      </c>
    </row>
    <row r="110" spans="1:24" ht="13.8" hidden="1" customHeight="1" x14ac:dyDescent="0.25">
      <c r="B110" s="28" t="s">
        <v>101</v>
      </c>
      <c r="D110" s="16">
        <v>28</v>
      </c>
      <c r="E110" s="16">
        <v>28</v>
      </c>
      <c r="F110" s="16">
        <v>28</v>
      </c>
      <c r="G110" s="16">
        <v>28</v>
      </c>
      <c r="H110" s="16">
        <v>28</v>
      </c>
      <c r="I110" s="16">
        <v>28</v>
      </c>
      <c r="J110" s="16">
        <v>28</v>
      </c>
      <c r="K110" s="16">
        <v>28</v>
      </c>
      <c r="L110" s="16">
        <v>28</v>
      </c>
      <c r="M110" s="16">
        <v>28</v>
      </c>
      <c r="N110" s="16">
        <v>28</v>
      </c>
      <c r="O110" s="16">
        <v>28</v>
      </c>
      <c r="Q110" s="16">
        <v>0</v>
      </c>
      <c r="R110" s="16">
        <v>28</v>
      </c>
      <c r="S110" s="16"/>
      <c r="T110" s="16">
        <v>0</v>
      </c>
      <c r="V110" s="16">
        <v>28</v>
      </c>
      <c r="X110" s="16">
        <v>0</v>
      </c>
    </row>
    <row r="111" spans="1:24" ht="13.8" hidden="1" customHeight="1" x14ac:dyDescent="0.25">
      <c r="B111" s="28" t="s">
        <v>102</v>
      </c>
      <c r="D111" s="28">
        <v>28</v>
      </c>
      <c r="E111" s="28">
        <v>28</v>
      </c>
      <c r="F111" s="28">
        <v>28</v>
      </c>
      <c r="G111" s="28">
        <v>28</v>
      </c>
      <c r="H111" s="28">
        <v>28</v>
      </c>
      <c r="I111" s="28">
        <v>28</v>
      </c>
      <c r="J111" s="28">
        <v>28</v>
      </c>
      <c r="K111" s="28">
        <v>28</v>
      </c>
      <c r="L111" s="28">
        <v>28</v>
      </c>
      <c r="M111" s="28">
        <v>28</v>
      </c>
      <c r="N111" s="28">
        <v>28</v>
      </c>
      <c r="O111" s="28">
        <v>28</v>
      </c>
      <c r="P111" s="4"/>
      <c r="Q111" s="16">
        <v>0</v>
      </c>
      <c r="R111" s="28">
        <v>28</v>
      </c>
      <c r="S111" s="28"/>
      <c r="T111" s="28">
        <v>0</v>
      </c>
      <c r="U111" s="4"/>
      <c r="V111" s="28">
        <v>28</v>
      </c>
      <c r="W111" s="4"/>
      <c r="X111" s="28">
        <v>0</v>
      </c>
    </row>
    <row r="112" spans="1:24" ht="13.8" hidden="1" customHeight="1" x14ac:dyDescent="0.25">
      <c r="B112" s="28" t="s">
        <v>103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4"/>
      <c r="Q112" s="16">
        <v>0</v>
      </c>
      <c r="R112" s="28"/>
      <c r="S112" s="28"/>
      <c r="T112" s="28">
        <v>0</v>
      </c>
      <c r="U112" s="4"/>
      <c r="V112" s="28"/>
      <c r="W112" s="4"/>
      <c r="X112" s="28">
        <v>0</v>
      </c>
    </row>
    <row r="113" spans="2:24" ht="3.6" hidden="1" customHeight="1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R113" s="4"/>
      <c r="S113" s="4"/>
      <c r="T113" s="4">
        <v>0</v>
      </c>
      <c r="U113" s="4"/>
      <c r="V113" s="4"/>
      <c r="W113" s="4"/>
      <c r="X113" s="4"/>
    </row>
    <row r="114" spans="2:24" s="4" customFormat="1" collapsed="1" x14ac:dyDescent="0.25">
      <c r="B114" s="2" t="s">
        <v>104</v>
      </c>
      <c r="D114" s="2">
        <v>663120.56999999983</v>
      </c>
      <c r="E114" s="2">
        <v>616129.80999999994</v>
      </c>
      <c r="F114" s="2">
        <v>1425397.6499999994</v>
      </c>
      <c r="G114" s="2">
        <v>776108.5700000003</v>
      </c>
      <c r="H114" s="2">
        <v>920559.74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Q114" s="2">
        <v>4401316.34</v>
      </c>
      <c r="R114" s="2">
        <v>3546063.2400000007</v>
      </c>
      <c r="S114" s="2">
        <v>855237.2799999991</v>
      </c>
      <c r="T114" s="2">
        <v>24.117936486660032</v>
      </c>
      <c r="V114" s="2">
        <v>7990408.8499999996</v>
      </c>
      <c r="X114" s="2">
        <v>3135451.7600000007</v>
      </c>
    </row>
    <row r="115" spans="2:24" s="4" customFormat="1" ht="13.8" hidden="1" customHeight="1" outlineLevel="1" x14ac:dyDescent="0.25"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  <c r="R115" s="2"/>
      <c r="S115" s="2"/>
      <c r="T115" s="2"/>
      <c r="V115" s="2"/>
      <c r="X115" s="2"/>
    </row>
    <row r="116" spans="2:24" ht="13.8" hidden="1" customHeight="1" outlineLevel="1" x14ac:dyDescent="0.25">
      <c r="D116" s="21">
        <f>+Moquegua!D104+'Flota Contratada'!D103+'Gastos Adm'!D56+Tablones!D104</f>
        <v>385048.2199999998</v>
      </c>
      <c r="E116" s="21">
        <f>+Moquegua!E104+'Flota Contratada'!E103+'Gastos Adm'!E56+Tablones!E104</f>
        <v>387423.00000000023</v>
      </c>
      <c r="F116" s="21">
        <f>+Moquegua!F104+'Flota Contratada'!F103+'Gastos Adm'!F56+Tablones!F104</f>
        <v>1166494.6199999999</v>
      </c>
      <c r="G116" s="21">
        <f>+Moquegua!G104+'Flota Contratada'!G103+'Gastos Adm'!G56+Tablones!G104</f>
        <v>455172.04000000015</v>
      </c>
      <c r="H116" s="21">
        <f>+Moquegua!H104+'Flota Contratada'!H103+'Gastos Adm'!H56+Tablones!H104</f>
        <v>652876.89000000013</v>
      </c>
      <c r="I116" s="21">
        <f>+Moquegua!I104+'Flota Contratada'!I103+'Gastos Adm'!I56+Tablones!I104</f>
        <v>0</v>
      </c>
      <c r="J116" s="21">
        <f>+Moquegua!J104+'Flota Contratada'!J103+'Gastos Adm'!J56+Tablones!J104</f>
        <v>0</v>
      </c>
      <c r="K116" s="21">
        <f>+Moquegua!K104+'Flota Contratada'!K103+'Gastos Adm'!K56+Tablones!K104</f>
        <v>0</v>
      </c>
      <c r="L116" s="21">
        <f>+Moquegua!L104+'Flota Contratada'!L103+'Gastos Adm'!L56+Tablones!L104</f>
        <v>0</v>
      </c>
      <c r="M116" s="21">
        <f>+Moquegua!M104+'Flota Contratada'!M103+'Gastos Adm'!M56+Tablones!M104</f>
        <v>0</v>
      </c>
      <c r="N116" s="21">
        <f>+Moquegua!N104+'Flota Contratada'!N103+'Gastos Adm'!N56+Tablones!N104</f>
        <v>0</v>
      </c>
      <c r="O116" s="21">
        <f>+Moquegua!O104+'Flota Contratada'!O103+'Gastos Adm'!O56+Tablones!O104</f>
        <v>0</v>
      </c>
      <c r="P116" s="21">
        <f>+Moquegua!P104+'Flota Contratada'!P103+'Gastos Adm'!P56+Tablones!P104</f>
        <v>0</v>
      </c>
      <c r="Q116" s="21">
        <f>+Moquegua!Q104+'Flota Contratada'!Q103+'Gastos Adm'!Q56+Tablones!Q104</f>
        <v>3047014.7699999996</v>
      </c>
      <c r="R116" s="21">
        <f>+Moquegua!R104+'Flota Contratada'!R103+'Gastos Adm'!R56+Tablones!R104</f>
        <v>2231948.2000000002</v>
      </c>
      <c r="S116" s="21">
        <f>+Moquegua!S104+'Flota Contratada'!S103+'Gastos Adm'!S56+Tablones!S104</f>
        <v>815066.57000000041</v>
      </c>
      <c r="T116" s="21">
        <f>+Moquegua!T104+'Flota Contratada'!T103+'Gastos Adm'!T56+Tablones!T104</f>
        <v>102.94446280801625</v>
      </c>
      <c r="V116" s="21">
        <v>4833426.75</v>
      </c>
      <c r="X116" s="21">
        <f>+Moquegua!X104+'Flota Contratada'!X103+'Gastos Adm'!X56+Tablones!X104</f>
        <v>2195151.9800000004</v>
      </c>
    </row>
    <row r="117" spans="2:24" ht="13.8" hidden="1" customHeight="1" outlineLevel="1" x14ac:dyDescent="0.25"/>
    <row r="118" spans="2:24" ht="13.8" hidden="1" customHeight="1" outlineLevel="1" x14ac:dyDescent="0.25">
      <c r="D118" s="4">
        <f>+D104-D116</f>
        <v>0</v>
      </c>
      <c r="E118" s="4">
        <f t="shared" ref="E118:S118" si="0">+E104-E116</f>
        <v>0</v>
      </c>
      <c r="F118" s="4">
        <f t="shared" si="0"/>
        <v>0</v>
      </c>
      <c r="G118" s="4">
        <f t="shared" si="0"/>
        <v>0</v>
      </c>
      <c r="H118" s="4">
        <f>+H104-H116</f>
        <v>0</v>
      </c>
      <c r="I118" s="4">
        <f t="shared" si="0"/>
        <v>0</v>
      </c>
      <c r="J118" s="4">
        <f t="shared" si="0"/>
        <v>0</v>
      </c>
      <c r="K118" s="4">
        <f t="shared" si="0"/>
        <v>0</v>
      </c>
      <c r="L118" s="4">
        <f t="shared" si="0"/>
        <v>0</v>
      </c>
      <c r="M118" s="4">
        <f t="shared" si="0"/>
        <v>0</v>
      </c>
      <c r="N118" s="4">
        <f t="shared" si="0"/>
        <v>0</v>
      </c>
      <c r="O118" s="4">
        <f t="shared" si="0"/>
        <v>0</v>
      </c>
      <c r="P118" s="4">
        <f t="shared" si="0"/>
        <v>0</v>
      </c>
      <c r="Q118" s="4">
        <f t="shared" si="0"/>
        <v>0</v>
      </c>
      <c r="R118" s="4">
        <f t="shared" si="0"/>
        <v>0</v>
      </c>
      <c r="S118" s="4">
        <f t="shared" si="0"/>
        <v>-1.280568540096283E-9</v>
      </c>
      <c r="T118" s="4"/>
      <c r="U118" s="4"/>
      <c r="V118" s="4">
        <v>0</v>
      </c>
      <c r="W118" s="4"/>
      <c r="X118" s="4">
        <f>+X104-X116</f>
        <v>0</v>
      </c>
    </row>
    <row r="120" spans="2:24" x14ac:dyDescent="0.25">
      <c r="D120" s="4"/>
      <c r="E120" s="4"/>
      <c r="F120" s="4"/>
      <c r="G120" s="4"/>
      <c r="H120" s="4"/>
      <c r="I120" s="4"/>
      <c r="J120" s="4"/>
      <c r="K120" s="4"/>
    </row>
    <row r="121" spans="2:24" x14ac:dyDescent="0.25">
      <c r="D121" s="4"/>
    </row>
    <row r="122" spans="2:24" x14ac:dyDescent="0.25">
      <c r="D122" s="4"/>
      <c r="K122" s="21" t="s">
        <v>1</v>
      </c>
    </row>
  </sheetData>
  <mergeCells count="1">
    <mergeCell ref="D3:T3"/>
  </mergeCells>
  <phoneticPr fontId="3" type="noConversion"/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48DC-1F16-46BD-BD05-AD1D5B88FF8A}">
  <sheetPr codeName="Hoja3">
    <tabColor theme="0" tint="-0.14999847407452621"/>
  </sheetPr>
  <dimension ref="B2:U222"/>
  <sheetViews>
    <sheetView workbookViewId="0">
      <selection sqref="A1:IV65536"/>
    </sheetView>
  </sheetViews>
  <sheetFormatPr baseColWidth="10" defaultColWidth="11.44140625" defaultRowHeight="13.2" outlineLevelRow="1" x14ac:dyDescent="0.25"/>
  <cols>
    <col min="1" max="1" width="1.77734375" style="50" customWidth="1"/>
    <col min="2" max="2" width="35.77734375" style="50" customWidth="1"/>
    <col min="3" max="21" width="11.77734375" style="50" customWidth="1"/>
    <col min="22" max="16384" width="11.44140625" style="50"/>
  </cols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370</v>
      </c>
      <c r="C3" s="54">
        <v>-1722066.9</v>
      </c>
      <c r="D3" s="54">
        <v>-2111191.85</v>
      </c>
      <c r="E3" s="54">
        <v>-2658974.69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4">
        <v>-6492233.4400000004</v>
      </c>
      <c r="P3" s="54">
        <v>-5898825</v>
      </c>
      <c r="Q3" s="54">
        <v>593408.43999999994</v>
      </c>
      <c r="R3" s="54">
        <v>-22433750</v>
      </c>
      <c r="S3" s="54">
        <v>-10.059799999999999</v>
      </c>
      <c r="T3" s="54">
        <v>-1997375</v>
      </c>
      <c r="U3" s="55">
        <v>0</v>
      </c>
    </row>
    <row r="4" spans="2:21" outlineLevel="1" x14ac:dyDescent="0.25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-4677825</v>
      </c>
      <c r="Q4" s="58">
        <v>-4677825</v>
      </c>
      <c r="R4" s="58">
        <v>-18193750</v>
      </c>
      <c r="S4" s="58">
        <v>100</v>
      </c>
      <c r="T4" s="58">
        <v>-1594375</v>
      </c>
      <c r="U4" s="57">
        <v>0</v>
      </c>
    </row>
    <row r="5" spans="2:21" outlineLevel="1" x14ac:dyDescent="0.25">
      <c r="B5" s="56" t="s">
        <v>470</v>
      </c>
      <c r="C5" s="58">
        <v>-1041229.44</v>
      </c>
      <c r="D5" s="58">
        <v>-1827318.95</v>
      </c>
      <c r="E5" s="58">
        <v>-1992698.17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8">
        <v>-4861246.5599999996</v>
      </c>
      <c r="P5" s="57">
        <v>0</v>
      </c>
      <c r="Q5" s="58">
        <v>4861246.5599999996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371</v>
      </c>
      <c r="C6" s="54">
        <v>-1041229.44</v>
      </c>
      <c r="D6" s="54">
        <v>-1827318.95</v>
      </c>
      <c r="E6" s="54">
        <v>-1992698.17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4">
        <v>-4861246.5599999996</v>
      </c>
      <c r="P6" s="54">
        <v>-4677825</v>
      </c>
      <c r="Q6" s="54">
        <v>183421.56</v>
      </c>
      <c r="R6" s="54">
        <v>-18193750</v>
      </c>
      <c r="S6" s="54">
        <v>-3.9211</v>
      </c>
      <c r="T6" s="54">
        <v>-1594375</v>
      </c>
      <c r="U6" s="55">
        <v>0</v>
      </c>
    </row>
    <row r="7" spans="2:21" outlineLevel="1" x14ac:dyDescent="0.25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-980000</v>
      </c>
      <c r="Q7" s="58">
        <v>-980000</v>
      </c>
      <c r="R7" s="58">
        <v>-3460000</v>
      </c>
      <c r="S7" s="58">
        <v>100</v>
      </c>
      <c r="T7" s="58">
        <v>-340000</v>
      </c>
      <c r="U7" s="57">
        <v>0</v>
      </c>
    </row>
    <row r="8" spans="2:21" outlineLevel="1" x14ac:dyDescent="0.25">
      <c r="B8" s="56" t="s">
        <v>471</v>
      </c>
      <c r="C8" s="58">
        <v>87307.99</v>
      </c>
      <c r="D8" s="58">
        <v>311956.21999999997</v>
      </c>
      <c r="E8" s="58">
        <v>-405189.18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8">
        <v>-5924.97</v>
      </c>
      <c r="P8" s="57">
        <v>0</v>
      </c>
      <c r="Q8" s="58">
        <v>5924.97</v>
      </c>
      <c r="R8" s="57">
        <v>0</v>
      </c>
      <c r="S8" s="57">
        <v>0</v>
      </c>
      <c r="T8" s="57">
        <v>0</v>
      </c>
      <c r="U8" s="57">
        <v>0</v>
      </c>
    </row>
    <row r="9" spans="2:21" outlineLevel="1" x14ac:dyDescent="0.25">
      <c r="B9" s="56" t="s">
        <v>373</v>
      </c>
      <c r="C9" s="58">
        <v>-691997.24</v>
      </c>
      <c r="D9" s="58">
        <v>-527306.22</v>
      </c>
      <c r="E9" s="58">
        <v>-157347.82999999999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8">
        <v>-1376651.29</v>
      </c>
      <c r="P9" s="57">
        <v>0</v>
      </c>
      <c r="Q9" s="58">
        <v>1376651.29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374</v>
      </c>
      <c r="C10" s="54">
        <v>-604689.25</v>
      </c>
      <c r="D10" s="54">
        <v>-215350</v>
      </c>
      <c r="E10" s="54">
        <v>-562537.01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4">
        <v>-1382576.26</v>
      </c>
      <c r="P10" s="54">
        <v>-980000</v>
      </c>
      <c r="Q10" s="54">
        <v>402576.26</v>
      </c>
      <c r="R10" s="54">
        <v>-3460000</v>
      </c>
      <c r="S10" s="54">
        <v>-41.0792</v>
      </c>
      <c r="T10" s="54">
        <v>-340000</v>
      </c>
      <c r="U10" s="55">
        <v>0</v>
      </c>
    </row>
    <row r="11" spans="2:21" outlineLevel="1" x14ac:dyDescent="0.25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-241000</v>
      </c>
      <c r="Q11" s="58">
        <v>-241000</v>
      </c>
      <c r="R11" s="58">
        <v>-780000</v>
      </c>
      <c r="S11" s="58">
        <v>100</v>
      </c>
      <c r="T11" s="58">
        <v>-63000</v>
      </c>
      <c r="U11" s="57">
        <v>0</v>
      </c>
    </row>
    <row r="12" spans="2:21" outlineLevel="1" x14ac:dyDescent="0.25">
      <c r="B12" s="56" t="s">
        <v>473</v>
      </c>
      <c r="C12" s="58">
        <v>-295.62</v>
      </c>
      <c r="D12" s="58">
        <v>14295.62</v>
      </c>
      <c r="E12" s="58">
        <v>6000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8">
        <v>20000</v>
      </c>
      <c r="P12" s="57">
        <v>0</v>
      </c>
      <c r="Q12" s="58">
        <v>-20000</v>
      </c>
      <c r="R12" s="57">
        <v>0</v>
      </c>
      <c r="S12" s="57">
        <v>0</v>
      </c>
      <c r="T12" s="57">
        <v>0</v>
      </c>
      <c r="U12" s="57">
        <v>0</v>
      </c>
    </row>
    <row r="13" spans="2:21" outlineLevel="1" x14ac:dyDescent="0.25">
      <c r="B13" s="56" t="s">
        <v>474</v>
      </c>
      <c r="C13" s="58">
        <v>-75852.59</v>
      </c>
      <c r="D13" s="58">
        <v>-82818.52</v>
      </c>
      <c r="E13" s="58">
        <v>-109739.51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8">
        <v>-268410.62</v>
      </c>
      <c r="P13" s="57">
        <v>0</v>
      </c>
      <c r="Q13" s="58">
        <v>268410.62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5">
      <c r="B14" s="53" t="s">
        <v>375</v>
      </c>
      <c r="C14" s="54">
        <v>-76148.210000000006</v>
      </c>
      <c r="D14" s="54">
        <v>-68522.899999999994</v>
      </c>
      <c r="E14" s="54">
        <v>-103739.51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4">
        <v>-248410.62</v>
      </c>
      <c r="P14" s="54">
        <v>-241000</v>
      </c>
      <c r="Q14" s="54">
        <v>7410.62</v>
      </c>
      <c r="R14" s="54">
        <v>-780000</v>
      </c>
      <c r="S14" s="54">
        <v>-3.0749</v>
      </c>
      <c r="T14" s="54">
        <v>-63000</v>
      </c>
      <c r="U14" s="55">
        <v>0</v>
      </c>
    </row>
    <row r="15" spans="2:21" x14ac:dyDescent="0.25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377</v>
      </c>
      <c r="C16" s="54">
        <v>493471.6</v>
      </c>
      <c r="D16" s="54">
        <v>715684.56</v>
      </c>
      <c r="E16" s="54">
        <v>581044.39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1790200.55</v>
      </c>
      <c r="P16" s="54">
        <v>1801680.73</v>
      </c>
      <c r="Q16" s="54">
        <v>11480.18</v>
      </c>
      <c r="R16" s="54">
        <v>6890694.1500000004</v>
      </c>
      <c r="S16" s="54">
        <v>0.63719999999999999</v>
      </c>
      <c r="T16" s="54">
        <v>589616.05000000005</v>
      </c>
      <c r="U16" s="55">
        <v>0</v>
      </c>
    </row>
    <row r="17" spans="2:21" outlineLevel="1" x14ac:dyDescent="0.25">
      <c r="B17" s="56" t="s">
        <v>378</v>
      </c>
      <c r="C17" s="58">
        <v>177692.04</v>
      </c>
      <c r="D17" s="58">
        <v>232201.91</v>
      </c>
      <c r="E17" s="58">
        <v>187359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597252.94999999995</v>
      </c>
      <c r="P17" s="58">
        <v>725680.73</v>
      </c>
      <c r="Q17" s="58">
        <v>128427.78</v>
      </c>
      <c r="R17" s="58">
        <v>2892694.15</v>
      </c>
      <c r="S17" s="58">
        <v>17.697600000000001</v>
      </c>
      <c r="T17" s="58">
        <v>237616.05</v>
      </c>
      <c r="U17" s="57">
        <v>0</v>
      </c>
    </row>
    <row r="18" spans="2:21" x14ac:dyDescent="0.25">
      <c r="B18" s="53" t="s">
        <v>379</v>
      </c>
      <c r="C18" s="54">
        <v>177692.04</v>
      </c>
      <c r="D18" s="54">
        <v>232201.91</v>
      </c>
      <c r="E18" s="54">
        <v>187359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4">
        <v>597252.94999999995</v>
      </c>
      <c r="P18" s="54">
        <v>725680.73</v>
      </c>
      <c r="Q18" s="54">
        <v>128427.78</v>
      </c>
      <c r="R18" s="54">
        <v>2892694.15</v>
      </c>
      <c r="S18" s="54">
        <v>17.697600000000001</v>
      </c>
      <c r="T18" s="54">
        <v>237616.05</v>
      </c>
      <c r="U18" s="55">
        <v>0</v>
      </c>
    </row>
    <row r="19" spans="2:21" outlineLevel="1" x14ac:dyDescent="0.25">
      <c r="B19" s="56" t="s">
        <v>476</v>
      </c>
      <c r="C19" s="58">
        <v>428571.03</v>
      </c>
      <c r="D19" s="58">
        <v>446641.55</v>
      </c>
      <c r="E19" s="58">
        <v>70774.039999999994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945986.62</v>
      </c>
      <c r="P19" s="57">
        <v>0</v>
      </c>
      <c r="Q19" s="58">
        <v>-945986.62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5">
      <c r="B20" s="56" t="s">
        <v>380</v>
      </c>
      <c r="C20" s="58">
        <v>-112791.47</v>
      </c>
      <c r="D20" s="58">
        <v>36841.1</v>
      </c>
      <c r="E20" s="58">
        <v>319461.36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243510.99</v>
      </c>
      <c r="P20" s="58">
        <v>1076000</v>
      </c>
      <c r="Q20" s="58">
        <v>832489.01</v>
      </c>
      <c r="R20" s="58">
        <v>3998000</v>
      </c>
      <c r="S20" s="58">
        <v>77.368899999999996</v>
      </c>
      <c r="T20" s="58">
        <v>352000</v>
      </c>
      <c r="U20" s="57">
        <v>0</v>
      </c>
    </row>
    <row r="21" spans="2:21" x14ac:dyDescent="0.25">
      <c r="B21" s="53" t="s">
        <v>381</v>
      </c>
      <c r="C21" s="54">
        <v>315779.56</v>
      </c>
      <c r="D21" s="54">
        <v>483482.65</v>
      </c>
      <c r="E21" s="54">
        <v>390235.4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1189497.6100000001</v>
      </c>
      <c r="P21" s="54">
        <v>1076000</v>
      </c>
      <c r="Q21" s="54">
        <v>-113497.61</v>
      </c>
      <c r="R21" s="54">
        <v>3998000</v>
      </c>
      <c r="S21" s="54">
        <v>-10.5481</v>
      </c>
      <c r="T21" s="54">
        <v>352000</v>
      </c>
      <c r="U21" s="55">
        <v>0</v>
      </c>
    </row>
    <row r="22" spans="2:21" outlineLevel="1" x14ac:dyDescent="0.25">
      <c r="B22" s="56" t="s">
        <v>477</v>
      </c>
      <c r="C22" s="57">
        <v>0</v>
      </c>
      <c r="D22" s="57">
        <v>0</v>
      </c>
      <c r="E22" s="58">
        <v>3449.99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8">
        <v>3449.99</v>
      </c>
      <c r="P22" s="57">
        <v>0</v>
      </c>
      <c r="Q22" s="58">
        <v>-3449.99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5">
      <c r="B23" s="53" t="s">
        <v>478</v>
      </c>
      <c r="C23" s="55">
        <v>0</v>
      </c>
      <c r="D23" s="55">
        <v>0</v>
      </c>
      <c r="E23" s="54">
        <v>3449.99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3449.99</v>
      </c>
      <c r="P23" s="55">
        <v>0</v>
      </c>
      <c r="Q23" s="54">
        <v>-3449.99</v>
      </c>
      <c r="R23" s="55">
        <v>0</v>
      </c>
      <c r="S23" s="55">
        <v>0</v>
      </c>
      <c r="T23" s="55">
        <v>0</v>
      </c>
      <c r="U23" s="55">
        <v>0</v>
      </c>
    </row>
    <row r="24" spans="2:21" outlineLevel="1" x14ac:dyDescent="0.25">
      <c r="B24" s="53" t="s">
        <v>384</v>
      </c>
      <c r="C24" s="54">
        <v>-1228595.3</v>
      </c>
      <c r="D24" s="54">
        <v>-1395507.29</v>
      </c>
      <c r="E24" s="54">
        <v>-2077930.3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4">
        <v>-4702032.8899999997</v>
      </c>
      <c r="P24" s="54">
        <v>-4097144.27</v>
      </c>
      <c r="Q24" s="54">
        <v>604888.62</v>
      </c>
      <c r="R24" s="54">
        <v>-15543055.85</v>
      </c>
      <c r="S24" s="54">
        <v>-14.7637</v>
      </c>
      <c r="T24" s="54">
        <v>-1407758.95</v>
      </c>
      <c r="U24" s="55">
        <v>0</v>
      </c>
    </row>
    <row r="25" spans="2:21" x14ac:dyDescent="0.25">
      <c r="B25" s="53" t="s">
        <v>385</v>
      </c>
      <c r="C25" s="54">
        <v>-1228595.3</v>
      </c>
      <c r="D25" s="54">
        <v>-1395507.29</v>
      </c>
      <c r="E25" s="54">
        <v>-2077930.3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4">
        <v>-4702032.8899999997</v>
      </c>
      <c r="P25" s="54">
        <v>-4097144.27</v>
      </c>
      <c r="Q25" s="54">
        <v>604888.62</v>
      </c>
      <c r="R25" s="54">
        <v>-15543055.85</v>
      </c>
      <c r="S25" s="54">
        <v>-14.7637</v>
      </c>
      <c r="T25" s="54">
        <v>-1407758.95</v>
      </c>
      <c r="U25" s="55">
        <v>0</v>
      </c>
    </row>
    <row r="26" spans="2:21" x14ac:dyDescent="0.25">
      <c r="B26" s="53" t="s">
        <v>386</v>
      </c>
      <c r="C26" s="54">
        <v>307128.8</v>
      </c>
      <c r="D26" s="54">
        <v>401979.63</v>
      </c>
      <c r="E26" s="54">
        <v>337687.38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4">
        <v>1046795.81</v>
      </c>
      <c r="P26" s="54">
        <v>1123198.78</v>
      </c>
      <c r="Q26" s="54">
        <v>76402.97</v>
      </c>
      <c r="R26" s="54">
        <v>4344042.96</v>
      </c>
      <c r="S26" s="54">
        <v>6.8022999999999998</v>
      </c>
      <c r="T26" s="54">
        <v>342971.18</v>
      </c>
      <c r="U26" s="55">
        <v>0</v>
      </c>
    </row>
    <row r="27" spans="2:21" outlineLevel="1" x14ac:dyDescent="0.25">
      <c r="B27" s="56" t="s">
        <v>387</v>
      </c>
      <c r="C27" s="58">
        <v>20903.78</v>
      </c>
      <c r="D27" s="58">
        <v>44946.33</v>
      </c>
      <c r="E27" s="58">
        <v>38723.160000000003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8">
        <v>104573.27</v>
      </c>
      <c r="P27" s="57">
        <v>0</v>
      </c>
      <c r="Q27" s="58">
        <v>-104573.27</v>
      </c>
      <c r="R27" s="57">
        <v>0</v>
      </c>
      <c r="S27" s="57">
        <v>0</v>
      </c>
      <c r="T27" s="57">
        <v>0</v>
      </c>
      <c r="U27" s="57">
        <v>0</v>
      </c>
    </row>
    <row r="28" spans="2:21" outlineLevel="1" x14ac:dyDescent="0.25">
      <c r="B28" s="56" t="s">
        <v>388</v>
      </c>
      <c r="C28" s="58">
        <v>148465.1</v>
      </c>
      <c r="D28" s="58">
        <v>217857.02</v>
      </c>
      <c r="E28" s="58">
        <v>139057.37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8">
        <v>505379.49</v>
      </c>
      <c r="P28" s="58">
        <v>665338.96</v>
      </c>
      <c r="Q28" s="58">
        <v>159959.47</v>
      </c>
      <c r="R28" s="58">
        <v>2411431.34</v>
      </c>
      <c r="S28" s="58">
        <v>24.041799999999999</v>
      </c>
      <c r="T28" s="58">
        <v>190351.24</v>
      </c>
      <c r="U28" s="57">
        <v>0</v>
      </c>
    </row>
    <row r="29" spans="2:21" outlineLevel="1" x14ac:dyDescent="0.25">
      <c r="B29" s="56" t="s">
        <v>389</v>
      </c>
      <c r="C29" s="58">
        <v>16178.24</v>
      </c>
      <c r="D29" s="58">
        <v>17094.61</v>
      </c>
      <c r="E29" s="58">
        <v>15674.68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48947.53</v>
      </c>
      <c r="P29" s="57">
        <v>0</v>
      </c>
      <c r="Q29" s="58">
        <v>-48947.53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5">
      <c r="B30" s="53" t="s">
        <v>390</v>
      </c>
      <c r="C30" s="54">
        <v>185547.12</v>
      </c>
      <c r="D30" s="54">
        <v>279897.96000000002</v>
      </c>
      <c r="E30" s="54">
        <v>193455.21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658900.29</v>
      </c>
      <c r="P30" s="54">
        <v>665338.96</v>
      </c>
      <c r="Q30" s="54">
        <v>6438.67</v>
      </c>
      <c r="R30" s="54">
        <v>2411431.34</v>
      </c>
      <c r="S30" s="54">
        <v>0.9677</v>
      </c>
      <c r="T30" s="54">
        <v>190351.24</v>
      </c>
      <c r="U30" s="55">
        <v>0</v>
      </c>
    </row>
    <row r="31" spans="2:21" outlineLevel="1" x14ac:dyDescent="0.25">
      <c r="B31" s="56" t="s">
        <v>391</v>
      </c>
      <c r="C31" s="58">
        <v>12772.42</v>
      </c>
      <c r="D31" s="58">
        <v>13543.83</v>
      </c>
      <c r="E31" s="58">
        <v>12200.26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38516.51</v>
      </c>
      <c r="P31" s="58">
        <v>48085.5</v>
      </c>
      <c r="Q31" s="58">
        <v>9568.99</v>
      </c>
      <c r="R31" s="58">
        <v>195395.54</v>
      </c>
      <c r="S31" s="58">
        <v>19.899899999999999</v>
      </c>
      <c r="T31" s="58">
        <v>16028.5</v>
      </c>
      <c r="U31" s="57">
        <v>0</v>
      </c>
    </row>
    <row r="32" spans="2:21" x14ac:dyDescent="0.25">
      <c r="B32" s="53" t="s">
        <v>392</v>
      </c>
      <c r="C32" s="54">
        <v>12772.42</v>
      </c>
      <c r="D32" s="54">
        <v>13543.83</v>
      </c>
      <c r="E32" s="54">
        <v>12200.26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4">
        <v>38516.51</v>
      </c>
      <c r="P32" s="54">
        <v>48085.5</v>
      </c>
      <c r="Q32" s="54">
        <v>9568.99</v>
      </c>
      <c r="R32" s="54">
        <v>195395.54</v>
      </c>
      <c r="S32" s="54">
        <v>19.899899999999999</v>
      </c>
      <c r="T32" s="54">
        <v>16028.5</v>
      </c>
      <c r="U32" s="55">
        <v>0</v>
      </c>
    </row>
    <row r="33" spans="2:21" outlineLevel="1" x14ac:dyDescent="0.25">
      <c r="B33" s="56" t="s">
        <v>481</v>
      </c>
      <c r="C33" s="58">
        <v>227.59</v>
      </c>
      <c r="D33" s="58">
        <v>538.07000000000005</v>
      </c>
      <c r="E33" s="58">
        <v>3203.51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8">
        <v>3969.17</v>
      </c>
      <c r="P33" s="58">
        <v>98999.52</v>
      </c>
      <c r="Q33" s="58">
        <v>95030.35</v>
      </c>
      <c r="R33" s="58">
        <v>487906.62</v>
      </c>
      <c r="S33" s="58">
        <v>95.990700000000004</v>
      </c>
      <c r="T33" s="58">
        <v>32999.839999999997</v>
      </c>
      <c r="U33" s="57">
        <v>0</v>
      </c>
    </row>
    <row r="34" spans="2:21" outlineLevel="1" x14ac:dyDescent="0.25">
      <c r="B34" s="56" t="s">
        <v>482</v>
      </c>
      <c r="C34" s="58">
        <v>19567.14</v>
      </c>
      <c r="D34" s="58">
        <v>22118.23</v>
      </c>
      <c r="E34" s="58">
        <v>29684.41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71369.78</v>
      </c>
      <c r="P34" s="57">
        <v>0</v>
      </c>
      <c r="Q34" s="58">
        <v>-71369.78</v>
      </c>
      <c r="R34" s="57">
        <v>0</v>
      </c>
      <c r="S34" s="57">
        <v>0</v>
      </c>
      <c r="T34" s="57">
        <v>0</v>
      </c>
      <c r="U34" s="57">
        <v>0</v>
      </c>
    </row>
    <row r="35" spans="2:21" x14ac:dyDescent="0.25">
      <c r="B35" s="53" t="s">
        <v>393</v>
      </c>
      <c r="C35" s="54">
        <v>19794.73</v>
      </c>
      <c r="D35" s="54">
        <v>22656.3</v>
      </c>
      <c r="E35" s="54">
        <v>32887.919999999998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4">
        <v>75338.95</v>
      </c>
      <c r="P35" s="54">
        <v>98999.52</v>
      </c>
      <c r="Q35" s="54">
        <v>23660.57</v>
      </c>
      <c r="R35" s="54">
        <v>487906.62</v>
      </c>
      <c r="S35" s="54">
        <v>23.899699999999999</v>
      </c>
      <c r="T35" s="54">
        <v>32999.839999999997</v>
      </c>
      <c r="U35" s="55">
        <v>0</v>
      </c>
    </row>
    <row r="36" spans="2:21" outlineLevel="1" x14ac:dyDescent="0.25">
      <c r="B36" s="56" t="s">
        <v>394</v>
      </c>
      <c r="C36" s="58">
        <v>22418.720000000001</v>
      </c>
      <c r="D36" s="58">
        <v>15939.07</v>
      </c>
      <c r="E36" s="58">
        <v>18340.52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8">
        <v>56698.31</v>
      </c>
      <c r="P36" s="58">
        <v>54999.72</v>
      </c>
      <c r="Q36" s="58">
        <v>-1698.59</v>
      </c>
      <c r="R36" s="58">
        <v>223491.6</v>
      </c>
      <c r="S36" s="58">
        <v>-3.0884</v>
      </c>
      <c r="T36" s="58">
        <v>18333.240000000002</v>
      </c>
      <c r="U36" s="57">
        <v>0</v>
      </c>
    </row>
    <row r="37" spans="2:21" x14ac:dyDescent="0.25">
      <c r="B37" s="53" t="s">
        <v>395</v>
      </c>
      <c r="C37" s="54">
        <v>22418.720000000001</v>
      </c>
      <c r="D37" s="54">
        <v>15939.07</v>
      </c>
      <c r="E37" s="54">
        <v>18340.52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56698.31</v>
      </c>
      <c r="P37" s="54">
        <v>54999.72</v>
      </c>
      <c r="Q37" s="54">
        <v>-1698.59</v>
      </c>
      <c r="R37" s="54">
        <v>223491.6</v>
      </c>
      <c r="S37" s="54">
        <v>-3.0884</v>
      </c>
      <c r="T37" s="54">
        <v>18333.240000000002</v>
      </c>
      <c r="U37" s="55">
        <v>0</v>
      </c>
    </row>
    <row r="38" spans="2:21" outlineLevel="1" x14ac:dyDescent="0.25">
      <c r="B38" s="56" t="s">
        <v>396</v>
      </c>
      <c r="C38" s="58">
        <v>12214.01</v>
      </c>
      <c r="D38" s="58">
        <v>17548.28</v>
      </c>
      <c r="E38" s="58">
        <v>11487.45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41249.74</v>
      </c>
      <c r="P38" s="58">
        <v>42791.34</v>
      </c>
      <c r="Q38" s="58">
        <v>1541.6</v>
      </c>
      <c r="R38" s="58">
        <v>173882.9</v>
      </c>
      <c r="S38" s="58">
        <v>3.6025999999999998</v>
      </c>
      <c r="T38" s="58">
        <v>14263.78</v>
      </c>
      <c r="U38" s="57">
        <v>0</v>
      </c>
    </row>
    <row r="39" spans="2:21" x14ac:dyDescent="0.25">
      <c r="B39" s="53" t="s">
        <v>397</v>
      </c>
      <c r="C39" s="54">
        <v>12214.01</v>
      </c>
      <c r="D39" s="54">
        <v>17548.28</v>
      </c>
      <c r="E39" s="54">
        <v>11487.45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4">
        <v>41249.74</v>
      </c>
      <c r="P39" s="54">
        <v>42791.34</v>
      </c>
      <c r="Q39" s="54">
        <v>1541.6</v>
      </c>
      <c r="R39" s="54">
        <v>173882.9</v>
      </c>
      <c r="S39" s="54">
        <v>3.6025999999999998</v>
      </c>
      <c r="T39" s="54">
        <v>14263.78</v>
      </c>
      <c r="U39" s="55">
        <v>0</v>
      </c>
    </row>
    <row r="40" spans="2:21" outlineLevel="1" x14ac:dyDescent="0.25">
      <c r="B40" s="56" t="s">
        <v>483</v>
      </c>
      <c r="C40" s="58">
        <v>1925.07</v>
      </c>
      <c r="D40" s="58">
        <v>3716.78</v>
      </c>
      <c r="E40" s="58">
        <v>155.68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8">
        <v>5797.53</v>
      </c>
      <c r="P40" s="58">
        <v>21600</v>
      </c>
      <c r="Q40" s="58">
        <v>15802.47</v>
      </c>
      <c r="R40" s="58">
        <v>86400</v>
      </c>
      <c r="S40" s="58">
        <v>73.159599999999998</v>
      </c>
      <c r="T40" s="58">
        <v>7200</v>
      </c>
      <c r="U40" s="57">
        <v>0</v>
      </c>
    </row>
    <row r="41" spans="2:21" outlineLevel="1" x14ac:dyDescent="0.25">
      <c r="B41" s="56" t="s">
        <v>398</v>
      </c>
      <c r="C41" s="58">
        <v>6039.04</v>
      </c>
      <c r="D41" s="58">
        <v>6095.85</v>
      </c>
      <c r="E41" s="58">
        <v>5943.64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18078.53</v>
      </c>
      <c r="P41" s="57">
        <v>0</v>
      </c>
      <c r="Q41" s="58">
        <v>-18078.53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5">
      <c r="B42" s="53" t="s">
        <v>399</v>
      </c>
      <c r="C42" s="54">
        <v>7964.11</v>
      </c>
      <c r="D42" s="54">
        <v>9812.6299999999992</v>
      </c>
      <c r="E42" s="54">
        <v>6099.32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4">
        <v>23876.06</v>
      </c>
      <c r="P42" s="54">
        <v>21600</v>
      </c>
      <c r="Q42" s="54">
        <v>-2276.06</v>
      </c>
      <c r="R42" s="54">
        <v>86400</v>
      </c>
      <c r="S42" s="54">
        <v>-10.5373</v>
      </c>
      <c r="T42" s="54">
        <v>7200</v>
      </c>
      <c r="U42" s="55">
        <v>0</v>
      </c>
    </row>
    <row r="43" spans="2:21" outlineLevel="1" x14ac:dyDescent="0.25">
      <c r="B43" s="56" t="s">
        <v>400</v>
      </c>
      <c r="C43" s="58">
        <v>7854.87</v>
      </c>
      <c r="D43" s="58">
        <v>8.6999999999999993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8">
        <v>7863.57</v>
      </c>
      <c r="P43" s="58">
        <v>5100</v>
      </c>
      <c r="Q43" s="58">
        <v>-2763.57</v>
      </c>
      <c r="R43" s="58">
        <v>20400</v>
      </c>
      <c r="S43" s="58">
        <v>-54.187600000000003</v>
      </c>
      <c r="T43" s="58">
        <v>1700</v>
      </c>
      <c r="U43" s="57">
        <v>0</v>
      </c>
    </row>
    <row r="44" spans="2:21" x14ac:dyDescent="0.25">
      <c r="B44" s="53" t="s">
        <v>401</v>
      </c>
      <c r="C44" s="54">
        <v>7854.87</v>
      </c>
      <c r="D44" s="54">
        <v>8.6999999999999993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4">
        <v>7863.57</v>
      </c>
      <c r="P44" s="54">
        <v>5100</v>
      </c>
      <c r="Q44" s="54">
        <v>-2763.57</v>
      </c>
      <c r="R44" s="54">
        <v>20400</v>
      </c>
      <c r="S44" s="54">
        <v>-54.187600000000003</v>
      </c>
      <c r="T44" s="54">
        <v>1700</v>
      </c>
      <c r="U44" s="55">
        <v>0</v>
      </c>
    </row>
    <row r="45" spans="2:21" outlineLevel="1" x14ac:dyDescent="0.25">
      <c r="B45" s="56" t="s">
        <v>402</v>
      </c>
      <c r="C45" s="58">
        <v>185.37</v>
      </c>
      <c r="D45" s="58">
        <v>335.49</v>
      </c>
      <c r="E45" s="58">
        <v>47.72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8">
        <v>568.58000000000004</v>
      </c>
      <c r="P45" s="58">
        <v>4800</v>
      </c>
      <c r="Q45" s="58">
        <v>4231.42</v>
      </c>
      <c r="R45" s="58">
        <v>19200</v>
      </c>
      <c r="S45" s="58">
        <v>88.154600000000002</v>
      </c>
      <c r="T45" s="58">
        <v>1600</v>
      </c>
      <c r="U45" s="57">
        <v>0</v>
      </c>
    </row>
    <row r="46" spans="2:21" x14ac:dyDescent="0.25">
      <c r="B46" s="53" t="s">
        <v>403</v>
      </c>
      <c r="C46" s="54">
        <v>185.37</v>
      </c>
      <c r="D46" s="54">
        <v>335.49</v>
      </c>
      <c r="E46" s="54">
        <v>47.72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v>0</v>
      </c>
      <c r="N46" s="55">
        <v>0</v>
      </c>
      <c r="O46" s="54">
        <v>568.58000000000004</v>
      </c>
      <c r="P46" s="54">
        <v>4800</v>
      </c>
      <c r="Q46" s="54">
        <v>4231.42</v>
      </c>
      <c r="R46" s="54">
        <v>19200</v>
      </c>
      <c r="S46" s="54">
        <v>88.154600000000002</v>
      </c>
      <c r="T46" s="54">
        <v>1600</v>
      </c>
      <c r="U46" s="55">
        <v>0</v>
      </c>
    </row>
    <row r="47" spans="2:21" outlineLevel="1" x14ac:dyDescent="0.25">
      <c r="B47" s="56" t="s">
        <v>485</v>
      </c>
      <c r="C47" s="58">
        <v>9580.01</v>
      </c>
      <c r="D47" s="58">
        <v>7442.62</v>
      </c>
      <c r="E47" s="58">
        <v>10371.58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27394.21</v>
      </c>
      <c r="P47" s="58">
        <v>43200</v>
      </c>
      <c r="Q47" s="58">
        <v>15805.79</v>
      </c>
      <c r="R47" s="58">
        <v>172800</v>
      </c>
      <c r="S47" s="58">
        <v>36.587499999999999</v>
      </c>
      <c r="T47" s="58">
        <v>14400</v>
      </c>
      <c r="U47" s="57">
        <v>0</v>
      </c>
    </row>
    <row r="48" spans="2:21" outlineLevel="1" x14ac:dyDescent="0.25">
      <c r="B48" s="56" t="s">
        <v>486</v>
      </c>
      <c r="C48" s="58">
        <v>3559.93</v>
      </c>
      <c r="D48" s="58">
        <v>11097.38</v>
      </c>
      <c r="E48" s="58">
        <v>3100.71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17758.02</v>
      </c>
      <c r="P48" s="57">
        <v>0</v>
      </c>
      <c r="Q48" s="58">
        <v>-17758.02</v>
      </c>
      <c r="R48" s="57">
        <v>0</v>
      </c>
      <c r="S48" s="57">
        <v>0</v>
      </c>
      <c r="T48" s="57">
        <v>0</v>
      </c>
      <c r="U48" s="57">
        <v>0</v>
      </c>
    </row>
    <row r="49" spans="2:21" outlineLevel="1" x14ac:dyDescent="0.25">
      <c r="B49" s="56" t="s">
        <v>487</v>
      </c>
      <c r="C49" s="58">
        <v>913.3</v>
      </c>
      <c r="D49" s="58">
        <v>-59.25</v>
      </c>
      <c r="E49" s="58">
        <v>200.13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8">
        <v>1054.18</v>
      </c>
      <c r="P49" s="57">
        <v>0</v>
      </c>
      <c r="Q49" s="58">
        <v>-1054.18</v>
      </c>
      <c r="R49" s="57">
        <v>0</v>
      </c>
      <c r="S49" s="57">
        <v>0</v>
      </c>
      <c r="T49" s="57">
        <v>0</v>
      </c>
      <c r="U49" s="57">
        <v>0</v>
      </c>
    </row>
    <row r="50" spans="2:21" outlineLevel="1" x14ac:dyDescent="0.25">
      <c r="B50" s="56" t="s">
        <v>488</v>
      </c>
      <c r="C50" s="57">
        <v>0</v>
      </c>
      <c r="D50" s="58">
        <v>-282.02999999999997</v>
      </c>
      <c r="E50" s="58">
        <v>-623.23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-905.26</v>
      </c>
      <c r="P50" s="57">
        <v>0</v>
      </c>
      <c r="Q50" s="58">
        <v>905.26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5">
      <c r="B51" s="53" t="s">
        <v>404</v>
      </c>
      <c r="C51" s="54">
        <v>14053.24</v>
      </c>
      <c r="D51" s="54">
        <v>18198.72</v>
      </c>
      <c r="E51" s="54">
        <v>13049.19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4">
        <v>45301.15</v>
      </c>
      <c r="P51" s="54">
        <v>43200</v>
      </c>
      <c r="Q51" s="54">
        <v>-2101.15</v>
      </c>
      <c r="R51" s="54">
        <v>172800</v>
      </c>
      <c r="S51" s="54">
        <v>-4.8638000000000003</v>
      </c>
      <c r="T51" s="54">
        <v>14400</v>
      </c>
      <c r="U51" s="55">
        <v>0</v>
      </c>
    </row>
    <row r="52" spans="2:21" outlineLevel="1" x14ac:dyDescent="0.25">
      <c r="B52" s="56" t="s">
        <v>489</v>
      </c>
      <c r="C52" s="58">
        <v>366.68</v>
      </c>
      <c r="D52" s="58">
        <v>617.64</v>
      </c>
      <c r="E52" s="58">
        <v>39.19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1023.51</v>
      </c>
      <c r="P52" s="58">
        <v>8400</v>
      </c>
      <c r="Q52" s="58">
        <v>7376.49</v>
      </c>
      <c r="R52" s="58">
        <v>33600</v>
      </c>
      <c r="S52" s="58">
        <v>87.815399999999997</v>
      </c>
      <c r="T52" s="58">
        <v>2800</v>
      </c>
      <c r="U52" s="57">
        <v>0</v>
      </c>
    </row>
    <row r="53" spans="2:21" outlineLevel="1" x14ac:dyDescent="0.25">
      <c r="B53" s="56" t="s">
        <v>491</v>
      </c>
      <c r="C53" s="58">
        <v>595.77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8">
        <v>595.77</v>
      </c>
      <c r="P53" s="57">
        <v>0</v>
      </c>
      <c r="Q53" s="58">
        <v>-595.77</v>
      </c>
      <c r="R53" s="57">
        <v>0</v>
      </c>
      <c r="S53" s="57">
        <v>0</v>
      </c>
      <c r="T53" s="57">
        <v>0</v>
      </c>
      <c r="U53" s="57">
        <v>0</v>
      </c>
    </row>
    <row r="54" spans="2:21" outlineLevel="1" x14ac:dyDescent="0.25">
      <c r="B54" s="56" t="s">
        <v>492</v>
      </c>
      <c r="C54" s="58">
        <v>23406.720000000001</v>
      </c>
      <c r="D54" s="58">
        <v>23406.720000000001</v>
      </c>
      <c r="E54" s="58">
        <v>23406.720000000001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70220.160000000003</v>
      </c>
      <c r="P54" s="58">
        <v>70220.160000000003</v>
      </c>
      <c r="Q54" s="57">
        <v>0</v>
      </c>
      <c r="R54" s="58">
        <v>280880.64000000001</v>
      </c>
      <c r="S54" s="57">
        <v>0</v>
      </c>
      <c r="T54" s="58">
        <v>23406.720000000001</v>
      </c>
      <c r="U54" s="57">
        <v>0</v>
      </c>
    </row>
    <row r="55" spans="2:21" x14ac:dyDescent="0.25">
      <c r="B55" s="53" t="s">
        <v>405</v>
      </c>
      <c r="C55" s="54">
        <v>24369.17</v>
      </c>
      <c r="D55" s="54">
        <v>24024.36</v>
      </c>
      <c r="E55" s="54">
        <v>23445.91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4">
        <v>71839.44</v>
      </c>
      <c r="P55" s="54">
        <v>78620.160000000003</v>
      </c>
      <c r="Q55" s="54">
        <v>6780.72</v>
      </c>
      <c r="R55" s="54">
        <v>314480.64000000001</v>
      </c>
      <c r="S55" s="54">
        <v>8.6247000000000007</v>
      </c>
      <c r="T55" s="54">
        <v>26206.720000000001</v>
      </c>
      <c r="U55" s="55">
        <v>0</v>
      </c>
    </row>
    <row r="56" spans="2:21" outlineLevel="1" x14ac:dyDescent="0.25">
      <c r="B56" s="56" t="s">
        <v>493</v>
      </c>
      <c r="C56" s="58">
        <v>-44.96</v>
      </c>
      <c r="D56" s="58">
        <v>14.29</v>
      </c>
      <c r="E56" s="58">
        <v>26673.88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7">
        <v>0</v>
      </c>
      <c r="M56" s="57">
        <v>0</v>
      </c>
      <c r="N56" s="57">
        <v>0</v>
      </c>
      <c r="O56" s="58">
        <v>26643.21</v>
      </c>
      <c r="P56" s="58">
        <v>59663.58</v>
      </c>
      <c r="Q56" s="58">
        <v>33020.370000000003</v>
      </c>
      <c r="R56" s="58">
        <v>238654.32</v>
      </c>
      <c r="S56" s="58">
        <v>55.344299999999997</v>
      </c>
      <c r="T56" s="58">
        <v>19887.86</v>
      </c>
      <c r="U56" s="57">
        <v>0</v>
      </c>
    </row>
    <row r="57" spans="2:21" x14ac:dyDescent="0.25">
      <c r="B57" s="53" t="s">
        <v>406</v>
      </c>
      <c r="C57" s="54">
        <v>-44.96</v>
      </c>
      <c r="D57" s="54">
        <v>14.29</v>
      </c>
      <c r="E57" s="54">
        <v>26673.88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5">
        <v>0</v>
      </c>
      <c r="N57" s="55">
        <v>0</v>
      </c>
      <c r="O57" s="54">
        <v>26643.21</v>
      </c>
      <c r="P57" s="54">
        <v>59663.58</v>
      </c>
      <c r="Q57" s="54">
        <v>33020.370000000003</v>
      </c>
      <c r="R57" s="54">
        <v>238654.32</v>
      </c>
      <c r="S57" s="54">
        <v>55.344299999999997</v>
      </c>
      <c r="T57" s="54">
        <v>19887.86</v>
      </c>
      <c r="U57" s="55">
        <v>0</v>
      </c>
    </row>
    <row r="58" spans="2:21" x14ac:dyDescent="0.25">
      <c r="B58" s="53" t="s">
        <v>407</v>
      </c>
      <c r="C58" s="54">
        <v>117932.96</v>
      </c>
      <c r="D58" s="54">
        <v>220527.16</v>
      </c>
      <c r="E58" s="54">
        <v>172453.84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510913.96</v>
      </c>
      <c r="P58" s="54">
        <v>430586</v>
      </c>
      <c r="Q58" s="54">
        <v>-80327.960000000006</v>
      </c>
      <c r="R58" s="54">
        <v>1828384</v>
      </c>
      <c r="S58" s="54">
        <v>-18.6555</v>
      </c>
      <c r="T58" s="54">
        <v>164462</v>
      </c>
      <c r="U58" s="55">
        <v>0</v>
      </c>
    </row>
    <row r="59" spans="2:21" outlineLevel="1" x14ac:dyDescent="0.25">
      <c r="B59" s="56" t="s">
        <v>408</v>
      </c>
      <c r="C59" s="58">
        <v>27161.45</v>
      </c>
      <c r="D59" s="58">
        <v>53104.49</v>
      </c>
      <c r="E59" s="58">
        <v>5587.31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8">
        <v>85853.25</v>
      </c>
      <c r="P59" s="58">
        <v>6000</v>
      </c>
      <c r="Q59" s="58">
        <v>-79853.25</v>
      </c>
      <c r="R59" s="58">
        <v>235840</v>
      </c>
      <c r="S59" s="58">
        <v>-1330.8875</v>
      </c>
      <c r="T59" s="58">
        <v>2000</v>
      </c>
      <c r="U59" s="57">
        <v>0</v>
      </c>
    </row>
    <row r="60" spans="2:21" x14ac:dyDescent="0.25">
      <c r="B60" s="53" t="s">
        <v>409</v>
      </c>
      <c r="C60" s="54">
        <v>27161.45</v>
      </c>
      <c r="D60" s="54">
        <v>53104.49</v>
      </c>
      <c r="E60" s="54">
        <v>5587.31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4">
        <v>85853.25</v>
      </c>
      <c r="P60" s="54">
        <v>6000</v>
      </c>
      <c r="Q60" s="54">
        <v>-79853.25</v>
      </c>
      <c r="R60" s="54">
        <v>235840</v>
      </c>
      <c r="S60" s="54">
        <v>-1330.8875</v>
      </c>
      <c r="T60" s="54">
        <v>2000</v>
      </c>
      <c r="U60" s="55">
        <v>0</v>
      </c>
    </row>
    <row r="61" spans="2:21" outlineLevel="1" x14ac:dyDescent="0.25">
      <c r="B61" s="56" t="s">
        <v>494</v>
      </c>
      <c r="C61" s="58">
        <v>113.06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113.06</v>
      </c>
      <c r="P61" s="57">
        <v>0</v>
      </c>
      <c r="Q61" s="58">
        <v>-113.06</v>
      </c>
      <c r="R61" s="57">
        <v>0</v>
      </c>
      <c r="S61" s="57">
        <v>0</v>
      </c>
      <c r="T61" s="57">
        <v>0</v>
      </c>
      <c r="U61" s="57">
        <v>0</v>
      </c>
    </row>
    <row r="62" spans="2:21" outlineLevel="1" x14ac:dyDescent="0.25">
      <c r="B62" s="56" t="s">
        <v>610</v>
      </c>
      <c r="C62" s="57">
        <v>0</v>
      </c>
      <c r="D62" s="57">
        <v>0</v>
      </c>
      <c r="E62" s="58">
        <v>265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8">
        <v>265</v>
      </c>
      <c r="P62" s="57">
        <v>0</v>
      </c>
      <c r="Q62" s="58">
        <v>-265</v>
      </c>
      <c r="R62" s="57">
        <v>0</v>
      </c>
      <c r="S62" s="57">
        <v>0</v>
      </c>
      <c r="T62" s="57">
        <v>0</v>
      </c>
      <c r="U62" s="57">
        <v>0</v>
      </c>
    </row>
    <row r="63" spans="2:21" outlineLevel="1" x14ac:dyDescent="0.25">
      <c r="B63" s="56" t="s">
        <v>495</v>
      </c>
      <c r="C63" s="58">
        <v>11399.18</v>
      </c>
      <c r="D63" s="58">
        <v>23491.09</v>
      </c>
      <c r="E63" s="58">
        <v>30507.84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65398.11</v>
      </c>
      <c r="P63" s="58">
        <v>214150</v>
      </c>
      <c r="Q63" s="58">
        <v>148751.89000000001</v>
      </c>
      <c r="R63" s="58">
        <v>783600</v>
      </c>
      <c r="S63" s="58">
        <v>69.461500000000001</v>
      </c>
      <c r="T63" s="58">
        <v>81050</v>
      </c>
      <c r="U63" s="57">
        <v>0</v>
      </c>
    </row>
    <row r="64" spans="2:21" outlineLevel="1" x14ac:dyDescent="0.25">
      <c r="B64" s="56" t="s">
        <v>496</v>
      </c>
      <c r="C64" s="58">
        <v>3468.9</v>
      </c>
      <c r="D64" s="58">
        <v>6276.65</v>
      </c>
      <c r="E64" s="58">
        <v>15483.32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8">
        <v>25228.87</v>
      </c>
      <c r="P64" s="57">
        <v>0</v>
      </c>
      <c r="Q64" s="58">
        <v>-25228.87</v>
      </c>
      <c r="R64" s="57">
        <v>0</v>
      </c>
      <c r="S64" s="57">
        <v>0</v>
      </c>
      <c r="T64" s="57">
        <v>0</v>
      </c>
      <c r="U64" s="57">
        <v>0</v>
      </c>
    </row>
    <row r="65" spans="2:21" outlineLevel="1" x14ac:dyDescent="0.25">
      <c r="B65" s="56" t="s">
        <v>411</v>
      </c>
      <c r="C65" s="58">
        <v>-14922.36</v>
      </c>
      <c r="D65" s="58">
        <v>17095.61</v>
      </c>
      <c r="E65" s="58">
        <v>5624.54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7797.79</v>
      </c>
      <c r="P65" s="57">
        <v>0</v>
      </c>
      <c r="Q65" s="58">
        <v>-7797.79</v>
      </c>
      <c r="R65" s="57">
        <v>0</v>
      </c>
      <c r="S65" s="57">
        <v>0</v>
      </c>
      <c r="T65" s="57">
        <v>0</v>
      </c>
      <c r="U65" s="57">
        <v>0</v>
      </c>
    </row>
    <row r="66" spans="2:21" outlineLevel="1" x14ac:dyDescent="0.25">
      <c r="B66" s="56" t="s">
        <v>497</v>
      </c>
      <c r="C66" s="58">
        <v>610.9</v>
      </c>
      <c r="D66" s="58">
        <v>5799.34</v>
      </c>
      <c r="E66" s="58">
        <v>6494.72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12904.96</v>
      </c>
      <c r="P66" s="57">
        <v>0</v>
      </c>
      <c r="Q66" s="58">
        <v>-12904.96</v>
      </c>
      <c r="R66" s="57">
        <v>0</v>
      </c>
      <c r="S66" s="57">
        <v>0</v>
      </c>
      <c r="T66" s="57">
        <v>0</v>
      </c>
      <c r="U66" s="57">
        <v>0</v>
      </c>
    </row>
    <row r="67" spans="2:21" outlineLevel="1" x14ac:dyDescent="0.25">
      <c r="B67" s="56" t="s">
        <v>498</v>
      </c>
      <c r="C67" s="57">
        <v>0</v>
      </c>
      <c r="D67" s="58">
        <v>38329.050000000003</v>
      </c>
      <c r="E67" s="58">
        <v>24860.17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8">
        <v>63189.22</v>
      </c>
      <c r="P67" s="57">
        <v>0</v>
      </c>
      <c r="Q67" s="58">
        <v>-63189.22</v>
      </c>
      <c r="R67" s="57">
        <v>0</v>
      </c>
      <c r="S67" s="57">
        <v>0</v>
      </c>
      <c r="T67" s="57">
        <v>0</v>
      </c>
      <c r="U67" s="57">
        <v>0</v>
      </c>
    </row>
    <row r="68" spans="2:21" outlineLevel="1" x14ac:dyDescent="0.25">
      <c r="B68" s="56" t="s">
        <v>499</v>
      </c>
      <c r="C68" s="58">
        <v>18414.099999999999</v>
      </c>
      <c r="D68" s="58">
        <v>4355.1000000000004</v>
      </c>
      <c r="E68" s="58">
        <v>19847.599999999999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8">
        <v>42616.800000000003</v>
      </c>
      <c r="P68" s="57">
        <v>0</v>
      </c>
      <c r="Q68" s="58">
        <v>-42616.800000000003</v>
      </c>
      <c r="R68" s="57">
        <v>0</v>
      </c>
      <c r="S68" s="57">
        <v>0</v>
      </c>
      <c r="T68" s="57">
        <v>0</v>
      </c>
      <c r="U68" s="57">
        <v>0</v>
      </c>
    </row>
    <row r="69" spans="2:21" outlineLevel="1" x14ac:dyDescent="0.25">
      <c r="B69" s="56" t="s">
        <v>500</v>
      </c>
      <c r="C69" s="58">
        <v>-580.64</v>
      </c>
      <c r="D69" s="57">
        <v>0</v>
      </c>
      <c r="E69" s="58">
        <v>3815.45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8">
        <v>3234.81</v>
      </c>
      <c r="P69" s="57">
        <v>0</v>
      </c>
      <c r="Q69" s="58">
        <v>-3234.81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5">
      <c r="B70" s="53" t="s">
        <v>501</v>
      </c>
      <c r="C70" s="54">
        <v>18503.14</v>
      </c>
      <c r="D70" s="54">
        <v>95346.84</v>
      </c>
      <c r="E70" s="54">
        <v>106898.64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4">
        <v>220748.62</v>
      </c>
      <c r="P70" s="54">
        <v>214150</v>
      </c>
      <c r="Q70" s="54">
        <v>-6598.62</v>
      </c>
      <c r="R70" s="54">
        <v>783600</v>
      </c>
      <c r="S70" s="54">
        <v>-3.0813000000000001</v>
      </c>
      <c r="T70" s="54">
        <v>81050</v>
      </c>
      <c r="U70" s="55">
        <v>0</v>
      </c>
    </row>
    <row r="71" spans="2:21" outlineLevel="1" x14ac:dyDescent="0.25">
      <c r="B71" s="56" t="s">
        <v>412</v>
      </c>
      <c r="C71" s="58">
        <v>39873.040000000001</v>
      </c>
      <c r="D71" s="58">
        <v>12847.1</v>
      </c>
      <c r="E71" s="58">
        <v>23365.59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8">
        <v>76085.73</v>
      </c>
      <c r="P71" s="58">
        <v>77400</v>
      </c>
      <c r="Q71" s="58">
        <v>1314.27</v>
      </c>
      <c r="R71" s="58">
        <v>309600</v>
      </c>
      <c r="S71" s="58">
        <v>1.698</v>
      </c>
      <c r="T71" s="58">
        <v>25800</v>
      </c>
      <c r="U71" s="57">
        <v>0</v>
      </c>
    </row>
    <row r="72" spans="2:21" outlineLevel="1" x14ac:dyDescent="0.25">
      <c r="B72" s="56" t="s">
        <v>451</v>
      </c>
      <c r="C72" s="57">
        <v>0</v>
      </c>
      <c r="D72" s="58">
        <v>420.83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8">
        <v>420.83</v>
      </c>
      <c r="P72" s="57">
        <v>0</v>
      </c>
      <c r="Q72" s="58">
        <v>-420.83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5">
      <c r="B73" s="53" t="s">
        <v>413</v>
      </c>
      <c r="C73" s="54">
        <v>39873.040000000001</v>
      </c>
      <c r="D73" s="54">
        <v>13267.93</v>
      </c>
      <c r="E73" s="54">
        <v>23365.59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4">
        <v>76506.559999999998</v>
      </c>
      <c r="P73" s="54">
        <v>77400</v>
      </c>
      <c r="Q73" s="54">
        <v>893.44</v>
      </c>
      <c r="R73" s="54">
        <v>309600</v>
      </c>
      <c r="S73" s="54">
        <v>1.1543000000000001</v>
      </c>
      <c r="T73" s="54">
        <v>25800</v>
      </c>
      <c r="U73" s="55">
        <v>0</v>
      </c>
    </row>
    <row r="74" spans="2:21" outlineLevel="1" x14ac:dyDescent="0.25">
      <c r="B74" s="56" t="s">
        <v>502</v>
      </c>
      <c r="C74" s="58">
        <v>4647.3500000000004</v>
      </c>
      <c r="D74" s="58">
        <v>20553.46</v>
      </c>
      <c r="E74" s="58">
        <v>1584.83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7">
        <v>0</v>
      </c>
      <c r="M74" s="57">
        <v>0</v>
      </c>
      <c r="N74" s="57">
        <v>0</v>
      </c>
      <c r="O74" s="58">
        <v>26785.64</v>
      </c>
      <c r="P74" s="58">
        <v>31900</v>
      </c>
      <c r="Q74" s="58">
        <v>5114.3599999999997</v>
      </c>
      <c r="R74" s="58">
        <v>94800</v>
      </c>
      <c r="S74" s="58">
        <v>16.032499999999999</v>
      </c>
      <c r="T74" s="58">
        <v>21900</v>
      </c>
      <c r="U74" s="57">
        <v>0</v>
      </c>
    </row>
    <row r="75" spans="2:21" outlineLevel="1" x14ac:dyDescent="0.25">
      <c r="B75" s="56" t="s">
        <v>611</v>
      </c>
      <c r="C75" s="57">
        <v>0</v>
      </c>
      <c r="D75" s="57">
        <v>0</v>
      </c>
      <c r="E75" s="58">
        <v>1528.87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8">
        <v>1528.87</v>
      </c>
      <c r="P75" s="57">
        <v>0</v>
      </c>
      <c r="Q75" s="58">
        <v>-1528.87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5">
      <c r="B76" s="53" t="s">
        <v>415</v>
      </c>
      <c r="C76" s="54">
        <v>4647.3500000000004</v>
      </c>
      <c r="D76" s="54">
        <v>20553.46</v>
      </c>
      <c r="E76" s="54">
        <v>3113.7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4">
        <v>28314.51</v>
      </c>
      <c r="P76" s="54">
        <v>31900</v>
      </c>
      <c r="Q76" s="54">
        <v>3585.49</v>
      </c>
      <c r="R76" s="54">
        <v>94800</v>
      </c>
      <c r="S76" s="54">
        <v>11.239800000000001</v>
      </c>
      <c r="T76" s="54">
        <v>21900</v>
      </c>
      <c r="U76" s="55">
        <v>0</v>
      </c>
    </row>
    <row r="77" spans="2:21" x14ac:dyDescent="0.25">
      <c r="B77" s="53" t="s">
        <v>416</v>
      </c>
      <c r="C77" s="54">
        <v>2435.98</v>
      </c>
      <c r="D77" s="54">
        <v>12942.44</v>
      </c>
      <c r="E77" s="54">
        <v>8176.6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4">
        <v>23555.02</v>
      </c>
      <c r="P77" s="54">
        <v>25200</v>
      </c>
      <c r="Q77" s="54">
        <v>1644.98</v>
      </c>
      <c r="R77" s="54">
        <v>100800</v>
      </c>
      <c r="S77" s="54">
        <v>6.5277000000000003</v>
      </c>
      <c r="T77" s="54">
        <v>8400</v>
      </c>
      <c r="U77" s="55">
        <v>0</v>
      </c>
    </row>
    <row r="78" spans="2:21" outlineLevel="1" x14ac:dyDescent="0.25">
      <c r="B78" s="56" t="s">
        <v>417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7">
        <v>0</v>
      </c>
      <c r="Q78" s="57">
        <v>0</v>
      </c>
      <c r="R78" s="57">
        <v>0</v>
      </c>
      <c r="S78" s="57">
        <v>0</v>
      </c>
      <c r="T78" s="57">
        <v>0</v>
      </c>
      <c r="U78" s="57">
        <v>0</v>
      </c>
    </row>
    <row r="79" spans="2:21" x14ac:dyDescent="0.25">
      <c r="B79" s="53" t="s">
        <v>418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5">
        <v>0</v>
      </c>
      <c r="M79" s="55">
        <v>0</v>
      </c>
      <c r="N79" s="55">
        <v>0</v>
      </c>
      <c r="O79" s="55">
        <v>0</v>
      </c>
      <c r="P79" s="55">
        <v>0</v>
      </c>
      <c r="Q79" s="55">
        <v>0</v>
      </c>
      <c r="R79" s="55">
        <v>0</v>
      </c>
      <c r="S79" s="55">
        <v>0</v>
      </c>
      <c r="T79" s="55">
        <v>0</v>
      </c>
      <c r="U79" s="55">
        <v>0</v>
      </c>
    </row>
    <row r="80" spans="2:21" outlineLevel="1" x14ac:dyDescent="0.25">
      <c r="B80" s="56" t="s">
        <v>419</v>
      </c>
      <c r="C80" s="57">
        <v>0</v>
      </c>
      <c r="D80" s="58">
        <v>964.25</v>
      </c>
      <c r="E80" s="58">
        <v>147.81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1112.06</v>
      </c>
      <c r="P80" s="57">
        <v>0</v>
      </c>
      <c r="Q80" s="58">
        <v>-1112.06</v>
      </c>
      <c r="R80" s="57">
        <v>0</v>
      </c>
      <c r="S80" s="57">
        <v>0</v>
      </c>
      <c r="T80" s="57">
        <v>0</v>
      </c>
      <c r="U80" s="57">
        <v>0</v>
      </c>
    </row>
    <row r="81" spans="2:21" outlineLevel="1" x14ac:dyDescent="0.25">
      <c r="B81" s="56" t="s">
        <v>420</v>
      </c>
      <c r="C81" s="58">
        <v>565.44000000000005</v>
      </c>
      <c r="D81" s="58">
        <v>1990.8</v>
      </c>
      <c r="E81" s="58">
        <v>4234.34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8">
        <v>6790.58</v>
      </c>
      <c r="P81" s="58">
        <v>19200</v>
      </c>
      <c r="Q81" s="58">
        <v>12409.42</v>
      </c>
      <c r="R81" s="58">
        <v>76800</v>
      </c>
      <c r="S81" s="58">
        <v>64.632400000000004</v>
      </c>
      <c r="T81" s="58">
        <v>6400</v>
      </c>
      <c r="U81" s="57">
        <v>0</v>
      </c>
    </row>
    <row r="82" spans="2:21" outlineLevel="1" x14ac:dyDescent="0.25">
      <c r="B82" s="56" t="s">
        <v>421</v>
      </c>
      <c r="C82" s="58">
        <v>1983.08</v>
      </c>
      <c r="D82" s="58">
        <v>2399.6999999999998</v>
      </c>
      <c r="E82" s="58">
        <v>1209.52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8">
        <v>5592.3</v>
      </c>
      <c r="P82" s="57">
        <v>0</v>
      </c>
      <c r="Q82" s="58">
        <v>-5592.3</v>
      </c>
      <c r="R82" s="57">
        <v>0</v>
      </c>
      <c r="S82" s="57">
        <v>0</v>
      </c>
      <c r="T82" s="57">
        <v>0</v>
      </c>
      <c r="U82" s="57">
        <v>0</v>
      </c>
    </row>
    <row r="83" spans="2:21" outlineLevel="1" x14ac:dyDescent="0.25">
      <c r="B83" s="56" t="s">
        <v>422</v>
      </c>
      <c r="C83" s="58">
        <v>187.46</v>
      </c>
      <c r="D83" s="58">
        <v>187.69</v>
      </c>
      <c r="E83" s="58">
        <v>184.93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8">
        <v>560.08000000000004</v>
      </c>
      <c r="P83" s="57">
        <v>0</v>
      </c>
      <c r="Q83" s="58">
        <v>-560.08000000000004</v>
      </c>
      <c r="R83" s="57">
        <v>0</v>
      </c>
      <c r="S83" s="57">
        <v>0</v>
      </c>
      <c r="T83" s="57">
        <v>0</v>
      </c>
      <c r="U83" s="57">
        <v>0</v>
      </c>
    </row>
    <row r="84" spans="2:21" x14ac:dyDescent="0.25">
      <c r="B84" s="53" t="s">
        <v>423</v>
      </c>
      <c r="C84" s="54">
        <v>2735.98</v>
      </c>
      <c r="D84" s="54">
        <v>5542.44</v>
      </c>
      <c r="E84" s="54">
        <v>5776.6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4">
        <v>14055.02</v>
      </c>
      <c r="P84" s="54">
        <v>19200</v>
      </c>
      <c r="Q84" s="54">
        <v>5144.9799999999996</v>
      </c>
      <c r="R84" s="54">
        <v>76800</v>
      </c>
      <c r="S84" s="54">
        <v>26.796800000000001</v>
      </c>
      <c r="T84" s="54">
        <v>6400</v>
      </c>
      <c r="U84" s="55">
        <v>0</v>
      </c>
    </row>
    <row r="85" spans="2:21" outlineLevel="1" x14ac:dyDescent="0.25">
      <c r="B85" s="56" t="s">
        <v>424</v>
      </c>
      <c r="C85" s="58">
        <v>-300</v>
      </c>
      <c r="D85" s="58">
        <v>7400</v>
      </c>
      <c r="E85" s="58">
        <v>2400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8">
        <v>9500</v>
      </c>
      <c r="P85" s="58">
        <v>6000</v>
      </c>
      <c r="Q85" s="58">
        <v>-3500</v>
      </c>
      <c r="R85" s="58">
        <v>24000</v>
      </c>
      <c r="S85" s="58">
        <v>-58.333300000000001</v>
      </c>
      <c r="T85" s="58">
        <v>2000</v>
      </c>
      <c r="U85" s="57">
        <v>0</v>
      </c>
    </row>
    <row r="86" spans="2:21" x14ac:dyDescent="0.25">
      <c r="B86" s="53" t="s">
        <v>425</v>
      </c>
      <c r="C86" s="54">
        <v>-300</v>
      </c>
      <c r="D86" s="54">
        <v>7400</v>
      </c>
      <c r="E86" s="54">
        <v>2400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4">
        <v>9500</v>
      </c>
      <c r="P86" s="54">
        <v>6000</v>
      </c>
      <c r="Q86" s="54">
        <v>-3500</v>
      </c>
      <c r="R86" s="54">
        <v>24000</v>
      </c>
      <c r="S86" s="54">
        <v>-58.333300000000001</v>
      </c>
      <c r="T86" s="54">
        <v>2000</v>
      </c>
      <c r="U86" s="55">
        <v>0</v>
      </c>
    </row>
    <row r="87" spans="2:21" outlineLevel="1" x14ac:dyDescent="0.25">
      <c r="B87" s="56" t="s">
        <v>426</v>
      </c>
      <c r="C87" s="58">
        <v>25312</v>
      </c>
      <c r="D87" s="58">
        <v>25312</v>
      </c>
      <c r="E87" s="58">
        <v>25312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8">
        <v>75936</v>
      </c>
      <c r="P87" s="58">
        <v>75936</v>
      </c>
      <c r="Q87" s="57">
        <v>0</v>
      </c>
      <c r="R87" s="58">
        <v>303744</v>
      </c>
      <c r="S87" s="57">
        <v>0</v>
      </c>
      <c r="T87" s="58">
        <v>25312</v>
      </c>
      <c r="U87" s="57">
        <v>0</v>
      </c>
    </row>
    <row r="88" spans="2:21" x14ac:dyDescent="0.25">
      <c r="B88" s="53" t="s">
        <v>427</v>
      </c>
      <c r="C88" s="54">
        <v>25312</v>
      </c>
      <c r="D88" s="54">
        <v>25312</v>
      </c>
      <c r="E88" s="54">
        <v>25312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4">
        <v>75936</v>
      </c>
      <c r="P88" s="54">
        <v>75936</v>
      </c>
      <c r="Q88" s="55">
        <v>0</v>
      </c>
      <c r="R88" s="54">
        <v>303744</v>
      </c>
      <c r="S88" s="55">
        <v>0</v>
      </c>
      <c r="T88" s="54">
        <v>25312</v>
      </c>
      <c r="U88" s="55">
        <v>0</v>
      </c>
    </row>
    <row r="89" spans="2:21" outlineLevel="1" x14ac:dyDescent="0.25">
      <c r="B89" s="56" t="s">
        <v>503</v>
      </c>
      <c r="C89" s="57">
        <v>0</v>
      </c>
      <c r="D89" s="57">
        <v>0</v>
      </c>
      <c r="E89" s="57">
        <v>0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7">
        <v>0</v>
      </c>
      <c r="M89" s="57">
        <v>0</v>
      </c>
      <c r="N89" s="57">
        <v>0</v>
      </c>
      <c r="O89" s="57">
        <v>0</v>
      </c>
      <c r="P89" s="58">
        <v>182620.11</v>
      </c>
      <c r="Q89" s="58">
        <v>182620.11</v>
      </c>
      <c r="R89" s="58">
        <v>730480.44</v>
      </c>
      <c r="S89" s="58">
        <v>100</v>
      </c>
      <c r="T89" s="58">
        <v>60873.37</v>
      </c>
      <c r="U89" s="57">
        <v>0</v>
      </c>
    </row>
    <row r="90" spans="2:21" outlineLevel="1" x14ac:dyDescent="0.25">
      <c r="B90" s="56" t="s">
        <v>504</v>
      </c>
      <c r="C90" s="58">
        <v>101341.53</v>
      </c>
      <c r="D90" s="58">
        <v>101341.54</v>
      </c>
      <c r="E90" s="58">
        <v>101341.54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8">
        <v>304024.61</v>
      </c>
      <c r="P90" s="58">
        <v>121404.48</v>
      </c>
      <c r="Q90" s="58">
        <v>-182620.13</v>
      </c>
      <c r="R90" s="58">
        <v>485617.91999999998</v>
      </c>
      <c r="S90" s="58">
        <v>-150.4229</v>
      </c>
      <c r="T90" s="58">
        <v>40468.160000000003</v>
      </c>
      <c r="U90" s="57">
        <v>0</v>
      </c>
    </row>
    <row r="91" spans="2:21" x14ac:dyDescent="0.25">
      <c r="B91" s="53" t="s">
        <v>414</v>
      </c>
      <c r="C91" s="54">
        <v>101341.53</v>
      </c>
      <c r="D91" s="54">
        <v>101341.54</v>
      </c>
      <c r="E91" s="54">
        <v>101341.54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4">
        <v>304024.61</v>
      </c>
      <c r="P91" s="54">
        <v>304024.59000000003</v>
      </c>
      <c r="Q91" s="54">
        <v>-0.02</v>
      </c>
      <c r="R91" s="54">
        <v>1216098.3600000001</v>
      </c>
      <c r="S91" s="55">
        <v>0</v>
      </c>
      <c r="T91" s="54">
        <v>101341.53</v>
      </c>
      <c r="U91" s="55">
        <v>0</v>
      </c>
    </row>
    <row r="92" spans="2:21" x14ac:dyDescent="0.25">
      <c r="B92" s="53" t="s">
        <v>428</v>
      </c>
      <c r="C92" s="54">
        <v>24263.21</v>
      </c>
      <c r="D92" s="54">
        <v>21915.23</v>
      </c>
      <c r="E92" s="54">
        <v>24108.91</v>
      </c>
      <c r="F92" s="55">
        <v>0</v>
      </c>
      <c r="G92" s="55">
        <v>0</v>
      </c>
      <c r="H92" s="55">
        <v>0</v>
      </c>
      <c r="I92" s="55">
        <v>0</v>
      </c>
      <c r="J92" s="55">
        <v>0</v>
      </c>
      <c r="K92" s="55">
        <v>0</v>
      </c>
      <c r="L92" s="55">
        <v>0</v>
      </c>
      <c r="M92" s="55">
        <v>0</v>
      </c>
      <c r="N92" s="55">
        <v>0</v>
      </c>
      <c r="O92" s="54">
        <v>70287.350000000006</v>
      </c>
      <c r="P92" s="54">
        <v>69140.69</v>
      </c>
      <c r="Q92" s="54">
        <v>-1146.6600000000001</v>
      </c>
      <c r="R92" s="54">
        <v>281879.17</v>
      </c>
      <c r="S92" s="54">
        <v>-1.6584000000000001</v>
      </c>
      <c r="T92" s="54">
        <v>23747.08</v>
      </c>
      <c r="U92" s="55">
        <v>0</v>
      </c>
    </row>
    <row r="93" spans="2:21" outlineLevel="1" x14ac:dyDescent="0.25">
      <c r="B93" s="56" t="s">
        <v>505</v>
      </c>
      <c r="C93" s="58">
        <v>15886.12</v>
      </c>
      <c r="D93" s="58">
        <v>14348.77</v>
      </c>
      <c r="E93" s="58">
        <v>15886.12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8">
        <v>46121.01</v>
      </c>
      <c r="P93" s="58">
        <v>44871.16</v>
      </c>
      <c r="Q93" s="58">
        <v>-1249.8499999999999</v>
      </c>
      <c r="R93" s="58">
        <v>183975.03</v>
      </c>
      <c r="S93" s="58">
        <v>-2.7854000000000001</v>
      </c>
      <c r="T93" s="58">
        <v>15455.62</v>
      </c>
      <c r="U93" s="57">
        <v>0</v>
      </c>
    </row>
    <row r="94" spans="2:21" x14ac:dyDescent="0.25">
      <c r="B94" s="53" t="s">
        <v>429</v>
      </c>
      <c r="C94" s="54">
        <v>15886.12</v>
      </c>
      <c r="D94" s="54">
        <v>14348.77</v>
      </c>
      <c r="E94" s="54">
        <v>15886.12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 s="55">
        <v>0</v>
      </c>
      <c r="N94" s="55">
        <v>0</v>
      </c>
      <c r="O94" s="54">
        <v>46121.01</v>
      </c>
      <c r="P94" s="54">
        <v>44871.16</v>
      </c>
      <c r="Q94" s="54">
        <v>-1249.8499999999999</v>
      </c>
      <c r="R94" s="54">
        <v>183975.03</v>
      </c>
      <c r="S94" s="54">
        <v>-2.7854000000000001</v>
      </c>
      <c r="T94" s="54">
        <v>15455.62</v>
      </c>
      <c r="U94" s="55">
        <v>0</v>
      </c>
    </row>
    <row r="95" spans="2:21" outlineLevel="1" x14ac:dyDescent="0.25">
      <c r="B95" s="56" t="s">
        <v>430</v>
      </c>
      <c r="C95" s="58">
        <v>6708.78</v>
      </c>
      <c r="D95" s="58">
        <v>6059.58</v>
      </c>
      <c r="E95" s="58">
        <v>6554.48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7">
        <v>0</v>
      </c>
      <c r="M95" s="57">
        <v>0</v>
      </c>
      <c r="N95" s="57">
        <v>0</v>
      </c>
      <c r="O95" s="58">
        <v>19322.84</v>
      </c>
      <c r="P95" s="58">
        <v>19425.990000000002</v>
      </c>
      <c r="Q95" s="58">
        <v>103.15</v>
      </c>
      <c r="R95" s="58">
        <v>78179.56</v>
      </c>
      <c r="S95" s="58">
        <v>0.53100000000000003</v>
      </c>
      <c r="T95" s="58">
        <v>6623.13</v>
      </c>
      <c r="U95" s="57">
        <v>0</v>
      </c>
    </row>
    <row r="96" spans="2:21" x14ac:dyDescent="0.25">
      <c r="B96" s="53" t="s">
        <v>431</v>
      </c>
      <c r="C96" s="54">
        <v>6708.78</v>
      </c>
      <c r="D96" s="54">
        <v>6059.58</v>
      </c>
      <c r="E96" s="54">
        <v>6554.48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4">
        <v>19322.84</v>
      </c>
      <c r="P96" s="54">
        <v>19425.990000000002</v>
      </c>
      <c r="Q96" s="54">
        <v>103.15</v>
      </c>
      <c r="R96" s="54">
        <v>78179.56</v>
      </c>
      <c r="S96" s="54">
        <v>0.53100000000000003</v>
      </c>
      <c r="T96" s="54">
        <v>6623.13</v>
      </c>
      <c r="U96" s="55">
        <v>0</v>
      </c>
    </row>
    <row r="97" spans="2:21" outlineLevel="1" x14ac:dyDescent="0.25">
      <c r="B97" s="56" t="s">
        <v>506</v>
      </c>
      <c r="C97" s="58">
        <v>1668.31</v>
      </c>
      <c r="D97" s="58">
        <v>1506.88</v>
      </c>
      <c r="E97" s="58">
        <v>1668.31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8">
        <v>4843.5</v>
      </c>
      <c r="P97" s="58">
        <v>4843.54</v>
      </c>
      <c r="Q97" s="58">
        <v>0.04</v>
      </c>
      <c r="R97" s="58">
        <v>19724.580000000002</v>
      </c>
      <c r="S97" s="58">
        <v>8.0000000000000004E-4</v>
      </c>
      <c r="T97" s="58">
        <v>1668.33</v>
      </c>
      <c r="U97" s="57">
        <v>0</v>
      </c>
    </row>
    <row r="98" spans="2:21" x14ac:dyDescent="0.25">
      <c r="B98" s="53" t="s">
        <v>432</v>
      </c>
      <c r="C98" s="54">
        <v>1668.31</v>
      </c>
      <c r="D98" s="54">
        <v>1506.88</v>
      </c>
      <c r="E98" s="54">
        <v>1668.31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5">
        <v>0</v>
      </c>
      <c r="M98" s="55">
        <v>0</v>
      </c>
      <c r="N98" s="55">
        <v>0</v>
      </c>
      <c r="O98" s="54">
        <v>4843.5</v>
      </c>
      <c r="P98" s="54">
        <v>4843.54</v>
      </c>
      <c r="Q98" s="54">
        <v>0.04</v>
      </c>
      <c r="R98" s="54">
        <v>19724.580000000002</v>
      </c>
      <c r="S98" s="54">
        <v>8.0000000000000004E-4</v>
      </c>
      <c r="T98" s="54">
        <v>1668.33</v>
      </c>
      <c r="U98" s="55">
        <v>0</v>
      </c>
    </row>
    <row r="99" spans="2:21" x14ac:dyDescent="0.25">
      <c r="B99" s="53" t="s">
        <v>433</v>
      </c>
      <c r="C99" s="54">
        <v>550666.5</v>
      </c>
      <c r="D99" s="54">
        <v>745763.56</v>
      </c>
      <c r="E99" s="54">
        <v>635591.67000000004</v>
      </c>
      <c r="F99" s="55">
        <v>0</v>
      </c>
      <c r="G99" s="55">
        <v>0</v>
      </c>
      <c r="H99" s="55">
        <v>0</v>
      </c>
      <c r="I99" s="55">
        <v>0</v>
      </c>
      <c r="J99" s="55">
        <v>0</v>
      </c>
      <c r="K99" s="55">
        <v>0</v>
      </c>
      <c r="L99" s="55">
        <v>0</v>
      </c>
      <c r="M99" s="55">
        <v>0</v>
      </c>
      <c r="N99" s="55">
        <v>0</v>
      </c>
      <c r="O99" s="54">
        <v>1932021.73</v>
      </c>
      <c r="P99" s="54">
        <v>1926950.06</v>
      </c>
      <c r="Q99" s="54">
        <v>-5071.67</v>
      </c>
      <c r="R99" s="54">
        <v>7670404.4900000002</v>
      </c>
      <c r="S99" s="54">
        <v>-0.26319999999999999</v>
      </c>
      <c r="T99" s="54">
        <v>632521.79</v>
      </c>
      <c r="U99" s="55">
        <v>0</v>
      </c>
    </row>
    <row r="100" spans="2:21" x14ac:dyDescent="0.25">
      <c r="B100" s="53" t="s">
        <v>434</v>
      </c>
      <c r="C100" s="54">
        <v>-677928.8</v>
      </c>
      <c r="D100" s="54">
        <v>-649743.73</v>
      </c>
      <c r="E100" s="54">
        <v>-1442338.63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  <c r="K100" s="55">
        <v>0</v>
      </c>
      <c r="L100" s="55">
        <v>0</v>
      </c>
      <c r="M100" s="55">
        <v>0</v>
      </c>
      <c r="N100" s="55">
        <v>0</v>
      </c>
      <c r="O100" s="54">
        <v>-2770011.16</v>
      </c>
      <c r="P100" s="54">
        <v>-2170194.21</v>
      </c>
      <c r="Q100" s="54">
        <v>599816.94999999995</v>
      </c>
      <c r="R100" s="54">
        <v>-7872651.3600000003</v>
      </c>
      <c r="S100" s="54">
        <v>-27.6389</v>
      </c>
      <c r="T100" s="54">
        <v>-775237.16</v>
      </c>
      <c r="U100" s="55">
        <v>0</v>
      </c>
    </row>
    <row r="101" spans="2:21" outlineLevel="1" x14ac:dyDescent="0.25">
      <c r="B101" s="56" t="s">
        <v>507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7">
        <v>0</v>
      </c>
      <c r="P101" s="58">
        <v>457919.58</v>
      </c>
      <c r="Q101" s="58">
        <v>457919.58</v>
      </c>
      <c r="R101" s="58">
        <v>1831678.32</v>
      </c>
      <c r="S101" s="58">
        <v>100</v>
      </c>
      <c r="T101" s="58">
        <v>152639.85999999999</v>
      </c>
      <c r="U101" s="57">
        <v>0</v>
      </c>
    </row>
    <row r="102" spans="2:21" outlineLevel="1" x14ac:dyDescent="0.25">
      <c r="B102" s="56" t="s">
        <v>508</v>
      </c>
      <c r="C102" s="58">
        <v>139579.19</v>
      </c>
      <c r="D102" s="58">
        <v>139579.19</v>
      </c>
      <c r="E102" s="58">
        <v>139579.19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8">
        <v>418737.57</v>
      </c>
      <c r="P102" s="57">
        <v>0</v>
      </c>
      <c r="Q102" s="58">
        <v>-418737.57</v>
      </c>
      <c r="R102" s="57">
        <v>0</v>
      </c>
      <c r="S102" s="57">
        <v>0</v>
      </c>
      <c r="T102" s="57">
        <v>0</v>
      </c>
      <c r="U102" s="57">
        <v>0</v>
      </c>
    </row>
    <row r="103" spans="2:21" outlineLevel="1" x14ac:dyDescent="0.25">
      <c r="B103" s="56" t="s">
        <v>509</v>
      </c>
      <c r="C103" s="58">
        <v>18.36</v>
      </c>
      <c r="D103" s="58">
        <v>18.36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8">
        <v>36.72</v>
      </c>
      <c r="P103" s="57">
        <v>0</v>
      </c>
      <c r="Q103" s="58">
        <v>-36.72</v>
      </c>
      <c r="R103" s="57">
        <v>0</v>
      </c>
      <c r="S103" s="57">
        <v>0</v>
      </c>
      <c r="T103" s="57">
        <v>0</v>
      </c>
      <c r="U103" s="57">
        <v>0</v>
      </c>
    </row>
    <row r="104" spans="2:21" outlineLevel="1" x14ac:dyDescent="0.25">
      <c r="B104" s="56" t="s">
        <v>510</v>
      </c>
      <c r="C104" s="58">
        <v>471.5</v>
      </c>
      <c r="D104" s="58">
        <v>471.51</v>
      </c>
      <c r="E104" s="58">
        <v>471.51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8">
        <v>1414.52</v>
      </c>
      <c r="P104" s="57">
        <v>0</v>
      </c>
      <c r="Q104" s="58">
        <v>-1414.52</v>
      </c>
      <c r="R104" s="57">
        <v>0</v>
      </c>
      <c r="S104" s="57">
        <v>0</v>
      </c>
      <c r="T104" s="57">
        <v>0</v>
      </c>
      <c r="U104" s="57">
        <v>0</v>
      </c>
    </row>
    <row r="105" spans="2:21" outlineLevel="1" x14ac:dyDescent="0.25">
      <c r="B105" s="56" t="s">
        <v>511</v>
      </c>
      <c r="C105" s="58">
        <v>151.93</v>
      </c>
      <c r="D105" s="58">
        <v>151.93</v>
      </c>
      <c r="E105" s="58">
        <v>151.93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8">
        <v>455.79</v>
      </c>
      <c r="P105" s="57">
        <v>0</v>
      </c>
      <c r="Q105" s="58">
        <v>-455.79</v>
      </c>
      <c r="R105" s="57">
        <v>0</v>
      </c>
      <c r="S105" s="57">
        <v>0</v>
      </c>
      <c r="T105" s="57">
        <v>0</v>
      </c>
      <c r="U105" s="57">
        <v>0</v>
      </c>
    </row>
    <row r="106" spans="2:21" outlineLevel="1" x14ac:dyDescent="0.25">
      <c r="B106" s="56" t="s">
        <v>512</v>
      </c>
      <c r="C106" s="58">
        <v>13349.45</v>
      </c>
      <c r="D106" s="58">
        <v>13253.13</v>
      </c>
      <c r="E106" s="58">
        <v>13307.03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8">
        <v>39909.61</v>
      </c>
      <c r="P106" s="57">
        <v>0</v>
      </c>
      <c r="Q106" s="58">
        <v>-39909.61</v>
      </c>
      <c r="R106" s="57">
        <v>0</v>
      </c>
      <c r="S106" s="57">
        <v>0</v>
      </c>
      <c r="T106" s="57">
        <v>0</v>
      </c>
      <c r="U106" s="57">
        <v>0</v>
      </c>
    </row>
    <row r="107" spans="2:21" outlineLevel="1" x14ac:dyDescent="0.25">
      <c r="B107" s="56" t="s">
        <v>513</v>
      </c>
      <c r="C107" s="58">
        <v>328.29</v>
      </c>
      <c r="D107" s="58">
        <v>328.29</v>
      </c>
      <c r="E107" s="58">
        <v>328.3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8">
        <v>984.88</v>
      </c>
      <c r="P107" s="57">
        <v>0</v>
      </c>
      <c r="Q107" s="58">
        <v>-984.88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5">
      <c r="B108" s="53" t="s">
        <v>435</v>
      </c>
      <c r="C108" s="54">
        <v>153898.72</v>
      </c>
      <c r="D108" s="54">
        <v>153802.41</v>
      </c>
      <c r="E108" s="54">
        <v>153837.96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4">
        <v>461539.09</v>
      </c>
      <c r="P108" s="54">
        <v>457919.58</v>
      </c>
      <c r="Q108" s="54">
        <v>-3619.51</v>
      </c>
      <c r="R108" s="54">
        <v>1831678.32</v>
      </c>
      <c r="S108" s="54">
        <v>-0.79039999999999999</v>
      </c>
      <c r="T108" s="54">
        <v>152639.85999999999</v>
      </c>
      <c r="U108" s="55">
        <v>0</v>
      </c>
    </row>
    <row r="109" spans="2:21" x14ac:dyDescent="0.25">
      <c r="B109" s="53" t="s">
        <v>436</v>
      </c>
      <c r="C109" s="54">
        <v>1923.31</v>
      </c>
      <c r="D109" s="54">
        <v>1142.94</v>
      </c>
      <c r="E109" s="54">
        <v>1269.02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5">
        <v>0</v>
      </c>
      <c r="N109" s="55">
        <v>0</v>
      </c>
      <c r="O109" s="54">
        <v>4335.2700000000004</v>
      </c>
      <c r="P109" s="54">
        <v>3318.21</v>
      </c>
      <c r="Q109" s="54">
        <v>-1017.06</v>
      </c>
      <c r="R109" s="54">
        <v>13272.84</v>
      </c>
      <c r="S109" s="54">
        <v>-30.6509</v>
      </c>
      <c r="T109" s="54">
        <v>1106.07</v>
      </c>
      <c r="U109" s="55">
        <v>0</v>
      </c>
    </row>
    <row r="110" spans="2:21" outlineLevel="1" x14ac:dyDescent="0.25">
      <c r="B110" s="56" t="s">
        <v>514</v>
      </c>
      <c r="C110" s="57">
        <v>0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7">
        <v>0</v>
      </c>
      <c r="M110" s="57">
        <v>0</v>
      </c>
      <c r="N110" s="57">
        <v>0</v>
      </c>
      <c r="O110" s="57">
        <v>0</v>
      </c>
      <c r="P110" s="58">
        <v>3318.21</v>
      </c>
      <c r="Q110" s="58">
        <v>3318.21</v>
      </c>
      <c r="R110" s="58">
        <v>13272.84</v>
      </c>
      <c r="S110" s="58">
        <v>100</v>
      </c>
      <c r="T110" s="58">
        <v>1106.07</v>
      </c>
      <c r="U110" s="57">
        <v>0</v>
      </c>
    </row>
    <row r="111" spans="2:21" outlineLevel="1" x14ac:dyDescent="0.25">
      <c r="B111" s="56" t="s">
        <v>515</v>
      </c>
      <c r="C111" s="58">
        <v>660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7">
        <v>0</v>
      </c>
      <c r="M111" s="57">
        <v>0</v>
      </c>
      <c r="N111" s="57">
        <v>0</v>
      </c>
      <c r="O111" s="58">
        <v>660</v>
      </c>
      <c r="P111" s="57">
        <v>0</v>
      </c>
      <c r="Q111" s="58">
        <v>-660</v>
      </c>
      <c r="R111" s="57">
        <v>0</v>
      </c>
      <c r="S111" s="57">
        <v>0</v>
      </c>
      <c r="T111" s="57">
        <v>0</v>
      </c>
      <c r="U111" s="57">
        <v>0</v>
      </c>
    </row>
    <row r="112" spans="2:21" outlineLevel="1" x14ac:dyDescent="0.25">
      <c r="B112" s="56" t="s">
        <v>437</v>
      </c>
      <c r="C112" s="58">
        <v>1139.4000000000001</v>
      </c>
      <c r="D112" s="58">
        <v>1142.94</v>
      </c>
      <c r="E112" s="58">
        <v>1269.02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8">
        <v>3551.36</v>
      </c>
      <c r="P112" s="57">
        <v>0</v>
      </c>
      <c r="Q112" s="58">
        <v>-3551.36</v>
      </c>
      <c r="R112" s="57">
        <v>0</v>
      </c>
      <c r="S112" s="57">
        <v>0</v>
      </c>
      <c r="T112" s="57">
        <v>0</v>
      </c>
      <c r="U112" s="57">
        <v>0</v>
      </c>
    </row>
    <row r="113" spans="2:21" outlineLevel="1" x14ac:dyDescent="0.25">
      <c r="B113" s="56" t="s">
        <v>516</v>
      </c>
      <c r="C113" s="58">
        <v>26.91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8">
        <v>26.91</v>
      </c>
      <c r="P113" s="57">
        <v>0</v>
      </c>
      <c r="Q113" s="58">
        <v>-26.91</v>
      </c>
      <c r="R113" s="57">
        <v>0</v>
      </c>
      <c r="S113" s="57">
        <v>0</v>
      </c>
      <c r="T113" s="57">
        <v>0</v>
      </c>
      <c r="U113" s="57">
        <v>0</v>
      </c>
    </row>
    <row r="114" spans="2:21" x14ac:dyDescent="0.25">
      <c r="B114" s="53" t="s">
        <v>438</v>
      </c>
      <c r="C114" s="54">
        <v>1826.31</v>
      </c>
      <c r="D114" s="54">
        <v>1142.94</v>
      </c>
      <c r="E114" s="54">
        <v>1269.02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0</v>
      </c>
      <c r="M114" s="55">
        <v>0</v>
      </c>
      <c r="N114" s="55">
        <v>0</v>
      </c>
      <c r="O114" s="54">
        <v>4238.2700000000004</v>
      </c>
      <c r="P114" s="54">
        <v>3318.21</v>
      </c>
      <c r="Q114" s="54">
        <v>-920.06</v>
      </c>
      <c r="R114" s="54">
        <v>13272.84</v>
      </c>
      <c r="S114" s="54">
        <v>-27.727599999999999</v>
      </c>
      <c r="T114" s="54">
        <v>1106.07</v>
      </c>
      <c r="U114" s="55">
        <v>0</v>
      </c>
    </row>
    <row r="115" spans="2:21" outlineLevel="1" x14ac:dyDescent="0.25">
      <c r="B115" s="56" t="s">
        <v>526</v>
      </c>
      <c r="C115" s="57">
        <v>0</v>
      </c>
      <c r="D115" s="57">
        <v>0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7">
        <v>0</v>
      </c>
      <c r="P115" s="57">
        <v>0</v>
      </c>
      <c r="Q115" s="57">
        <v>0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5">
      <c r="B116" s="53" t="s">
        <v>518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5">
        <v>0</v>
      </c>
      <c r="P116" s="55">
        <v>0</v>
      </c>
      <c r="Q116" s="55">
        <v>0</v>
      </c>
      <c r="R116" s="55">
        <v>0</v>
      </c>
      <c r="S116" s="55">
        <v>0</v>
      </c>
      <c r="T116" s="55">
        <v>0</v>
      </c>
      <c r="U116" s="55">
        <v>0</v>
      </c>
    </row>
    <row r="117" spans="2:21" outlineLevel="1" x14ac:dyDescent="0.25">
      <c r="B117" s="56" t="s">
        <v>439</v>
      </c>
      <c r="C117" s="58">
        <v>97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8">
        <v>97</v>
      </c>
      <c r="P117" s="57">
        <v>0</v>
      </c>
      <c r="Q117" s="58">
        <v>-97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5">
      <c r="B118" s="53" t="s">
        <v>440</v>
      </c>
      <c r="C118" s="54">
        <v>97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4">
        <v>97</v>
      </c>
      <c r="P118" s="55">
        <v>0</v>
      </c>
      <c r="Q118" s="54">
        <v>-97</v>
      </c>
      <c r="R118" s="55">
        <v>0</v>
      </c>
      <c r="S118" s="55">
        <v>0</v>
      </c>
      <c r="T118" s="55">
        <v>0</v>
      </c>
      <c r="U118" s="55">
        <v>0</v>
      </c>
    </row>
    <row r="119" spans="2:21" x14ac:dyDescent="0.25">
      <c r="B119" s="53" t="s">
        <v>441</v>
      </c>
      <c r="C119" s="54">
        <v>-522106.77</v>
      </c>
      <c r="D119" s="54">
        <v>-494798.38</v>
      </c>
      <c r="E119" s="54">
        <v>-1287231.6499999999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4">
        <v>-2304136.7999999998</v>
      </c>
      <c r="P119" s="54">
        <v>-1708956.42</v>
      </c>
      <c r="Q119" s="54">
        <v>595180.38</v>
      </c>
      <c r="R119" s="54">
        <v>-6027700.2000000002</v>
      </c>
      <c r="S119" s="54">
        <v>-34.827100000000002</v>
      </c>
      <c r="T119" s="54">
        <v>-621491.23</v>
      </c>
      <c r="U119" s="55">
        <v>0</v>
      </c>
    </row>
    <row r="120" spans="2:21" x14ac:dyDescent="0.25">
      <c r="B120" s="53" t="s">
        <v>558</v>
      </c>
      <c r="C120" s="54">
        <v>59398.21</v>
      </c>
      <c r="D120" s="54">
        <v>78673.06</v>
      </c>
      <c r="E120" s="54">
        <v>57016.24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4">
        <v>195087.51</v>
      </c>
      <c r="P120" s="54">
        <v>185540.07</v>
      </c>
      <c r="Q120" s="54">
        <v>-9547.44</v>
      </c>
      <c r="R120" s="54">
        <v>676220.18</v>
      </c>
      <c r="S120" s="54">
        <v>-5.1458000000000004</v>
      </c>
      <c r="T120" s="54">
        <v>54410.82</v>
      </c>
      <c r="U120" s="55">
        <v>0</v>
      </c>
    </row>
    <row r="121" spans="2:21" outlineLevel="1" x14ac:dyDescent="0.25">
      <c r="B121" s="56" t="s">
        <v>388</v>
      </c>
      <c r="C121" s="58">
        <v>34715.31</v>
      </c>
      <c r="D121" s="58">
        <v>35047.22</v>
      </c>
      <c r="E121" s="58">
        <v>35151.919999999998</v>
      </c>
      <c r="F121" s="57">
        <v>0</v>
      </c>
      <c r="G121" s="57">
        <v>0</v>
      </c>
      <c r="H121" s="57">
        <v>0</v>
      </c>
      <c r="I121" s="57">
        <v>0</v>
      </c>
      <c r="J121" s="57">
        <v>0</v>
      </c>
      <c r="K121" s="57">
        <v>0</v>
      </c>
      <c r="L121" s="57">
        <v>0</v>
      </c>
      <c r="M121" s="57">
        <v>0</v>
      </c>
      <c r="N121" s="57">
        <v>0</v>
      </c>
      <c r="O121" s="58">
        <v>104914.45</v>
      </c>
      <c r="P121" s="58">
        <v>130741.53</v>
      </c>
      <c r="Q121" s="58">
        <v>25827.08</v>
      </c>
      <c r="R121" s="58">
        <v>456043.29</v>
      </c>
      <c r="S121" s="58">
        <v>19.754300000000001</v>
      </c>
      <c r="T121" s="58">
        <v>36144.639999999999</v>
      </c>
      <c r="U121" s="57">
        <v>0</v>
      </c>
    </row>
    <row r="122" spans="2:21" outlineLevel="1" x14ac:dyDescent="0.25">
      <c r="B122" s="56" t="s">
        <v>389</v>
      </c>
      <c r="C122" s="58">
        <v>884.65</v>
      </c>
      <c r="D122" s="58">
        <v>883.07</v>
      </c>
      <c r="E122" s="58">
        <v>931.93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8">
        <v>2699.65</v>
      </c>
      <c r="P122" s="57">
        <v>0</v>
      </c>
      <c r="Q122" s="58">
        <v>-2699.65</v>
      </c>
      <c r="R122" s="57">
        <v>0</v>
      </c>
      <c r="S122" s="57">
        <v>0</v>
      </c>
      <c r="T122" s="57">
        <v>0</v>
      </c>
      <c r="U122" s="57">
        <v>0</v>
      </c>
    </row>
    <row r="123" spans="2:21" outlineLevel="1" x14ac:dyDescent="0.25">
      <c r="B123" s="56" t="s">
        <v>391</v>
      </c>
      <c r="C123" s="58">
        <v>1396.76</v>
      </c>
      <c r="D123" s="58">
        <v>984.79</v>
      </c>
      <c r="E123" s="58">
        <v>1030.0899999999999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8">
        <v>3411.64</v>
      </c>
      <c r="P123" s="57">
        <v>0</v>
      </c>
      <c r="Q123" s="58">
        <v>-3411.64</v>
      </c>
      <c r="R123" s="57">
        <v>0</v>
      </c>
      <c r="S123" s="57">
        <v>0</v>
      </c>
      <c r="T123" s="57">
        <v>0</v>
      </c>
      <c r="U123" s="57">
        <v>0</v>
      </c>
    </row>
    <row r="124" spans="2:21" outlineLevel="1" x14ac:dyDescent="0.25">
      <c r="B124" s="56" t="s">
        <v>480</v>
      </c>
      <c r="C124" s="58">
        <v>494.58</v>
      </c>
      <c r="D124" s="58">
        <v>20568.2</v>
      </c>
      <c r="E124" s="58">
        <v>545.88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8">
        <v>21608.66</v>
      </c>
      <c r="P124" s="57">
        <v>0</v>
      </c>
      <c r="Q124" s="58">
        <v>-21608.66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5">
      <c r="B125" s="53" t="s">
        <v>559</v>
      </c>
      <c r="C125" s="54">
        <v>37491.300000000003</v>
      </c>
      <c r="D125" s="54">
        <v>57483.28</v>
      </c>
      <c r="E125" s="54">
        <v>37659.82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4">
        <v>132634.4</v>
      </c>
      <c r="P125" s="54">
        <v>130741.53</v>
      </c>
      <c r="Q125" s="54">
        <v>-1892.87</v>
      </c>
      <c r="R125" s="54">
        <v>456043.29</v>
      </c>
      <c r="S125" s="54">
        <v>-1.4478</v>
      </c>
      <c r="T125" s="54">
        <v>36144.639999999999</v>
      </c>
      <c r="U125" s="55">
        <v>0</v>
      </c>
    </row>
    <row r="126" spans="2:21" outlineLevel="1" x14ac:dyDescent="0.25">
      <c r="B126" s="56" t="s">
        <v>482</v>
      </c>
      <c r="C126" s="58">
        <v>6101.11</v>
      </c>
      <c r="D126" s="58">
        <v>6090.21</v>
      </c>
      <c r="E126" s="58">
        <v>5856.72</v>
      </c>
      <c r="F126" s="57">
        <v>0</v>
      </c>
      <c r="G126" s="57">
        <v>0</v>
      </c>
      <c r="H126" s="57">
        <v>0</v>
      </c>
      <c r="I126" s="57">
        <v>0</v>
      </c>
      <c r="J126" s="57">
        <v>0</v>
      </c>
      <c r="K126" s="57">
        <v>0</v>
      </c>
      <c r="L126" s="57">
        <v>0</v>
      </c>
      <c r="M126" s="57">
        <v>0</v>
      </c>
      <c r="N126" s="57">
        <v>0</v>
      </c>
      <c r="O126" s="58">
        <v>18048.04</v>
      </c>
      <c r="P126" s="58">
        <v>18836.97</v>
      </c>
      <c r="Q126" s="58">
        <v>788.93</v>
      </c>
      <c r="R126" s="58">
        <v>75347.88</v>
      </c>
      <c r="S126" s="58">
        <v>4.1882000000000001</v>
      </c>
      <c r="T126" s="58">
        <v>6278.99</v>
      </c>
      <c r="U126" s="57">
        <v>0</v>
      </c>
    </row>
    <row r="127" spans="2:21" x14ac:dyDescent="0.25">
      <c r="B127" s="53" t="s">
        <v>393</v>
      </c>
      <c r="C127" s="54">
        <v>6101.11</v>
      </c>
      <c r="D127" s="54">
        <v>6090.21</v>
      </c>
      <c r="E127" s="54">
        <v>5856.72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5">
        <v>0</v>
      </c>
      <c r="M127" s="55">
        <v>0</v>
      </c>
      <c r="N127" s="55">
        <v>0</v>
      </c>
      <c r="O127" s="54">
        <v>18048.04</v>
      </c>
      <c r="P127" s="54">
        <v>18836.97</v>
      </c>
      <c r="Q127" s="54">
        <v>788.93</v>
      </c>
      <c r="R127" s="54">
        <v>75347.88</v>
      </c>
      <c r="S127" s="54">
        <v>4.1882000000000001</v>
      </c>
      <c r="T127" s="54">
        <v>6278.99</v>
      </c>
      <c r="U127" s="55">
        <v>0</v>
      </c>
    </row>
    <row r="128" spans="2:21" outlineLevel="1" x14ac:dyDescent="0.25">
      <c r="B128" s="56" t="s">
        <v>394</v>
      </c>
      <c r="C128" s="58">
        <v>3587.33</v>
      </c>
      <c r="D128" s="58">
        <v>3504.4</v>
      </c>
      <c r="E128" s="58">
        <v>3500.21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8">
        <v>10591.94</v>
      </c>
      <c r="P128" s="58">
        <v>10292.85</v>
      </c>
      <c r="Q128" s="58">
        <v>-299.08999999999997</v>
      </c>
      <c r="R128" s="58">
        <v>41171.4</v>
      </c>
      <c r="S128" s="58">
        <v>-2.9058000000000002</v>
      </c>
      <c r="T128" s="58">
        <v>3430.95</v>
      </c>
      <c r="U128" s="57">
        <v>0</v>
      </c>
    </row>
    <row r="129" spans="2:21" x14ac:dyDescent="0.25">
      <c r="B129" s="53" t="s">
        <v>395</v>
      </c>
      <c r="C129" s="54">
        <v>3587.33</v>
      </c>
      <c r="D129" s="54">
        <v>3504.4</v>
      </c>
      <c r="E129" s="54">
        <v>3500.21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5">
        <v>0</v>
      </c>
      <c r="L129" s="55">
        <v>0</v>
      </c>
      <c r="M129" s="55">
        <v>0</v>
      </c>
      <c r="N129" s="55">
        <v>0</v>
      </c>
      <c r="O129" s="54">
        <v>10591.94</v>
      </c>
      <c r="P129" s="54">
        <v>10292.85</v>
      </c>
      <c r="Q129" s="54">
        <v>-299.08999999999997</v>
      </c>
      <c r="R129" s="54">
        <v>41171.4</v>
      </c>
      <c r="S129" s="54">
        <v>-2.9058000000000002</v>
      </c>
      <c r="T129" s="54">
        <v>3430.95</v>
      </c>
      <c r="U129" s="55">
        <v>0</v>
      </c>
    </row>
    <row r="130" spans="2:21" outlineLevel="1" x14ac:dyDescent="0.25">
      <c r="B130" s="56" t="s">
        <v>396</v>
      </c>
      <c r="C130" s="58">
        <v>2470.9499999999998</v>
      </c>
      <c r="D130" s="58">
        <v>2466.54</v>
      </c>
      <c r="E130" s="58">
        <v>2479.13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0</v>
      </c>
      <c r="L130" s="57">
        <v>0</v>
      </c>
      <c r="M130" s="57">
        <v>0</v>
      </c>
      <c r="N130" s="57">
        <v>0</v>
      </c>
      <c r="O130" s="58">
        <v>7416.62</v>
      </c>
      <c r="P130" s="58">
        <v>7319.28</v>
      </c>
      <c r="Q130" s="58">
        <v>-97.34</v>
      </c>
      <c r="R130" s="58">
        <v>29277.119999999999</v>
      </c>
      <c r="S130" s="58">
        <v>-1.3299000000000001</v>
      </c>
      <c r="T130" s="58">
        <v>2439.7600000000002</v>
      </c>
      <c r="U130" s="57">
        <v>0</v>
      </c>
    </row>
    <row r="131" spans="2:21" x14ac:dyDescent="0.25">
      <c r="B131" s="53" t="s">
        <v>397</v>
      </c>
      <c r="C131" s="54">
        <v>2470.9499999999998</v>
      </c>
      <c r="D131" s="54">
        <v>2466.54</v>
      </c>
      <c r="E131" s="54">
        <v>2479.13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5">
        <v>0</v>
      </c>
      <c r="L131" s="55">
        <v>0</v>
      </c>
      <c r="M131" s="55">
        <v>0</v>
      </c>
      <c r="N131" s="55">
        <v>0</v>
      </c>
      <c r="O131" s="54">
        <v>7416.62</v>
      </c>
      <c r="P131" s="54">
        <v>7319.28</v>
      </c>
      <c r="Q131" s="54">
        <v>-97.34</v>
      </c>
      <c r="R131" s="54">
        <v>29277.119999999999</v>
      </c>
      <c r="S131" s="54">
        <v>-1.3299000000000001</v>
      </c>
      <c r="T131" s="54">
        <v>2439.7600000000002</v>
      </c>
      <c r="U131" s="55">
        <v>0</v>
      </c>
    </row>
    <row r="132" spans="2:21" outlineLevel="1" x14ac:dyDescent="0.25">
      <c r="B132" s="56" t="s">
        <v>483</v>
      </c>
      <c r="C132" s="58">
        <v>735.63</v>
      </c>
      <c r="D132" s="58">
        <v>648.4</v>
      </c>
      <c r="E132" s="58">
        <v>253.06</v>
      </c>
      <c r="F132" s="57">
        <v>0</v>
      </c>
      <c r="G132" s="57">
        <v>0</v>
      </c>
      <c r="H132" s="57">
        <v>0</v>
      </c>
      <c r="I132" s="57">
        <v>0</v>
      </c>
      <c r="J132" s="57">
        <v>0</v>
      </c>
      <c r="K132" s="57">
        <v>0</v>
      </c>
      <c r="L132" s="57">
        <v>0</v>
      </c>
      <c r="M132" s="57">
        <v>0</v>
      </c>
      <c r="N132" s="57">
        <v>0</v>
      </c>
      <c r="O132" s="58">
        <v>1637.09</v>
      </c>
      <c r="P132" s="58">
        <v>2711.58</v>
      </c>
      <c r="Q132" s="58">
        <v>1074.49</v>
      </c>
      <c r="R132" s="58">
        <v>11479.05</v>
      </c>
      <c r="S132" s="58">
        <v>39.625999999999998</v>
      </c>
      <c r="T132" s="58">
        <v>903.86</v>
      </c>
      <c r="U132" s="57">
        <v>0</v>
      </c>
    </row>
    <row r="133" spans="2:21" outlineLevel="1" x14ac:dyDescent="0.25">
      <c r="B133" s="56" t="s">
        <v>398</v>
      </c>
      <c r="C133" s="58">
        <v>1150.22</v>
      </c>
      <c r="D133" s="58">
        <v>1153.26</v>
      </c>
      <c r="E133" s="58">
        <v>1143.24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0</v>
      </c>
      <c r="L133" s="57">
        <v>0</v>
      </c>
      <c r="M133" s="57">
        <v>0</v>
      </c>
      <c r="N133" s="57">
        <v>0</v>
      </c>
      <c r="O133" s="58">
        <v>3446.72</v>
      </c>
      <c r="P133" s="57">
        <v>0</v>
      </c>
      <c r="Q133" s="58">
        <v>-3446.72</v>
      </c>
      <c r="R133" s="57">
        <v>0</v>
      </c>
      <c r="S133" s="57">
        <v>0</v>
      </c>
      <c r="T133" s="57">
        <v>0</v>
      </c>
      <c r="U133" s="57">
        <v>0</v>
      </c>
    </row>
    <row r="134" spans="2:21" x14ac:dyDescent="0.25">
      <c r="B134" s="53" t="s">
        <v>399</v>
      </c>
      <c r="C134" s="54">
        <v>1885.85</v>
      </c>
      <c r="D134" s="54">
        <v>1801.66</v>
      </c>
      <c r="E134" s="54">
        <v>1396.3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5">
        <v>0</v>
      </c>
      <c r="M134" s="55">
        <v>0</v>
      </c>
      <c r="N134" s="55">
        <v>0</v>
      </c>
      <c r="O134" s="54">
        <v>5083.8100000000004</v>
      </c>
      <c r="P134" s="54">
        <v>2711.58</v>
      </c>
      <c r="Q134" s="54">
        <v>-2372.23</v>
      </c>
      <c r="R134" s="54">
        <v>11479.05</v>
      </c>
      <c r="S134" s="54">
        <v>-87.485200000000006</v>
      </c>
      <c r="T134" s="54">
        <v>903.86</v>
      </c>
      <c r="U134" s="55">
        <v>0</v>
      </c>
    </row>
    <row r="135" spans="2:21" outlineLevel="1" x14ac:dyDescent="0.25">
      <c r="B135" s="56" t="s">
        <v>489</v>
      </c>
      <c r="C135" s="58">
        <v>888.32</v>
      </c>
      <c r="D135" s="58">
        <v>458.13</v>
      </c>
      <c r="E135" s="58">
        <v>2451.38</v>
      </c>
      <c r="F135" s="57">
        <v>0</v>
      </c>
      <c r="G135" s="57">
        <v>0</v>
      </c>
      <c r="H135" s="57">
        <v>0</v>
      </c>
      <c r="I135" s="57">
        <v>0</v>
      </c>
      <c r="J135" s="57">
        <v>0</v>
      </c>
      <c r="K135" s="57">
        <v>0</v>
      </c>
      <c r="L135" s="57">
        <v>0</v>
      </c>
      <c r="M135" s="57">
        <v>0</v>
      </c>
      <c r="N135" s="57">
        <v>0</v>
      </c>
      <c r="O135" s="58">
        <v>3797.83</v>
      </c>
      <c r="P135" s="58">
        <v>2358</v>
      </c>
      <c r="Q135" s="58">
        <v>-1439.83</v>
      </c>
      <c r="R135" s="58">
        <v>9782</v>
      </c>
      <c r="S135" s="58">
        <v>-61.061500000000002</v>
      </c>
      <c r="T135" s="58">
        <v>786</v>
      </c>
      <c r="U135" s="57">
        <v>0</v>
      </c>
    </row>
    <row r="136" spans="2:21" outlineLevel="1" x14ac:dyDescent="0.25">
      <c r="B136" s="56" t="s">
        <v>484</v>
      </c>
      <c r="C136" s="58">
        <v>1381.19</v>
      </c>
      <c r="D136" s="58">
        <v>1381.19</v>
      </c>
      <c r="E136" s="58">
        <v>-1788.2</v>
      </c>
      <c r="F136" s="57">
        <v>0</v>
      </c>
      <c r="G136" s="57">
        <v>0</v>
      </c>
      <c r="H136" s="57">
        <v>0</v>
      </c>
      <c r="I136" s="57">
        <v>0</v>
      </c>
      <c r="J136" s="57">
        <v>0</v>
      </c>
      <c r="K136" s="57">
        <v>0</v>
      </c>
      <c r="L136" s="57">
        <v>0</v>
      </c>
      <c r="M136" s="57">
        <v>0</v>
      </c>
      <c r="N136" s="57">
        <v>0</v>
      </c>
      <c r="O136" s="58">
        <v>974.18</v>
      </c>
      <c r="P136" s="57">
        <v>0</v>
      </c>
      <c r="Q136" s="58">
        <v>-974.18</v>
      </c>
      <c r="R136" s="57">
        <v>0</v>
      </c>
      <c r="S136" s="57">
        <v>0</v>
      </c>
      <c r="T136" s="57">
        <v>0</v>
      </c>
      <c r="U136" s="57">
        <v>0</v>
      </c>
    </row>
    <row r="137" spans="2:21" outlineLevel="1" x14ac:dyDescent="0.25">
      <c r="B137" s="56" t="s">
        <v>490</v>
      </c>
      <c r="C137" s="58">
        <v>1034.27</v>
      </c>
      <c r="D137" s="58">
        <v>1034.27</v>
      </c>
      <c r="E137" s="58">
        <v>1034.27</v>
      </c>
      <c r="F137" s="57">
        <v>0</v>
      </c>
      <c r="G137" s="57">
        <v>0</v>
      </c>
      <c r="H137" s="57">
        <v>0</v>
      </c>
      <c r="I137" s="57">
        <v>0</v>
      </c>
      <c r="J137" s="57">
        <v>0</v>
      </c>
      <c r="K137" s="57">
        <v>0</v>
      </c>
      <c r="L137" s="57">
        <v>0</v>
      </c>
      <c r="M137" s="57">
        <v>0</v>
      </c>
      <c r="N137" s="57">
        <v>0</v>
      </c>
      <c r="O137" s="58">
        <v>3102.81</v>
      </c>
      <c r="P137" s="57">
        <v>0</v>
      </c>
      <c r="Q137" s="58">
        <v>-3102.81</v>
      </c>
      <c r="R137" s="57">
        <v>0</v>
      </c>
      <c r="S137" s="57">
        <v>0</v>
      </c>
      <c r="T137" s="57">
        <v>0</v>
      </c>
      <c r="U137" s="57">
        <v>0</v>
      </c>
    </row>
    <row r="138" spans="2:21" outlineLevel="1" x14ac:dyDescent="0.25">
      <c r="B138" s="56" t="s">
        <v>491</v>
      </c>
      <c r="C138" s="58">
        <v>131.27000000000001</v>
      </c>
      <c r="D138" s="58">
        <v>26.76</v>
      </c>
      <c r="E138" s="57">
        <v>0</v>
      </c>
      <c r="F138" s="57">
        <v>0</v>
      </c>
      <c r="G138" s="57">
        <v>0</v>
      </c>
      <c r="H138" s="57">
        <v>0</v>
      </c>
      <c r="I138" s="57">
        <v>0</v>
      </c>
      <c r="J138" s="57">
        <v>0</v>
      </c>
      <c r="K138" s="57">
        <v>0</v>
      </c>
      <c r="L138" s="57">
        <v>0</v>
      </c>
      <c r="M138" s="57">
        <v>0</v>
      </c>
      <c r="N138" s="57">
        <v>0</v>
      </c>
      <c r="O138" s="58">
        <v>158.03</v>
      </c>
      <c r="P138" s="57">
        <v>0</v>
      </c>
      <c r="Q138" s="58">
        <v>-158.03</v>
      </c>
      <c r="R138" s="57">
        <v>0</v>
      </c>
      <c r="S138" s="57">
        <v>0</v>
      </c>
      <c r="T138" s="57">
        <v>0</v>
      </c>
      <c r="U138" s="57">
        <v>0</v>
      </c>
    </row>
    <row r="139" spans="2:21" outlineLevel="1" x14ac:dyDescent="0.25">
      <c r="B139" s="56" t="s">
        <v>492</v>
      </c>
      <c r="C139" s="58">
        <v>4426.62</v>
      </c>
      <c r="D139" s="58">
        <v>4426.62</v>
      </c>
      <c r="E139" s="58">
        <v>4426.6099999999997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7">
        <v>0</v>
      </c>
      <c r="M139" s="57">
        <v>0</v>
      </c>
      <c r="N139" s="57">
        <v>0</v>
      </c>
      <c r="O139" s="58">
        <v>13279.85</v>
      </c>
      <c r="P139" s="58">
        <v>13279.86</v>
      </c>
      <c r="Q139" s="58">
        <v>0.01</v>
      </c>
      <c r="R139" s="58">
        <v>53119.44</v>
      </c>
      <c r="S139" s="58">
        <v>1E-4</v>
      </c>
      <c r="T139" s="58">
        <v>4426.62</v>
      </c>
      <c r="U139" s="57">
        <v>0</v>
      </c>
    </row>
    <row r="140" spans="2:21" x14ac:dyDescent="0.25">
      <c r="B140" s="53" t="s">
        <v>560</v>
      </c>
      <c r="C140" s="54">
        <v>7861.67</v>
      </c>
      <c r="D140" s="54">
        <v>7326.97</v>
      </c>
      <c r="E140" s="54">
        <v>6124.06</v>
      </c>
      <c r="F140" s="55">
        <v>0</v>
      </c>
      <c r="G140" s="55">
        <v>0</v>
      </c>
      <c r="H140" s="55">
        <v>0</v>
      </c>
      <c r="I140" s="55">
        <v>0</v>
      </c>
      <c r="J140" s="55">
        <v>0</v>
      </c>
      <c r="K140" s="55">
        <v>0</v>
      </c>
      <c r="L140" s="55">
        <v>0</v>
      </c>
      <c r="M140" s="55">
        <v>0</v>
      </c>
      <c r="N140" s="55">
        <v>0</v>
      </c>
      <c r="O140" s="54">
        <v>21312.7</v>
      </c>
      <c r="P140" s="54">
        <v>15637.86</v>
      </c>
      <c r="Q140" s="54">
        <v>-5674.84</v>
      </c>
      <c r="R140" s="54">
        <v>62901.440000000002</v>
      </c>
      <c r="S140" s="54">
        <v>-36.289099999999998</v>
      </c>
      <c r="T140" s="54">
        <v>5212.62</v>
      </c>
      <c r="U140" s="55">
        <v>0</v>
      </c>
    </row>
    <row r="141" spans="2:21" x14ac:dyDescent="0.25">
      <c r="B141" s="53" t="s">
        <v>443</v>
      </c>
      <c r="C141" s="54">
        <v>55270.31</v>
      </c>
      <c r="D141" s="54">
        <v>55581.54</v>
      </c>
      <c r="E141" s="54">
        <v>60439.32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5">
        <v>0</v>
      </c>
      <c r="N141" s="55">
        <v>0</v>
      </c>
      <c r="O141" s="54">
        <v>171291.17</v>
      </c>
      <c r="P141" s="54">
        <v>120261.6</v>
      </c>
      <c r="Q141" s="54">
        <v>-51029.57</v>
      </c>
      <c r="R141" s="54">
        <v>413766.17</v>
      </c>
      <c r="S141" s="54">
        <v>-42.432099999999998</v>
      </c>
      <c r="T141" s="54">
        <v>51899.199999999997</v>
      </c>
      <c r="U141" s="55">
        <v>0</v>
      </c>
    </row>
    <row r="142" spans="2:21" outlineLevel="1" x14ac:dyDescent="0.25">
      <c r="B142" s="56" t="s">
        <v>485</v>
      </c>
      <c r="C142" s="58">
        <v>62.06</v>
      </c>
      <c r="D142" s="58">
        <v>435.08</v>
      </c>
      <c r="E142" s="58">
        <v>2136.31</v>
      </c>
      <c r="F142" s="57">
        <v>0</v>
      </c>
      <c r="G142" s="57">
        <v>0</v>
      </c>
      <c r="H142" s="57">
        <v>0</v>
      </c>
      <c r="I142" s="57">
        <v>0</v>
      </c>
      <c r="J142" s="57">
        <v>0</v>
      </c>
      <c r="K142" s="57">
        <v>0</v>
      </c>
      <c r="L142" s="57">
        <v>0</v>
      </c>
      <c r="M142" s="57">
        <v>0</v>
      </c>
      <c r="N142" s="57">
        <v>0</v>
      </c>
      <c r="O142" s="58">
        <v>2633.45</v>
      </c>
      <c r="P142" s="58">
        <v>2610</v>
      </c>
      <c r="Q142" s="58">
        <v>-23.45</v>
      </c>
      <c r="R142" s="58">
        <v>10440</v>
      </c>
      <c r="S142" s="58">
        <v>-0.89849999999999997</v>
      </c>
      <c r="T142" s="58">
        <v>870</v>
      </c>
      <c r="U142" s="57">
        <v>0</v>
      </c>
    </row>
    <row r="143" spans="2:21" outlineLevel="1" x14ac:dyDescent="0.25">
      <c r="B143" s="56" t="s">
        <v>488</v>
      </c>
      <c r="C143" s="57">
        <v>0</v>
      </c>
      <c r="D143" s="57">
        <v>0</v>
      </c>
      <c r="E143" s="58">
        <v>512.4</v>
      </c>
      <c r="F143" s="57">
        <v>0</v>
      </c>
      <c r="G143" s="57">
        <v>0</v>
      </c>
      <c r="H143" s="57">
        <v>0</v>
      </c>
      <c r="I143" s="57">
        <v>0</v>
      </c>
      <c r="J143" s="57">
        <v>0</v>
      </c>
      <c r="K143" s="57">
        <v>0</v>
      </c>
      <c r="L143" s="57">
        <v>0</v>
      </c>
      <c r="M143" s="57">
        <v>0</v>
      </c>
      <c r="N143" s="57">
        <v>0</v>
      </c>
      <c r="O143" s="58">
        <v>512.4</v>
      </c>
      <c r="P143" s="57">
        <v>0</v>
      </c>
      <c r="Q143" s="58">
        <v>-512.4</v>
      </c>
      <c r="R143" s="57">
        <v>0</v>
      </c>
      <c r="S143" s="57">
        <v>0</v>
      </c>
      <c r="T143" s="57">
        <v>0</v>
      </c>
      <c r="U143" s="57">
        <v>0</v>
      </c>
    </row>
    <row r="144" spans="2:21" x14ac:dyDescent="0.25">
      <c r="B144" s="53" t="s">
        <v>561</v>
      </c>
      <c r="C144" s="54">
        <v>62.06</v>
      </c>
      <c r="D144" s="54">
        <v>435.08</v>
      </c>
      <c r="E144" s="54">
        <v>2648.71</v>
      </c>
      <c r="F144" s="55">
        <v>0</v>
      </c>
      <c r="G144" s="55">
        <v>0</v>
      </c>
      <c r="H144" s="55">
        <v>0</v>
      </c>
      <c r="I144" s="55">
        <v>0</v>
      </c>
      <c r="J144" s="55">
        <v>0</v>
      </c>
      <c r="K144" s="55">
        <v>0</v>
      </c>
      <c r="L144" s="55">
        <v>0</v>
      </c>
      <c r="M144" s="55">
        <v>0</v>
      </c>
      <c r="N144" s="55">
        <v>0</v>
      </c>
      <c r="O144" s="54">
        <v>3145.85</v>
      </c>
      <c r="P144" s="54">
        <v>2610</v>
      </c>
      <c r="Q144" s="54">
        <v>-535.85</v>
      </c>
      <c r="R144" s="54">
        <v>10440</v>
      </c>
      <c r="S144" s="54">
        <v>-20.5307</v>
      </c>
      <c r="T144" s="54">
        <v>870</v>
      </c>
      <c r="U144" s="55">
        <v>0</v>
      </c>
    </row>
    <row r="145" spans="2:21" outlineLevel="1" x14ac:dyDescent="0.25">
      <c r="B145" s="56" t="s">
        <v>420</v>
      </c>
      <c r="C145" s="58">
        <v>78.040000000000006</v>
      </c>
      <c r="D145" s="58">
        <v>78.17</v>
      </c>
      <c r="E145" s="58">
        <v>76.03</v>
      </c>
      <c r="F145" s="57">
        <v>0</v>
      </c>
      <c r="G145" s="57">
        <v>0</v>
      </c>
      <c r="H145" s="57">
        <v>0</v>
      </c>
      <c r="I145" s="57">
        <v>0</v>
      </c>
      <c r="J145" s="57">
        <v>0</v>
      </c>
      <c r="K145" s="57">
        <v>0</v>
      </c>
      <c r="L145" s="57">
        <v>0</v>
      </c>
      <c r="M145" s="57">
        <v>0</v>
      </c>
      <c r="N145" s="57">
        <v>0</v>
      </c>
      <c r="O145" s="58">
        <v>232.24</v>
      </c>
      <c r="P145" s="58">
        <v>510</v>
      </c>
      <c r="Q145" s="58">
        <v>277.76</v>
      </c>
      <c r="R145" s="58">
        <v>2040</v>
      </c>
      <c r="S145" s="58">
        <v>54.462699999999998</v>
      </c>
      <c r="T145" s="58">
        <v>170</v>
      </c>
      <c r="U145" s="57">
        <v>0</v>
      </c>
    </row>
    <row r="146" spans="2:21" outlineLevel="1" x14ac:dyDescent="0.25">
      <c r="B146" s="56" t="s">
        <v>422</v>
      </c>
      <c r="C146" s="58">
        <v>31.47</v>
      </c>
      <c r="D146" s="58">
        <v>31.54</v>
      </c>
      <c r="E146" s="58">
        <v>30.78</v>
      </c>
      <c r="F146" s="57">
        <v>0</v>
      </c>
      <c r="G146" s="57">
        <v>0</v>
      </c>
      <c r="H146" s="57">
        <v>0</v>
      </c>
      <c r="I146" s="57">
        <v>0</v>
      </c>
      <c r="J146" s="57">
        <v>0</v>
      </c>
      <c r="K146" s="57">
        <v>0</v>
      </c>
      <c r="L146" s="57">
        <v>0</v>
      </c>
      <c r="M146" s="57">
        <v>0</v>
      </c>
      <c r="N146" s="57">
        <v>0</v>
      </c>
      <c r="O146" s="58">
        <v>93.79</v>
      </c>
      <c r="P146" s="57">
        <v>0</v>
      </c>
      <c r="Q146" s="58">
        <v>-93.79</v>
      </c>
      <c r="R146" s="57">
        <v>0</v>
      </c>
      <c r="S146" s="57">
        <v>0</v>
      </c>
      <c r="T146" s="57">
        <v>0</v>
      </c>
      <c r="U146" s="57">
        <v>0</v>
      </c>
    </row>
    <row r="147" spans="2:21" x14ac:dyDescent="0.25">
      <c r="B147" s="53" t="s">
        <v>562</v>
      </c>
      <c r="C147" s="54">
        <v>109.51</v>
      </c>
      <c r="D147" s="54">
        <v>109.71</v>
      </c>
      <c r="E147" s="54">
        <v>106.81</v>
      </c>
      <c r="F147" s="55">
        <v>0</v>
      </c>
      <c r="G147" s="55">
        <v>0</v>
      </c>
      <c r="H147" s="55">
        <v>0</v>
      </c>
      <c r="I147" s="55">
        <v>0</v>
      </c>
      <c r="J147" s="55">
        <v>0</v>
      </c>
      <c r="K147" s="55">
        <v>0</v>
      </c>
      <c r="L147" s="55">
        <v>0</v>
      </c>
      <c r="M147" s="55">
        <v>0</v>
      </c>
      <c r="N147" s="55">
        <v>0</v>
      </c>
      <c r="O147" s="54">
        <v>326.02999999999997</v>
      </c>
      <c r="P147" s="54">
        <v>510</v>
      </c>
      <c r="Q147" s="54">
        <v>183.97</v>
      </c>
      <c r="R147" s="54">
        <v>2040</v>
      </c>
      <c r="S147" s="54">
        <v>36.072499999999998</v>
      </c>
      <c r="T147" s="54">
        <v>170</v>
      </c>
      <c r="U147" s="55">
        <v>0</v>
      </c>
    </row>
    <row r="148" spans="2:21" outlineLevel="1" x14ac:dyDescent="0.25">
      <c r="B148" s="56" t="s">
        <v>563</v>
      </c>
      <c r="C148" s="58">
        <v>250.2</v>
      </c>
      <c r="D148" s="58">
        <v>392.85</v>
      </c>
      <c r="E148" s="58">
        <v>389.15</v>
      </c>
      <c r="F148" s="57">
        <v>0</v>
      </c>
      <c r="G148" s="57">
        <v>0</v>
      </c>
      <c r="H148" s="57">
        <v>0</v>
      </c>
      <c r="I148" s="57">
        <v>0</v>
      </c>
      <c r="J148" s="57">
        <v>0</v>
      </c>
      <c r="K148" s="57">
        <v>0</v>
      </c>
      <c r="L148" s="57">
        <v>0</v>
      </c>
      <c r="M148" s="57">
        <v>0</v>
      </c>
      <c r="N148" s="57">
        <v>0</v>
      </c>
      <c r="O148" s="58">
        <v>1032.2</v>
      </c>
      <c r="P148" s="58">
        <v>660</v>
      </c>
      <c r="Q148" s="58">
        <v>-372.2</v>
      </c>
      <c r="R148" s="58">
        <v>2640</v>
      </c>
      <c r="S148" s="58">
        <v>-56.393900000000002</v>
      </c>
      <c r="T148" s="58">
        <v>220</v>
      </c>
      <c r="U148" s="57">
        <v>0</v>
      </c>
    </row>
    <row r="149" spans="2:21" x14ac:dyDescent="0.25">
      <c r="B149" s="53" t="s">
        <v>564</v>
      </c>
      <c r="C149" s="54">
        <v>250.2</v>
      </c>
      <c r="D149" s="54">
        <v>392.85</v>
      </c>
      <c r="E149" s="54">
        <v>389.15</v>
      </c>
      <c r="F149" s="55">
        <v>0</v>
      </c>
      <c r="G149" s="55">
        <v>0</v>
      </c>
      <c r="H149" s="55">
        <v>0</v>
      </c>
      <c r="I149" s="55">
        <v>0</v>
      </c>
      <c r="J149" s="55">
        <v>0</v>
      </c>
      <c r="K149" s="55">
        <v>0</v>
      </c>
      <c r="L149" s="55">
        <v>0</v>
      </c>
      <c r="M149" s="55">
        <v>0</v>
      </c>
      <c r="N149" s="55">
        <v>0</v>
      </c>
      <c r="O149" s="54">
        <v>1032.2</v>
      </c>
      <c r="P149" s="54">
        <v>660</v>
      </c>
      <c r="Q149" s="54">
        <v>-372.2</v>
      </c>
      <c r="R149" s="54">
        <v>2640</v>
      </c>
      <c r="S149" s="54">
        <v>-56.393900000000002</v>
      </c>
      <c r="T149" s="54">
        <v>220</v>
      </c>
      <c r="U149" s="55">
        <v>0</v>
      </c>
    </row>
    <row r="150" spans="2:21" outlineLevel="1" x14ac:dyDescent="0.25">
      <c r="B150" s="56" t="s">
        <v>565</v>
      </c>
      <c r="C150" s="58">
        <v>8333.33</v>
      </c>
      <c r="D150" s="58">
        <v>8333.33</v>
      </c>
      <c r="E150" s="58">
        <v>8333.33</v>
      </c>
      <c r="F150" s="57">
        <v>0</v>
      </c>
      <c r="G150" s="57">
        <v>0</v>
      </c>
      <c r="H150" s="57">
        <v>0</v>
      </c>
      <c r="I150" s="57">
        <v>0</v>
      </c>
      <c r="J150" s="57">
        <v>0</v>
      </c>
      <c r="K150" s="57">
        <v>0</v>
      </c>
      <c r="L150" s="57">
        <v>0</v>
      </c>
      <c r="M150" s="57">
        <v>0</v>
      </c>
      <c r="N150" s="57">
        <v>0</v>
      </c>
      <c r="O150" s="58">
        <v>24999.99</v>
      </c>
      <c r="P150" s="57">
        <v>0</v>
      </c>
      <c r="Q150" s="58">
        <v>-24999.99</v>
      </c>
      <c r="R150" s="57">
        <v>0</v>
      </c>
      <c r="S150" s="57">
        <v>0</v>
      </c>
      <c r="T150" s="57">
        <v>0</v>
      </c>
      <c r="U150" s="57">
        <v>0</v>
      </c>
    </row>
    <row r="151" spans="2:21" outlineLevel="1" x14ac:dyDescent="0.25">
      <c r="B151" s="56" t="s">
        <v>517</v>
      </c>
      <c r="C151" s="58">
        <v>1847.44</v>
      </c>
      <c r="D151" s="57">
        <v>0</v>
      </c>
      <c r="E151" s="57">
        <v>0</v>
      </c>
      <c r="F151" s="57">
        <v>0</v>
      </c>
      <c r="G151" s="57">
        <v>0</v>
      </c>
      <c r="H151" s="57">
        <v>0</v>
      </c>
      <c r="I151" s="57">
        <v>0</v>
      </c>
      <c r="J151" s="57">
        <v>0</v>
      </c>
      <c r="K151" s="57">
        <v>0</v>
      </c>
      <c r="L151" s="57">
        <v>0</v>
      </c>
      <c r="M151" s="57">
        <v>0</v>
      </c>
      <c r="N151" s="57">
        <v>0</v>
      </c>
      <c r="O151" s="58">
        <v>1847.44</v>
      </c>
      <c r="P151" s="58">
        <v>51669.99</v>
      </c>
      <c r="Q151" s="58">
        <v>49822.55</v>
      </c>
      <c r="R151" s="58">
        <v>230139.96</v>
      </c>
      <c r="S151" s="58">
        <v>96.424499999999995</v>
      </c>
      <c r="T151" s="58">
        <v>17223.330000000002</v>
      </c>
      <c r="U151" s="57">
        <v>0</v>
      </c>
    </row>
    <row r="152" spans="2:21" outlineLevel="1" x14ac:dyDescent="0.25">
      <c r="B152" s="56" t="s">
        <v>525</v>
      </c>
      <c r="C152" s="58">
        <v>28.59</v>
      </c>
      <c r="D152" s="58">
        <v>44.23</v>
      </c>
      <c r="E152" s="57">
        <v>0</v>
      </c>
      <c r="F152" s="57">
        <v>0</v>
      </c>
      <c r="G152" s="57">
        <v>0</v>
      </c>
      <c r="H152" s="57">
        <v>0</v>
      </c>
      <c r="I152" s="57">
        <v>0</v>
      </c>
      <c r="J152" s="57">
        <v>0</v>
      </c>
      <c r="K152" s="57">
        <v>0</v>
      </c>
      <c r="L152" s="57">
        <v>0</v>
      </c>
      <c r="M152" s="57">
        <v>0</v>
      </c>
      <c r="N152" s="57">
        <v>0</v>
      </c>
      <c r="O152" s="58">
        <v>72.819999999999993</v>
      </c>
      <c r="P152" s="57">
        <v>0</v>
      </c>
      <c r="Q152" s="58">
        <v>-72.819999999999993</v>
      </c>
      <c r="R152" s="57">
        <v>0</v>
      </c>
      <c r="S152" s="57">
        <v>0</v>
      </c>
      <c r="T152" s="57">
        <v>0</v>
      </c>
      <c r="U152" s="57">
        <v>0</v>
      </c>
    </row>
    <row r="153" spans="2:21" outlineLevel="1" x14ac:dyDescent="0.25">
      <c r="B153" s="56" t="s">
        <v>612</v>
      </c>
      <c r="C153" s="57">
        <v>0</v>
      </c>
      <c r="D153" s="57">
        <v>0</v>
      </c>
      <c r="E153" s="58">
        <v>-579.6</v>
      </c>
      <c r="F153" s="57">
        <v>0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7">
        <v>0</v>
      </c>
      <c r="M153" s="57">
        <v>0</v>
      </c>
      <c r="N153" s="57">
        <v>0</v>
      </c>
      <c r="O153" s="58">
        <v>-579.6</v>
      </c>
      <c r="P153" s="57">
        <v>0</v>
      </c>
      <c r="Q153" s="58">
        <v>579.6</v>
      </c>
      <c r="R153" s="57">
        <v>0</v>
      </c>
      <c r="S153" s="57">
        <v>0</v>
      </c>
      <c r="T153" s="57">
        <v>0</v>
      </c>
      <c r="U153" s="57">
        <v>0</v>
      </c>
    </row>
    <row r="154" spans="2:21" outlineLevel="1" x14ac:dyDescent="0.25">
      <c r="B154" s="56" t="s">
        <v>526</v>
      </c>
      <c r="C154" s="58">
        <v>27611.99</v>
      </c>
      <c r="D154" s="58">
        <v>19903.759999999998</v>
      </c>
      <c r="E154" s="58">
        <v>36203.480000000003</v>
      </c>
      <c r="F154" s="57">
        <v>0</v>
      </c>
      <c r="G154" s="57">
        <v>0</v>
      </c>
      <c r="H154" s="57">
        <v>0</v>
      </c>
      <c r="I154" s="57">
        <v>0</v>
      </c>
      <c r="J154" s="57">
        <v>0</v>
      </c>
      <c r="K154" s="57">
        <v>0</v>
      </c>
      <c r="L154" s="57">
        <v>0</v>
      </c>
      <c r="M154" s="57">
        <v>0</v>
      </c>
      <c r="N154" s="57">
        <v>0</v>
      </c>
      <c r="O154" s="58">
        <v>83719.23</v>
      </c>
      <c r="P154" s="57">
        <v>0</v>
      </c>
      <c r="Q154" s="58">
        <v>-83719.23</v>
      </c>
      <c r="R154" s="57">
        <v>0</v>
      </c>
      <c r="S154" s="57">
        <v>0</v>
      </c>
      <c r="T154" s="57">
        <v>0</v>
      </c>
      <c r="U154" s="57">
        <v>0</v>
      </c>
    </row>
    <row r="155" spans="2:21" x14ac:dyDescent="0.25">
      <c r="B155" s="53" t="s">
        <v>566</v>
      </c>
      <c r="C155" s="54">
        <v>37821.35</v>
      </c>
      <c r="D155" s="54">
        <v>28281.32</v>
      </c>
      <c r="E155" s="54">
        <v>43957.21</v>
      </c>
      <c r="F155" s="55">
        <v>0</v>
      </c>
      <c r="G155" s="55">
        <v>0</v>
      </c>
      <c r="H155" s="55">
        <v>0</v>
      </c>
      <c r="I155" s="55">
        <v>0</v>
      </c>
      <c r="J155" s="55">
        <v>0</v>
      </c>
      <c r="K155" s="55">
        <v>0</v>
      </c>
      <c r="L155" s="55">
        <v>0</v>
      </c>
      <c r="M155" s="55">
        <v>0</v>
      </c>
      <c r="N155" s="55">
        <v>0</v>
      </c>
      <c r="O155" s="54">
        <v>110059.88</v>
      </c>
      <c r="P155" s="54">
        <v>51669.99</v>
      </c>
      <c r="Q155" s="54">
        <v>-58389.89</v>
      </c>
      <c r="R155" s="54">
        <v>230139.96</v>
      </c>
      <c r="S155" s="54">
        <v>-113.00539999999999</v>
      </c>
      <c r="T155" s="54">
        <v>17223.330000000002</v>
      </c>
      <c r="U155" s="55">
        <v>0</v>
      </c>
    </row>
    <row r="156" spans="2:21" outlineLevel="1" x14ac:dyDescent="0.25">
      <c r="B156" s="56" t="s">
        <v>494</v>
      </c>
      <c r="C156" s="58">
        <v>2982.61</v>
      </c>
      <c r="D156" s="58">
        <v>5665.22</v>
      </c>
      <c r="E156" s="58">
        <v>390.57</v>
      </c>
      <c r="F156" s="57">
        <v>0</v>
      </c>
      <c r="G156" s="57">
        <v>0</v>
      </c>
      <c r="H156" s="57">
        <v>0</v>
      </c>
      <c r="I156" s="57">
        <v>0</v>
      </c>
      <c r="J156" s="57">
        <v>0</v>
      </c>
      <c r="K156" s="57">
        <v>0</v>
      </c>
      <c r="L156" s="57">
        <v>0</v>
      </c>
      <c r="M156" s="57">
        <v>0</v>
      </c>
      <c r="N156" s="57">
        <v>0</v>
      </c>
      <c r="O156" s="58">
        <v>9038.4</v>
      </c>
      <c r="P156" s="58">
        <v>14400</v>
      </c>
      <c r="Q156" s="58">
        <v>5361.6</v>
      </c>
      <c r="R156" s="58">
        <v>57600</v>
      </c>
      <c r="S156" s="58">
        <v>37.2333</v>
      </c>
      <c r="T156" s="58">
        <v>4800</v>
      </c>
      <c r="U156" s="57">
        <v>0</v>
      </c>
    </row>
    <row r="157" spans="2:21" outlineLevel="1" x14ac:dyDescent="0.25">
      <c r="B157" s="56" t="s">
        <v>567</v>
      </c>
      <c r="C157" s="58">
        <v>2800</v>
      </c>
      <c r="D157" s="58">
        <v>2800</v>
      </c>
      <c r="E157" s="58">
        <v>2800</v>
      </c>
      <c r="F157" s="57">
        <v>0</v>
      </c>
      <c r="G157" s="57">
        <v>0</v>
      </c>
      <c r="H157" s="57">
        <v>0</v>
      </c>
      <c r="I157" s="57">
        <v>0</v>
      </c>
      <c r="J157" s="57">
        <v>0</v>
      </c>
      <c r="K157" s="57">
        <v>0</v>
      </c>
      <c r="L157" s="57">
        <v>0</v>
      </c>
      <c r="M157" s="57">
        <v>0</v>
      </c>
      <c r="N157" s="57">
        <v>0</v>
      </c>
      <c r="O157" s="58">
        <v>8400</v>
      </c>
      <c r="P157" s="57">
        <v>0</v>
      </c>
      <c r="Q157" s="58">
        <v>-8400</v>
      </c>
      <c r="R157" s="57">
        <v>0</v>
      </c>
      <c r="S157" s="57">
        <v>0</v>
      </c>
      <c r="T157" s="57">
        <v>0</v>
      </c>
      <c r="U157" s="57">
        <v>0</v>
      </c>
    </row>
    <row r="158" spans="2:21" outlineLevel="1" x14ac:dyDescent="0.25">
      <c r="B158" s="56" t="s">
        <v>412</v>
      </c>
      <c r="C158" s="58">
        <v>48.73</v>
      </c>
      <c r="D158" s="58">
        <v>811.21</v>
      </c>
      <c r="E158" s="58">
        <v>666.41</v>
      </c>
      <c r="F158" s="57">
        <v>0</v>
      </c>
      <c r="G158" s="57">
        <v>0</v>
      </c>
      <c r="H158" s="57">
        <v>0</v>
      </c>
      <c r="I158" s="57">
        <v>0</v>
      </c>
      <c r="J158" s="57">
        <v>0</v>
      </c>
      <c r="K158" s="57">
        <v>0</v>
      </c>
      <c r="L158" s="57">
        <v>0</v>
      </c>
      <c r="M158" s="57">
        <v>0</v>
      </c>
      <c r="N158" s="57">
        <v>0</v>
      </c>
      <c r="O158" s="58">
        <v>1526.35</v>
      </c>
      <c r="P158" s="57">
        <v>0</v>
      </c>
      <c r="Q158" s="58">
        <v>-1526.35</v>
      </c>
      <c r="R158" s="57">
        <v>0</v>
      </c>
      <c r="S158" s="57">
        <v>0</v>
      </c>
      <c r="T158" s="57">
        <v>0</v>
      </c>
      <c r="U158" s="57">
        <v>0</v>
      </c>
    </row>
    <row r="159" spans="2:21" outlineLevel="1" x14ac:dyDescent="0.25">
      <c r="B159" s="56" t="s">
        <v>607</v>
      </c>
      <c r="C159" s="57">
        <v>0</v>
      </c>
      <c r="D159" s="58">
        <v>14.9</v>
      </c>
      <c r="E159" s="57">
        <v>0</v>
      </c>
      <c r="F159" s="57">
        <v>0</v>
      </c>
      <c r="G159" s="57">
        <v>0</v>
      </c>
      <c r="H159" s="57">
        <v>0</v>
      </c>
      <c r="I159" s="57">
        <v>0</v>
      </c>
      <c r="J159" s="57">
        <v>0</v>
      </c>
      <c r="K159" s="57">
        <v>0</v>
      </c>
      <c r="L159" s="57">
        <v>0</v>
      </c>
      <c r="M159" s="57">
        <v>0</v>
      </c>
      <c r="N159" s="57">
        <v>0</v>
      </c>
      <c r="O159" s="58">
        <v>14.9</v>
      </c>
      <c r="P159" s="57">
        <v>0</v>
      </c>
      <c r="Q159" s="58">
        <v>-14.9</v>
      </c>
      <c r="R159" s="57">
        <v>0</v>
      </c>
      <c r="S159" s="57">
        <v>0</v>
      </c>
      <c r="T159" s="57">
        <v>0</v>
      </c>
      <c r="U159" s="57">
        <v>0</v>
      </c>
    </row>
    <row r="160" spans="2:21" x14ac:dyDescent="0.25">
      <c r="B160" s="53" t="s">
        <v>568</v>
      </c>
      <c r="C160" s="54">
        <v>5831.34</v>
      </c>
      <c r="D160" s="54">
        <v>9291.33</v>
      </c>
      <c r="E160" s="54">
        <v>3856.98</v>
      </c>
      <c r="F160" s="55">
        <v>0</v>
      </c>
      <c r="G160" s="55">
        <v>0</v>
      </c>
      <c r="H160" s="55">
        <v>0</v>
      </c>
      <c r="I160" s="55">
        <v>0</v>
      </c>
      <c r="J160" s="55">
        <v>0</v>
      </c>
      <c r="K160" s="55">
        <v>0</v>
      </c>
      <c r="L160" s="55">
        <v>0</v>
      </c>
      <c r="M160" s="55">
        <v>0</v>
      </c>
      <c r="N160" s="55">
        <v>0</v>
      </c>
      <c r="O160" s="54">
        <v>18979.650000000001</v>
      </c>
      <c r="P160" s="54">
        <v>14400</v>
      </c>
      <c r="Q160" s="54">
        <v>-4579.6499999999996</v>
      </c>
      <c r="R160" s="54">
        <v>57600</v>
      </c>
      <c r="S160" s="54">
        <v>-31.803100000000001</v>
      </c>
      <c r="T160" s="54">
        <v>4800</v>
      </c>
      <c r="U160" s="55">
        <v>0</v>
      </c>
    </row>
    <row r="161" spans="2:21" outlineLevel="1" x14ac:dyDescent="0.25">
      <c r="B161" s="56" t="s">
        <v>569</v>
      </c>
      <c r="C161" s="58">
        <v>28132.66</v>
      </c>
      <c r="D161" s="58">
        <v>27905.14</v>
      </c>
      <c r="E161" s="58">
        <v>27692.25</v>
      </c>
      <c r="F161" s="57">
        <v>0</v>
      </c>
      <c r="G161" s="57">
        <v>0</v>
      </c>
      <c r="H161" s="57">
        <v>0</v>
      </c>
      <c r="I161" s="57">
        <v>0</v>
      </c>
      <c r="J161" s="57">
        <v>0</v>
      </c>
      <c r="K161" s="57">
        <v>0</v>
      </c>
      <c r="L161" s="57">
        <v>0</v>
      </c>
      <c r="M161" s="57">
        <v>0</v>
      </c>
      <c r="N161" s="57">
        <v>0</v>
      </c>
      <c r="O161" s="58">
        <v>83730.05</v>
      </c>
      <c r="P161" s="58">
        <v>84336</v>
      </c>
      <c r="Q161" s="58">
        <v>605.95000000000005</v>
      </c>
      <c r="R161" s="58">
        <v>312144</v>
      </c>
      <c r="S161" s="58">
        <v>0.71850000000000003</v>
      </c>
      <c r="T161" s="58">
        <v>28112</v>
      </c>
      <c r="U161" s="57">
        <v>0</v>
      </c>
    </row>
    <row r="162" spans="2:21" x14ac:dyDescent="0.25">
      <c r="B162" s="53" t="s">
        <v>570</v>
      </c>
      <c r="C162" s="54">
        <v>28132.66</v>
      </c>
      <c r="D162" s="54">
        <v>27905.14</v>
      </c>
      <c r="E162" s="54">
        <v>27692.25</v>
      </c>
      <c r="F162" s="55">
        <v>0</v>
      </c>
      <c r="G162" s="55">
        <v>0</v>
      </c>
      <c r="H162" s="55">
        <v>0</v>
      </c>
      <c r="I162" s="55">
        <v>0</v>
      </c>
      <c r="J162" s="55">
        <v>0</v>
      </c>
      <c r="K162" s="55">
        <v>0</v>
      </c>
      <c r="L162" s="55">
        <v>0</v>
      </c>
      <c r="M162" s="55">
        <v>0</v>
      </c>
      <c r="N162" s="55">
        <v>0</v>
      </c>
      <c r="O162" s="54">
        <v>83730.05</v>
      </c>
      <c r="P162" s="54">
        <v>84336</v>
      </c>
      <c r="Q162" s="54">
        <v>605.95000000000005</v>
      </c>
      <c r="R162" s="54">
        <v>312144</v>
      </c>
      <c r="S162" s="54">
        <v>0.71850000000000003</v>
      </c>
      <c r="T162" s="54">
        <v>28112</v>
      </c>
      <c r="U162" s="55">
        <v>0</v>
      </c>
    </row>
    <row r="163" spans="2:21" outlineLevel="1" x14ac:dyDescent="0.25">
      <c r="B163" s="56" t="s">
        <v>571</v>
      </c>
      <c r="C163" s="57">
        <v>0</v>
      </c>
      <c r="D163" s="57">
        <v>0</v>
      </c>
      <c r="E163" s="57">
        <v>0</v>
      </c>
      <c r="F163" s="57">
        <v>0</v>
      </c>
      <c r="G163" s="57">
        <v>0</v>
      </c>
      <c r="H163" s="57">
        <v>0</v>
      </c>
      <c r="I163" s="57">
        <v>0</v>
      </c>
      <c r="J163" s="57">
        <v>0</v>
      </c>
      <c r="K163" s="57">
        <v>0</v>
      </c>
      <c r="L163" s="57">
        <v>0</v>
      </c>
      <c r="M163" s="57">
        <v>0</v>
      </c>
      <c r="N163" s="57">
        <v>0</v>
      </c>
      <c r="O163" s="57">
        <v>0</v>
      </c>
      <c r="P163" s="58">
        <v>150</v>
      </c>
      <c r="Q163" s="58">
        <v>150</v>
      </c>
      <c r="R163" s="58">
        <v>600</v>
      </c>
      <c r="S163" s="58">
        <v>100</v>
      </c>
      <c r="T163" s="58">
        <v>50</v>
      </c>
      <c r="U163" s="57">
        <v>0</v>
      </c>
    </row>
    <row r="164" spans="2:21" outlineLevel="1" x14ac:dyDescent="0.25">
      <c r="B164" s="56" t="s">
        <v>572</v>
      </c>
      <c r="C164" s="57">
        <v>0</v>
      </c>
      <c r="D164" s="57">
        <v>0</v>
      </c>
      <c r="E164" s="57">
        <v>0</v>
      </c>
      <c r="F164" s="57">
        <v>0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7">
        <v>0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57">
        <v>0</v>
      </c>
    </row>
    <row r="165" spans="2:21" outlineLevel="1" x14ac:dyDescent="0.25">
      <c r="B165" s="56" t="s">
        <v>573</v>
      </c>
      <c r="C165" s="58">
        <v>25.89</v>
      </c>
      <c r="D165" s="58">
        <v>1.89</v>
      </c>
      <c r="E165" s="57">
        <v>0</v>
      </c>
      <c r="F165" s="57">
        <v>0</v>
      </c>
      <c r="G165" s="57">
        <v>0</v>
      </c>
      <c r="H165" s="57">
        <v>0</v>
      </c>
      <c r="I165" s="57">
        <v>0</v>
      </c>
      <c r="J165" s="57">
        <v>0</v>
      </c>
      <c r="K165" s="57">
        <v>0</v>
      </c>
      <c r="L165" s="57">
        <v>0</v>
      </c>
      <c r="M165" s="57">
        <v>0</v>
      </c>
      <c r="N165" s="57">
        <v>0</v>
      </c>
      <c r="O165" s="58">
        <v>27.78</v>
      </c>
      <c r="P165" s="57">
        <v>0</v>
      </c>
      <c r="Q165" s="58">
        <v>-27.78</v>
      </c>
      <c r="R165" s="57">
        <v>0</v>
      </c>
      <c r="S165" s="57">
        <v>0</v>
      </c>
      <c r="T165" s="57">
        <v>0</v>
      </c>
      <c r="U165" s="57">
        <v>0</v>
      </c>
    </row>
    <row r="166" spans="2:21" x14ac:dyDescent="0.25">
      <c r="B166" s="53" t="s">
        <v>574</v>
      </c>
      <c r="C166" s="54">
        <v>25.89</v>
      </c>
      <c r="D166" s="54">
        <v>1.89</v>
      </c>
      <c r="E166" s="55">
        <v>0</v>
      </c>
      <c r="F166" s="55">
        <v>0</v>
      </c>
      <c r="G166" s="55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5">
        <v>0</v>
      </c>
      <c r="N166" s="55">
        <v>0</v>
      </c>
      <c r="O166" s="54">
        <v>27.78</v>
      </c>
      <c r="P166" s="54">
        <v>150</v>
      </c>
      <c r="Q166" s="54">
        <v>122.22</v>
      </c>
      <c r="R166" s="54">
        <v>600</v>
      </c>
      <c r="S166" s="54">
        <v>81.48</v>
      </c>
      <c r="T166" s="54">
        <v>50</v>
      </c>
      <c r="U166" s="55">
        <v>0</v>
      </c>
    </row>
    <row r="167" spans="2:21" outlineLevel="1" x14ac:dyDescent="0.25">
      <c r="B167" s="56" t="s">
        <v>506</v>
      </c>
      <c r="C167" s="57">
        <v>0</v>
      </c>
      <c r="D167" s="58">
        <v>546.41999999999996</v>
      </c>
      <c r="E167" s="57">
        <v>0</v>
      </c>
      <c r="F167" s="57">
        <v>0</v>
      </c>
      <c r="G167" s="57">
        <v>0</v>
      </c>
      <c r="H167" s="57">
        <v>0</v>
      </c>
      <c r="I167" s="57">
        <v>0</v>
      </c>
      <c r="J167" s="57">
        <v>0</v>
      </c>
      <c r="K167" s="57">
        <v>0</v>
      </c>
      <c r="L167" s="57">
        <v>0</v>
      </c>
      <c r="M167" s="57">
        <v>0</v>
      </c>
      <c r="N167" s="57">
        <v>0</v>
      </c>
      <c r="O167" s="58">
        <v>546.41999999999996</v>
      </c>
      <c r="P167" s="58">
        <v>180</v>
      </c>
      <c r="Q167" s="58">
        <v>-366.42</v>
      </c>
      <c r="R167" s="58">
        <v>720</v>
      </c>
      <c r="S167" s="58">
        <v>-203.5667</v>
      </c>
      <c r="T167" s="58">
        <v>60</v>
      </c>
      <c r="U167" s="57">
        <v>0</v>
      </c>
    </row>
    <row r="168" spans="2:21" x14ac:dyDescent="0.25">
      <c r="B168" s="53" t="s">
        <v>575</v>
      </c>
      <c r="C168" s="55">
        <v>0</v>
      </c>
      <c r="D168" s="54">
        <v>546.41999999999996</v>
      </c>
      <c r="E168" s="55">
        <v>0</v>
      </c>
      <c r="F168" s="55">
        <v>0</v>
      </c>
      <c r="G168" s="55">
        <v>0</v>
      </c>
      <c r="H168" s="55">
        <v>0</v>
      </c>
      <c r="I168" s="55">
        <v>0</v>
      </c>
      <c r="J168" s="55">
        <v>0</v>
      </c>
      <c r="K168" s="55">
        <v>0</v>
      </c>
      <c r="L168" s="55">
        <v>0</v>
      </c>
      <c r="M168" s="55">
        <v>0</v>
      </c>
      <c r="N168" s="55">
        <v>0</v>
      </c>
      <c r="O168" s="54">
        <v>546.41999999999996</v>
      </c>
      <c r="P168" s="54">
        <v>180</v>
      </c>
      <c r="Q168" s="54">
        <v>-366.42</v>
      </c>
      <c r="R168" s="54">
        <v>720</v>
      </c>
      <c r="S168" s="54">
        <v>-203.5667</v>
      </c>
      <c r="T168" s="54">
        <v>60</v>
      </c>
      <c r="U168" s="55">
        <v>0</v>
      </c>
    </row>
    <row r="169" spans="2:21" outlineLevel="1" x14ac:dyDescent="0.25">
      <c r="B169" s="56" t="s">
        <v>576</v>
      </c>
      <c r="C169" s="58">
        <v>2900</v>
      </c>
      <c r="D169" s="57">
        <v>0</v>
      </c>
      <c r="E169" s="57">
        <v>0</v>
      </c>
      <c r="F169" s="57">
        <v>0</v>
      </c>
      <c r="G169" s="57">
        <v>0</v>
      </c>
      <c r="H169" s="57">
        <v>0</v>
      </c>
      <c r="I169" s="57">
        <v>0</v>
      </c>
      <c r="J169" s="57">
        <v>0</v>
      </c>
      <c r="K169" s="57">
        <v>0</v>
      </c>
      <c r="L169" s="57">
        <v>0</v>
      </c>
      <c r="M169" s="57">
        <v>0</v>
      </c>
      <c r="N169" s="57">
        <v>0</v>
      </c>
      <c r="O169" s="58">
        <v>2900</v>
      </c>
      <c r="P169" s="58">
        <v>5010</v>
      </c>
      <c r="Q169" s="58">
        <v>2110</v>
      </c>
      <c r="R169" s="58">
        <v>20040</v>
      </c>
      <c r="S169" s="58">
        <v>42.1158</v>
      </c>
      <c r="T169" s="58">
        <v>1670</v>
      </c>
      <c r="U169" s="57">
        <v>0</v>
      </c>
    </row>
    <row r="170" spans="2:21" outlineLevel="1" x14ac:dyDescent="0.25">
      <c r="B170" s="56" t="s">
        <v>577</v>
      </c>
      <c r="C170" s="58">
        <v>296.91000000000003</v>
      </c>
      <c r="D170" s="58">
        <v>5898.06</v>
      </c>
      <c r="E170" s="58">
        <v>600</v>
      </c>
      <c r="F170" s="57">
        <v>0</v>
      </c>
      <c r="G170" s="57">
        <v>0</v>
      </c>
      <c r="H170" s="57">
        <v>0</v>
      </c>
      <c r="I170" s="57">
        <v>0</v>
      </c>
      <c r="J170" s="57">
        <v>0</v>
      </c>
      <c r="K170" s="57">
        <v>0</v>
      </c>
      <c r="L170" s="57">
        <v>0</v>
      </c>
      <c r="M170" s="57">
        <v>0</v>
      </c>
      <c r="N170" s="57">
        <v>0</v>
      </c>
      <c r="O170" s="58">
        <v>6794.97</v>
      </c>
      <c r="P170" s="57">
        <v>0</v>
      </c>
      <c r="Q170" s="58">
        <v>-6794.97</v>
      </c>
      <c r="R170" s="57">
        <v>0</v>
      </c>
      <c r="S170" s="57">
        <v>0</v>
      </c>
      <c r="T170" s="57">
        <v>0</v>
      </c>
      <c r="U170" s="57">
        <v>0</v>
      </c>
    </row>
    <row r="171" spans="2:21" x14ac:dyDescent="0.25">
      <c r="B171" s="53" t="s">
        <v>578</v>
      </c>
      <c r="C171" s="54">
        <v>3196.91</v>
      </c>
      <c r="D171" s="54">
        <v>5898.06</v>
      </c>
      <c r="E171" s="54">
        <v>600</v>
      </c>
      <c r="F171" s="55">
        <v>0</v>
      </c>
      <c r="G171" s="55">
        <v>0</v>
      </c>
      <c r="H171" s="55">
        <v>0</v>
      </c>
      <c r="I171" s="55">
        <v>0</v>
      </c>
      <c r="J171" s="55">
        <v>0</v>
      </c>
      <c r="K171" s="55">
        <v>0</v>
      </c>
      <c r="L171" s="55">
        <v>0</v>
      </c>
      <c r="M171" s="55">
        <v>0</v>
      </c>
      <c r="N171" s="55">
        <v>0</v>
      </c>
      <c r="O171" s="54">
        <v>9694.9699999999993</v>
      </c>
      <c r="P171" s="54">
        <v>5010</v>
      </c>
      <c r="Q171" s="54">
        <v>-4684.97</v>
      </c>
      <c r="R171" s="54">
        <v>20040</v>
      </c>
      <c r="S171" s="54">
        <v>-93.5124</v>
      </c>
      <c r="T171" s="54">
        <v>1670</v>
      </c>
      <c r="U171" s="55">
        <v>0</v>
      </c>
    </row>
    <row r="172" spans="2:21" outlineLevel="1" x14ac:dyDescent="0.25">
      <c r="B172" s="56" t="s">
        <v>514</v>
      </c>
      <c r="C172" s="57">
        <v>0</v>
      </c>
      <c r="D172" s="57">
        <v>0</v>
      </c>
      <c r="E172" s="57">
        <v>0</v>
      </c>
      <c r="F172" s="57">
        <v>0</v>
      </c>
      <c r="G172" s="57">
        <v>0</v>
      </c>
      <c r="H172" s="57">
        <v>0</v>
      </c>
      <c r="I172" s="57">
        <v>0</v>
      </c>
      <c r="J172" s="57">
        <v>0</v>
      </c>
      <c r="K172" s="57">
        <v>0</v>
      </c>
      <c r="L172" s="57">
        <v>0</v>
      </c>
      <c r="M172" s="57">
        <v>0</v>
      </c>
      <c r="N172" s="57">
        <v>0</v>
      </c>
      <c r="O172" s="57">
        <v>0</v>
      </c>
      <c r="P172" s="58">
        <v>31572.03</v>
      </c>
      <c r="Q172" s="58">
        <v>31572.03</v>
      </c>
      <c r="R172" s="58">
        <v>60747.89</v>
      </c>
      <c r="S172" s="58">
        <v>100</v>
      </c>
      <c r="T172" s="58">
        <v>22336.01</v>
      </c>
      <c r="U172" s="57">
        <v>0</v>
      </c>
    </row>
    <row r="173" spans="2:21" outlineLevel="1" x14ac:dyDescent="0.25">
      <c r="B173" s="56" t="s">
        <v>421</v>
      </c>
      <c r="C173" s="58">
        <v>307.49</v>
      </c>
      <c r="D173" s="58">
        <v>307.81</v>
      </c>
      <c r="E173" s="58">
        <v>2116.1</v>
      </c>
      <c r="F173" s="57">
        <v>0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7">
        <v>0</v>
      </c>
      <c r="M173" s="57">
        <v>0</v>
      </c>
      <c r="N173" s="57">
        <v>0</v>
      </c>
      <c r="O173" s="58">
        <v>2731.4</v>
      </c>
      <c r="P173" s="57">
        <v>0</v>
      </c>
      <c r="Q173" s="58">
        <v>-2731.4</v>
      </c>
      <c r="R173" s="57">
        <v>0</v>
      </c>
      <c r="S173" s="57">
        <v>0</v>
      </c>
      <c r="T173" s="57">
        <v>0</v>
      </c>
      <c r="U173" s="57">
        <v>0</v>
      </c>
    </row>
    <row r="174" spans="2:21" outlineLevel="1" x14ac:dyDescent="0.25">
      <c r="B174" s="56" t="s">
        <v>515</v>
      </c>
      <c r="C174" s="58">
        <v>2765.1</v>
      </c>
      <c r="D174" s="58">
        <v>1952.32</v>
      </c>
      <c r="E174" s="58">
        <v>2073.4499999999998</v>
      </c>
      <c r="F174" s="57">
        <v>0</v>
      </c>
      <c r="G174" s="57">
        <v>0</v>
      </c>
      <c r="H174" s="57">
        <v>0</v>
      </c>
      <c r="I174" s="57">
        <v>0</v>
      </c>
      <c r="J174" s="57">
        <v>0</v>
      </c>
      <c r="K174" s="57">
        <v>0</v>
      </c>
      <c r="L174" s="57">
        <v>0</v>
      </c>
      <c r="M174" s="57">
        <v>0</v>
      </c>
      <c r="N174" s="57">
        <v>0</v>
      </c>
      <c r="O174" s="58">
        <v>6790.87</v>
      </c>
      <c r="P174" s="57">
        <v>0</v>
      </c>
      <c r="Q174" s="58">
        <v>-6790.87</v>
      </c>
      <c r="R174" s="57">
        <v>0</v>
      </c>
      <c r="S174" s="57">
        <v>0</v>
      </c>
      <c r="T174" s="57">
        <v>0</v>
      </c>
      <c r="U174" s="57">
        <v>0</v>
      </c>
    </row>
    <row r="175" spans="2:21" outlineLevel="1" x14ac:dyDescent="0.25">
      <c r="B175" s="56" t="s">
        <v>516</v>
      </c>
      <c r="C175" s="58">
        <v>458.76</v>
      </c>
      <c r="D175" s="58">
        <v>307.89999999999998</v>
      </c>
      <c r="E175" s="58">
        <v>180</v>
      </c>
      <c r="F175" s="57">
        <v>0</v>
      </c>
      <c r="G175" s="57">
        <v>0</v>
      </c>
      <c r="H175" s="57">
        <v>0</v>
      </c>
      <c r="I175" s="57">
        <v>0</v>
      </c>
      <c r="J175" s="57">
        <v>0</v>
      </c>
      <c r="K175" s="57">
        <v>0</v>
      </c>
      <c r="L175" s="57">
        <v>0</v>
      </c>
      <c r="M175" s="57">
        <v>0</v>
      </c>
      <c r="N175" s="57">
        <v>0</v>
      </c>
      <c r="O175" s="58">
        <v>946.66</v>
      </c>
      <c r="P175" s="57">
        <v>0</v>
      </c>
      <c r="Q175" s="58">
        <v>-946.66</v>
      </c>
      <c r="R175" s="57">
        <v>0</v>
      </c>
      <c r="S175" s="57">
        <v>0</v>
      </c>
      <c r="T175" s="57">
        <v>0</v>
      </c>
      <c r="U175" s="57">
        <v>0</v>
      </c>
    </row>
    <row r="176" spans="2:21" x14ac:dyDescent="0.25">
      <c r="B176" s="53" t="s">
        <v>579</v>
      </c>
      <c r="C176" s="54">
        <v>3531.35</v>
      </c>
      <c r="D176" s="54">
        <v>2568.0300000000002</v>
      </c>
      <c r="E176" s="54">
        <v>4369.55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5">
        <v>0</v>
      </c>
      <c r="N176" s="55">
        <v>0</v>
      </c>
      <c r="O176" s="54">
        <v>10468.93</v>
      </c>
      <c r="P176" s="54">
        <v>31572.03</v>
      </c>
      <c r="Q176" s="54">
        <v>21103.1</v>
      </c>
      <c r="R176" s="54">
        <v>60747.89</v>
      </c>
      <c r="S176" s="54">
        <v>66.841099999999997</v>
      </c>
      <c r="T176" s="54">
        <v>22336.01</v>
      </c>
      <c r="U176" s="55">
        <v>0</v>
      </c>
    </row>
    <row r="177" spans="2:21" outlineLevel="1" x14ac:dyDescent="0.25">
      <c r="B177" s="56" t="s">
        <v>439</v>
      </c>
      <c r="C177" s="58">
        <v>115.61</v>
      </c>
      <c r="D177" s="58">
        <v>398.98</v>
      </c>
      <c r="E177" s="58">
        <v>262.66000000000003</v>
      </c>
      <c r="F177" s="57">
        <v>0</v>
      </c>
      <c r="G177" s="57">
        <v>0</v>
      </c>
      <c r="H177" s="57">
        <v>0</v>
      </c>
      <c r="I177" s="57">
        <v>0</v>
      </c>
      <c r="J177" s="57">
        <v>0</v>
      </c>
      <c r="K177" s="57">
        <v>0</v>
      </c>
      <c r="L177" s="57">
        <v>0</v>
      </c>
      <c r="M177" s="57">
        <v>0</v>
      </c>
      <c r="N177" s="57">
        <v>0</v>
      </c>
      <c r="O177" s="58">
        <v>777.25</v>
      </c>
      <c r="P177" s="58">
        <v>360</v>
      </c>
      <c r="Q177" s="58">
        <v>-417.25</v>
      </c>
      <c r="R177" s="58">
        <v>1440</v>
      </c>
      <c r="S177" s="58">
        <v>-115.9028</v>
      </c>
      <c r="T177" s="58">
        <v>120</v>
      </c>
      <c r="U177" s="57">
        <v>0</v>
      </c>
    </row>
    <row r="178" spans="2:21" x14ac:dyDescent="0.25">
      <c r="B178" s="53" t="s">
        <v>580</v>
      </c>
      <c r="C178" s="54">
        <v>115.61</v>
      </c>
      <c r="D178" s="54">
        <v>398.98</v>
      </c>
      <c r="E178" s="54">
        <v>262.66000000000003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5">
        <v>0</v>
      </c>
      <c r="M178" s="55">
        <v>0</v>
      </c>
      <c r="N178" s="55">
        <v>0</v>
      </c>
      <c r="O178" s="54">
        <v>777.25</v>
      </c>
      <c r="P178" s="54">
        <v>360</v>
      </c>
      <c r="Q178" s="54">
        <v>-417.25</v>
      </c>
      <c r="R178" s="54">
        <v>1440</v>
      </c>
      <c r="S178" s="54">
        <v>-115.9028</v>
      </c>
      <c r="T178" s="54">
        <v>120</v>
      </c>
      <c r="U178" s="55">
        <v>0</v>
      </c>
    </row>
    <row r="179" spans="2:21" outlineLevel="1" x14ac:dyDescent="0.25">
      <c r="B179" s="56" t="s">
        <v>581</v>
      </c>
      <c r="C179" s="57">
        <v>0</v>
      </c>
      <c r="D179" s="58">
        <v>3559.29</v>
      </c>
      <c r="E179" s="58">
        <v>362.58</v>
      </c>
      <c r="F179" s="57">
        <v>0</v>
      </c>
      <c r="G179" s="57">
        <v>0</v>
      </c>
      <c r="H179" s="57">
        <v>0</v>
      </c>
      <c r="I179" s="57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0</v>
      </c>
      <c r="O179" s="58">
        <v>3921.87</v>
      </c>
      <c r="P179" s="58">
        <v>3510</v>
      </c>
      <c r="Q179" s="58">
        <v>-411.87</v>
      </c>
      <c r="R179" s="58">
        <v>14040</v>
      </c>
      <c r="S179" s="58">
        <v>-11.7342</v>
      </c>
      <c r="T179" s="58">
        <v>1170</v>
      </c>
      <c r="U179" s="57">
        <v>0</v>
      </c>
    </row>
    <row r="180" spans="2:21" outlineLevel="1" x14ac:dyDescent="0.25">
      <c r="B180" s="56" t="s">
        <v>582</v>
      </c>
      <c r="C180" s="58">
        <v>1063.3599999999999</v>
      </c>
      <c r="D180" s="58">
        <v>1063.3599999999999</v>
      </c>
      <c r="E180" s="58">
        <v>1063.3599999999999</v>
      </c>
      <c r="F180" s="57">
        <v>0</v>
      </c>
      <c r="G180" s="57">
        <v>0</v>
      </c>
      <c r="H180" s="57">
        <v>0</v>
      </c>
      <c r="I180" s="57">
        <v>0</v>
      </c>
      <c r="J180" s="57">
        <v>0</v>
      </c>
      <c r="K180" s="57">
        <v>0</v>
      </c>
      <c r="L180" s="57">
        <v>0</v>
      </c>
      <c r="M180" s="57">
        <v>0</v>
      </c>
      <c r="N180" s="57">
        <v>0</v>
      </c>
      <c r="O180" s="58">
        <v>3190.08</v>
      </c>
      <c r="P180" s="57">
        <v>0</v>
      </c>
      <c r="Q180" s="58">
        <v>-3190.08</v>
      </c>
      <c r="R180" s="57">
        <v>0</v>
      </c>
      <c r="S180" s="57">
        <v>0</v>
      </c>
      <c r="T180" s="57">
        <v>0</v>
      </c>
      <c r="U180" s="57">
        <v>0</v>
      </c>
    </row>
    <row r="181" spans="2:21" x14ac:dyDescent="0.25">
      <c r="B181" s="53" t="s">
        <v>583</v>
      </c>
      <c r="C181" s="54">
        <v>1063.3599999999999</v>
      </c>
      <c r="D181" s="54">
        <v>4622.6499999999996</v>
      </c>
      <c r="E181" s="54">
        <v>1425.94</v>
      </c>
      <c r="F181" s="55">
        <v>0</v>
      </c>
      <c r="G181" s="55">
        <v>0</v>
      </c>
      <c r="H181" s="55">
        <v>0</v>
      </c>
      <c r="I181" s="55">
        <v>0</v>
      </c>
      <c r="J181" s="55">
        <v>0</v>
      </c>
      <c r="K181" s="55">
        <v>0</v>
      </c>
      <c r="L181" s="55">
        <v>0</v>
      </c>
      <c r="M181" s="55">
        <v>0</v>
      </c>
      <c r="N181" s="55">
        <v>0</v>
      </c>
      <c r="O181" s="54">
        <v>7111.95</v>
      </c>
      <c r="P181" s="54">
        <v>3510</v>
      </c>
      <c r="Q181" s="54">
        <v>-3601.95</v>
      </c>
      <c r="R181" s="54">
        <v>14040</v>
      </c>
      <c r="S181" s="54">
        <v>-102.61969999999999</v>
      </c>
      <c r="T181" s="54">
        <v>1170</v>
      </c>
      <c r="U181" s="55">
        <v>0</v>
      </c>
    </row>
    <row r="182" spans="2:21" outlineLevel="1" x14ac:dyDescent="0.25">
      <c r="B182" s="56" t="s">
        <v>584</v>
      </c>
      <c r="C182" s="57">
        <v>0</v>
      </c>
      <c r="D182" s="57">
        <v>0</v>
      </c>
      <c r="E182" s="57">
        <v>0</v>
      </c>
      <c r="F182" s="57">
        <v>0</v>
      </c>
      <c r="G182" s="57">
        <v>0</v>
      </c>
      <c r="H182" s="57">
        <v>0</v>
      </c>
      <c r="I182" s="57">
        <v>0</v>
      </c>
      <c r="J182" s="57">
        <v>0</v>
      </c>
      <c r="K182" s="57">
        <v>0</v>
      </c>
      <c r="L182" s="57">
        <v>0</v>
      </c>
      <c r="M182" s="57">
        <v>0</v>
      </c>
      <c r="N182" s="57">
        <v>0</v>
      </c>
      <c r="O182" s="57">
        <v>0</v>
      </c>
      <c r="P182" s="58">
        <v>1229.58</v>
      </c>
      <c r="Q182" s="58">
        <v>1229.58</v>
      </c>
      <c r="R182" s="58">
        <v>4918.32</v>
      </c>
      <c r="S182" s="58">
        <v>100</v>
      </c>
      <c r="T182" s="58">
        <v>409.86</v>
      </c>
      <c r="U182" s="57">
        <v>0</v>
      </c>
    </row>
    <row r="183" spans="2:21" outlineLevel="1" x14ac:dyDescent="0.25">
      <c r="B183" s="56" t="s">
        <v>585</v>
      </c>
      <c r="C183" s="58">
        <v>30.56</v>
      </c>
      <c r="D183" s="58">
        <v>30.56</v>
      </c>
      <c r="E183" s="58">
        <v>30.56</v>
      </c>
      <c r="F183" s="57">
        <v>0</v>
      </c>
      <c r="G183" s="57">
        <v>0</v>
      </c>
      <c r="H183" s="57">
        <v>0</v>
      </c>
      <c r="I183" s="57">
        <v>0</v>
      </c>
      <c r="J183" s="57">
        <v>0</v>
      </c>
      <c r="K183" s="57">
        <v>0</v>
      </c>
      <c r="L183" s="57">
        <v>0</v>
      </c>
      <c r="M183" s="57">
        <v>0</v>
      </c>
      <c r="N183" s="57">
        <v>0</v>
      </c>
      <c r="O183" s="58">
        <v>91.68</v>
      </c>
      <c r="P183" s="57">
        <v>0</v>
      </c>
      <c r="Q183" s="58">
        <v>-91.68</v>
      </c>
      <c r="R183" s="57">
        <v>0</v>
      </c>
      <c r="S183" s="57">
        <v>0</v>
      </c>
      <c r="T183" s="57">
        <v>0</v>
      </c>
      <c r="U183" s="57">
        <v>0</v>
      </c>
    </row>
    <row r="184" spans="2:21" outlineLevel="1" x14ac:dyDescent="0.25">
      <c r="B184" s="56" t="s">
        <v>510</v>
      </c>
      <c r="C184" s="58">
        <v>350.41</v>
      </c>
      <c r="D184" s="58">
        <v>350.43</v>
      </c>
      <c r="E184" s="58">
        <v>350.41</v>
      </c>
      <c r="F184" s="57">
        <v>0</v>
      </c>
      <c r="G184" s="57">
        <v>0</v>
      </c>
      <c r="H184" s="57">
        <v>0</v>
      </c>
      <c r="I184" s="57">
        <v>0</v>
      </c>
      <c r="J184" s="57">
        <v>0</v>
      </c>
      <c r="K184" s="57">
        <v>0</v>
      </c>
      <c r="L184" s="57">
        <v>0</v>
      </c>
      <c r="M184" s="57">
        <v>0</v>
      </c>
      <c r="N184" s="57">
        <v>0</v>
      </c>
      <c r="O184" s="58">
        <v>1051.25</v>
      </c>
      <c r="P184" s="57">
        <v>0</v>
      </c>
      <c r="Q184" s="58">
        <v>-1051.25</v>
      </c>
      <c r="R184" s="57">
        <v>0</v>
      </c>
      <c r="S184" s="57">
        <v>0</v>
      </c>
      <c r="T184" s="57">
        <v>0</v>
      </c>
      <c r="U184" s="57">
        <v>0</v>
      </c>
    </row>
    <row r="185" spans="2:21" outlineLevel="1" x14ac:dyDescent="0.25">
      <c r="B185" s="56" t="s">
        <v>512</v>
      </c>
      <c r="C185" s="58">
        <v>53.93</v>
      </c>
      <c r="D185" s="58">
        <v>53.93</v>
      </c>
      <c r="E185" s="58">
        <v>53.92</v>
      </c>
      <c r="F185" s="57">
        <v>0</v>
      </c>
      <c r="G185" s="57">
        <v>0</v>
      </c>
      <c r="H185" s="57">
        <v>0</v>
      </c>
      <c r="I185" s="57">
        <v>0</v>
      </c>
      <c r="J185" s="57">
        <v>0</v>
      </c>
      <c r="K185" s="57">
        <v>0</v>
      </c>
      <c r="L185" s="57">
        <v>0</v>
      </c>
      <c r="M185" s="57">
        <v>0</v>
      </c>
      <c r="N185" s="57">
        <v>0</v>
      </c>
      <c r="O185" s="58">
        <v>161.78</v>
      </c>
      <c r="P185" s="57">
        <v>0</v>
      </c>
      <c r="Q185" s="58">
        <v>-161.78</v>
      </c>
      <c r="R185" s="57">
        <v>0</v>
      </c>
      <c r="S185" s="57">
        <v>0</v>
      </c>
      <c r="T185" s="57">
        <v>0</v>
      </c>
      <c r="U185" s="57">
        <v>0</v>
      </c>
    </row>
    <row r="186" spans="2:21" outlineLevel="1" x14ac:dyDescent="0.25">
      <c r="B186" s="56" t="s">
        <v>513</v>
      </c>
      <c r="C186" s="58">
        <v>7.17</v>
      </c>
      <c r="D186" s="58">
        <v>7.16</v>
      </c>
      <c r="E186" s="58">
        <v>7.17</v>
      </c>
      <c r="F186" s="57">
        <v>0</v>
      </c>
      <c r="G186" s="57">
        <v>0</v>
      </c>
      <c r="H186" s="57">
        <v>0</v>
      </c>
      <c r="I186" s="57">
        <v>0</v>
      </c>
      <c r="J186" s="57">
        <v>0</v>
      </c>
      <c r="K186" s="57">
        <v>0</v>
      </c>
      <c r="L186" s="57">
        <v>0</v>
      </c>
      <c r="M186" s="57">
        <v>0</v>
      </c>
      <c r="N186" s="57">
        <v>0</v>
      </c>
      <c r="O186" s="58">
        <v>21.5</v>
      </c>
      <c r="P186" s="57">
        <v>0</v>
      </c>
      <c r="Q186" s="58">
        <v>-21.5</v>
      </c>
      <c r="R186" s="57">
        <v>0</v>
      </c>
      <c r="S186" s="57">
        <v>0</v>
      </c>
      <c r="T186" s="57">
        <v>0</v>
      </c>
      <c r="U186" s="57">
        <v>0</v>
      </c>
    </row>
    <row r="187" spans="2:21" x14ac:dyDescent="0.25">
      <c r="B187" s="53" t="s">
        <v>586</v>
      </c>
      <c r="C187" s="54">
        <v>442.07</v>
      </c>
      <c r="D187" s="54">
        <v>442.08</v>
      </c>
      <c r="E187" s="54">
        <v>442.06</v>
      </c>
      <c r="F187" s="55">
        <v>0</v>
      </c>
      <c r="G187" s="55">
        <v>0</v>
      </c>
      <c r="H187" s="55">
        <v>0</v>
      </c>
      <c r="I187" s="55">
        <v>0</v>
      </c>
      <c r="J187" s="55">
        <v>0</v>
      </c>
      <c r="K187" s="55">
        <v>0</v>
      </c>
      <c r="L187" s="55">
        <v>0</v>
      </c>
      <c r="M187" s="55">
        <v>0</v>
      </c>
      <c r="N187" s="55">
        <v>0</v>
      </c>
      <c r="O187" s="54">
        <v>1326.21</v>
      </c>
      <c r="P187" s="54">
        <v>1229.58</v>
      </c>
      <c r="Q187" s="54">
        <v>-96.63</v>
      </c>
      <c r="R187" s="54">
        <v>4918.32</v>
      </c>
      <c r="S187" s="54">
        <v>-7.8587999999999996</v>
      </c>
      <c r="T187" s="54">
        <v>409.86</v>
      </c>
      <c r="U187" s="55">
        <v>0</v>
      </c>
    </row>
    <row r="188" spans="2:21" x14ac:dyDescent="0.25">
      <c r="B188" s="53" t="s">
        <v>444</v>
      </c>
      <c r="C188" s="54">
        <v>-25312</v>
      </c>
      <c r="D188" s="54">
        <v>-25312</v>
      </c>
      <c r="E188" s="54">
        <v>-25312</v>
      </c>
      <c r="F188" s="55">
        <v>0</v>
      </c>
      <c r="G188" s="55">
        <v>0</v>
      </c>
      <c r="H188" s="55">
        <v>0</v>
      </c>
      <c r="I188" s="55">
        <v>0</v>
      </c>
      <c r="J188" s="55">
        <v>0</v>
      </c>
      <c r="K188" s="55">
        <v>0</v>
      </c>
      <c r="L188" s="55">
        <v>0</v>
      </c>
      <c r="M188" s="55">
        <v>0</v>
      </c>
      <c r="N188" s="55">
        <v>0</v>
      </c>
      <c r="O188" s="54">
        <v>-75936</v>
      </c>
      <c r="P188" s="54">
        <v>-75936</v>
      </c>
      <c r="Q188" s="55">
        <v>0</v>
      </c>
      <c r="R188" s="54">
        <v>-303744</v>
      </c>
      <c r="S188" s="55">
        <v>0</v>
      </c>
      <c r="T188" s="54">
        <v>-25312</v>
      </c>
      <c r="U188" s="55">
        <v>0</v>
      </c>
    </row>
    <row r="189" spans="2:21" x14ac:dyDescent="0.25">
      <c r="B189" s="56" t="s">
        <v>587</v>
      </c>
      <c r="C189" s="58">
        <v>-25312</v>
      </c>
      <c r="D189" s="58">
        <v>-25312</v>
      </c>
      <c r="E189" s="58">
        <v>-25312</v>
      </c>
      <c r="F189" s="57">
        <v>0</v>
      </c>
      <c r="G189" s="57">
        <v>0</v>
      </c>
      <c r="H189" s="57">
        <v>0</v>
      </c>
      <c r="I189" s="57">
        <v>0</v>
      </c>
      <c r="J189" s="57">
        <v>0</v>
      </c>
      <c r="K189" s="57">
        <v>0</v>
      </c>
      <c r="L189" s="57">
        <v>0</v>
      </c>
      <c r="M189" s="57">
        <v>0</v>
      </c>
      <c r="N189" s="57">
        <v>0</v>
      </c>
      <c r="O189" s="58">
        <v>-75936</v>
      </c>
      <c r="P189" s="58">
        <v>-75936</v>
      </c>
      <c r="Q189" s="57">
        <v>0</v>
      </c>
      <c r="R189" s="58">
        <v>-303744</v>
      </c>
      <c r="S189" s="57">
        <v>0</v>
      </c>
      <c r="T189" s="58">
        <v>-25312</v>
      </c>
      <c r="U189" s="57">
        <v>0</v>
      </c>
    </row>
    <row r="190" spans="2:21" x14ac:dyDescent="0.25">
      <c r="B190" s="53" t="s">
        <v>445</v>
      </c>
      <c r="C190" s="54">
        <v>-407438.25</v>
      </c>
      <c r="D190" s="54">
        <v>-360543.78</v>
      </c>
      <c r="E190" s="54">
        <v>-1169776.0900000001</v>
      </c>
      <c r="F190" s="55">
        <v>0</v>
      </c>
      <c r="G190" s="55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5">
        <v>0</v>
      </c>
      <c r="N190" s="55">
        <v>0</v>
      </c>
      <c r="O190" s="54">
        <v>-1937758.12</v>
      </c>
      <c r="P190" s="54">
        <v>-1403154.75</v>
      </c>
      <c r="Q190" s="54">
        <v>534603.37</v>
      </c>
      <c r="R190" s="54">
        <v>-4937713.8499999996</v>
      </c>
      <c r="S190" s="54">
        <v>-38.100099999999998</v>
      </c>
      <c r="T190" s="54">
        <v>-515181.21</v>
      </c>
      <c r="U190" s="55">
        <v>0</v>
      </c>
    </row>
    <row r="191" spans="2:21" x14ac:dyDescent="0.25">
      <c r="B191" s="53" t="s">
        <v>452</v>
      </c>
      <c r="C191" s="54">
        <v>22390.03</v>
      </c>
      <c r="D191" s="54">
        <v>-26879.22</v>
      </c>
      <c r="E191" s="54">
        <v>3281.47</v>
      </c>
      <c r="F191" s="55">
        <v>0</v>
      </c>
      <c r="G191" s="55">
        <v>0</v>
      </c>
      <c r="H191" s="55">
        <v>0</v>
      </c>
      <c r="I191" s="55">
        <v>0</v>
      </c>
      <c r="J191" s="55">
        <v>0</v>
      </c>
      <c r="K191" s="55">
        <v>0</v>
      </c>
      <c r="L191" s="55">
        <v>0</v>
      </c>
      <c r="M191" s="55">
        <v>0</v>
      </c>
      <c r="N191" s="55">
        <v>0</v>
      </c>
      <c r="O191" s="54">
        <v>-1207.72</v>
      </c>
      <c r="P191" s="54">
        <v>1823.57</v>
      </c>
      <c r="Q191" s="54">
        <v>3031.29</v>
      </c>
      <c r="R191" s="54">
        <v>104287.1</v>
      </c>
      <c r="S191" s="54">
        <v>166.22829999999999</v>
      </c>
      <c r="T191" s="54">
        <v>1024.42</v>
      </c>
      <c r="U191" s="55">
        <v>0</v>
      </c>
    </row>
    <row r="192" spans="2:21" outlineLevel="1" x14ac:dyDescent="0.25">
      <c r="B192" s="56" t="s">
        <v>588</v>
      </c>
      <c r="C192" s="58">
        <v>-2150.23</v>
      </c>
      <c r="D192" s="58">
        <v>-10447.41</v>
      </c>
      <c r="E192" s="57">
        <v>0</v>
      </c>
      <c r="F192" s="57">
        <v>0</v>
      </c>
      <c r="G192" s="57">
        <v>0</v>
      </c>
      <c r="H192" s="57">
        <v>0</v>
      </c>
      <c r="I192" s="57">
        <v>0</v>
      </c>
      <c r="J192" s="57">
        <v>0</v>
      </c>
      <c r="K192" s="57">
        <v>0</v>
      </c>
      <c r="L192" s="57">
        <v>0</v>
      </c>
      <c r="M192" s="57">
        <v>0</v>
      </c>
      <c r="N192" s="57">
        <v>0</v>
      </c>
      <c r="O192" s="58">
        <v>-12597.64</v>
      </c>
      <c r="P192" s="57">
        <v>0</v>
      </c>
      <c r="Q192" s="58">
        <v>12597.64</v>
      </c>
      <c r="R192" s="57">
        <v>0</v>
      </c>
      <c r="S192" s="57">
        <v>0</v>
      </c>
      <c r="T192" s="57">
        <v>0</v>
      </c>
      <c r="U192" s="57">
        <v>0</v>
      </c>
    </row>
    <row r="193" spans="2:21" outlineLevel="1" x14ac:dyDescent="0.25">
      <c r="B193" s="56" t="s">
        <v>589</v>
      </c>
      <c r="C193" s="58">
        <v>-13340.67</v>
      </c>
      <c r="D193" s="58">
        <v>-13879.39</v>
      </c>
      <c r="E193" s="58">
        <v>-17151.87</v>
      </c>
      <c r="F193" s="57">
        <v>0</v>
      </c>
      <c r="G193" s="57">
        <v>0</v>
      </c>
      <c r="H193" s="57">
        <v>0</v>
      </c>
      <c r="I193" s="57">
        <v>0</v>
      </c>
      <c r="J193" s="57">
        <v>0</v>
      </c>
      <c r="K193" s="57">
        <v>0</v>
      </c>
      <c r="L193" s="57">
        <v>0</v>
      </c>
      <c r="M193" s="57">
        <v>0</v>
      </c>
      <c r="N193" s="57">
        <v>0</v>
      </c>
      <c r="O193" s="58">
        <v>-44371.93</v>
      </c>
      <c r="P193" s="58">
        <v>-55795.38</v>
      </c>
      <c r="Q193" s="58">
        <v>-11423.45</v>
      </c>
      <c r="R193" s="58">
        <v>-168732.24</v>
      </c>
      <c r="S193" s="58">
        <v>20.473800000000001</v>
      </c>
      <c r="T193" s="58">
        <v>-18598.46</v>
      </c>
      <c r="U193" s="57">
        <v>0</v>
      </c>
    </row>
    <row r="194" spans="2:21" x14ac:dyDescent="0.25">
      <c r="B194" s="53" t="s">
        <v>590</v>
      </c>
      <c r="C194" s="54">
        <v>-15490.9</v>
      </c>
      <c r="D194" s="54">
        <v>-24326.799999999999</v>
      </c>
      <c r="E194" s="54">
        <v>-17151.87</v>
      </c>
      <c r="F194" s="55">
        <v>0</v>
      </c>
      <c r="G194" s="55">
        <v>0</v>
      </c>
      <c r="H194" s="55">
        <v>0</v>
      </c>
      <c r="I194" s="55">
        <v>0</v>
      </c>
      <c r="J194" s="55">
        <v>0</v>
      </c>
      <c r="K194" s="55">
        <v>0</v>
      </c>
      <c r="L194" s="55">
        <v>0</v>
      </c>
      <c r="M194" s="55">
        <v>0</v>
      </c>
      <c r="N194" s="55">
        <v>0</v>
      </c>
      <c r="O194" s="54">
        <v>-56969.57</v>
      </c>
      <c r="P194" s="54">
        <v>-55795.38</v>
      </c>
      <c r="Q194" s="54">
        <v>1174.19</v>
      </c>
      <c r="R194" s="54">
        <v>-168732.24</v>
      </c>
      <c r="S194" s="54">
        <v>-2.1044999999999998</v>
      </c>
      <c r="T194" s="54">
        <v>-18598.46</v>
      </c>
      <c r="U194" s="55">
        <v>0</v>
      </c>
    </row>
    <row r="195" spans="2:21" outlineLevel="1" x14ac:dyDescent="0.25">
      <c r="B195" s="56" t="s">
        <v>591</v>
      </c>
      <c r="C195" s="58">
        <v>789.17</v>
      </c>
      <c r="D195" s="58">
        <v>689.15</v>
      </c>
      <c r="E195" s="58">
        <v>839.21</v>
      </c>
      <c r="F195" s="57">
        <v>0</v>
      </c>
      <c r="G195" s="57">
        <v>0</v>
      </c>
      <c r="H195" s="57">
        <v>0</v>
      </c>
      <c r="I195" s="57">
        <v>0</v>
      </c>
      <c r="J195" s="57">
        <v>0</v>
      </c>
      <c r="K195" s="57">
        <v>0</v>
      </c>
      <c r="L195" s="57">
        <v>0</v>
      </c>
      <c r="M195" s="57">
        <v>0</v>
      </c>
      <c r="N195" s="57">
        <v>0</v>
      </c>
      <c r="O195" s="58">
        <v>2317.5300000000002</v>
      </c>
      <c r="P195" s="57">
        <v>0</v>
      </c>
      <c r="Q195" s="58">
        <v>-2317.5300000000002</v>
      </c>
      <c r="R195" s="57">
        <v>0</v>
      </c>
      <c r="S195" s="57">
        <v>0</v>
      </c>
      <c r="T195" s="57">
        <v>0</v>
      </c>
      <c r="U195" s="57">
        <v>0</v>
      </c>
    </row>
    <row r="196" spans="2:21" outlineLevel="1" x14ac:dyDescent="0.25">
      <c r="B196" s="56" t="s">
        <v>453</v>
      </c>
      <c r="C196" s="57">
        <v>0</v>
      </c>
      <c r="D196" s="57">
        <v>0</v>
      </c>
      <c r="E196" s="57">
        <v>0</v>
      </c>
      <c r="F196" s="57">
        <v>0</v>
      </c>
      <c r="G196" s="57">
        <v>0</v>
      </c>
      <c r="H196" s="57">
        <v>0</v>
      </c>
      <c r="I196" s="57">
        <v>0</v>
      </c>
      <c r="J196" s="57">
        <v>0</v>
      </c>
      <c r="K196" s="57">
        <v>0</v>
      </c>
      <c r="L196" s="57">
        <v>0</v>
      </c>
      <c r="M196" s="57">
        <v>0</v>
      </c>
      <c r="N196" s="57">
        <v>0</v>
      </c>
      <c r="O196" s="57">
        <v>0</v>
      </c>
      <c r="P196" s="58">
        <v>61818.95</v>
      </c>
      <c r="Q196" s="58">
        <v>61818.95</v>
      </c>
      <c r="R196" s="58">
        <v>211953.14</v>
      </c>
      <c r="S196" s="58">
        <v>100</v>
      </c>
      <c r="T196" s="58">
        <v>21022.880000000001</v>
      </c>
      <c r="U196" s="57">
        <v>0</v>
      </c>
    </row>
    <row r="197" spans="2:21" outlineLevel="1" x14ac:dyDescent="0.25">
      <c r="B197" s="56" t="s">
        <v>454</v>
      </c>
      <c r="C197" s="58">
        <v>16937.080000000002</v>
      </c>
      <c r="D197" s="58">
        <v>15298.01</v>
      </c>
      <c r="E197" s="58">
        <v>16566.18</v>
      </c>
      <c r="F197" s="57">
        <v>0</v>
      </c>
      <c r="G197" s="57">
        <v>0</v>
      </c>
      <c r="H197" s="57">
        <v>0</v>
      </c>
      <c r="I197" s="57">
        <v>0</v>
      </c>
      <c r="J197" s="57">
        <v>0</v>
      </c>
      <c r="K197" s="57">
        <v>0</v>
      </c>
      <c r="L197" s="57">
        <v>0</v>
      </c>
      <c r="M197" s="57">
        <v>0</v>
      </c>
      <c r="N197" s="57">
        <v>0</v>
      </c>
      <c r="O197" s="58">
        <v>48801.27</v>
      </c>
      <c r="P197" s="57">
        <v>0</v>
      </c>
      <c r="Q197" s="58">
        <v>-48801.27</v>
      </c>
      <c r="R197" s="57">
        <v>0</v>
      </c>
      <c r="S197" s="57">
        <v>0</v>
      </c>
      <c r="T197" s="57">
        <v>0</v>
      </c>
      <c r="U197" s="57">
        <v>0</v>
      </c>
    </row>
    <row r="198" spans="2:21" outlineLevel="1" x14ac:dyDescent="0.25">
      <c r="B198" s="56" t="s">
        <v>592</v>
      </c>
      <c r="C198" s="58">
        <v>154.74</v>
      </c>
      <c r="D198" s="58">
        <v>218.53</v>
      </c>
      <c r="E198" s="58">
        <v>311.48</v>
      </c>
      <c r="F198" s="57">
        <v>0</v>
      </c>
      <c r="G198" s="57">
        <v>0</v>
      </c>
      <c r="H198" s="57">
        <v>0</v>
      </c>
      <c r="I198" s="57">
        <v>0</v>
      </c>
      <c r="J198" s="57">
        <v>0</v>
      </c>
      <c r="K198" s="57">
        <v>0</v>
      </c>
      <c r="L198" s="57">
        <v>0</v>
      </c>
      <c r="M198" s="57">
        <v>0</v>
      </c>
      <c r="N198" s="57">
        <v>0</v>
      </c>
      <c r="O198" s="58">
        <v>684.75</v>
      </c>
      <c r="P198" s="57">
        <v>0</v>
      </c>
      <c r="Q198" s="58">
        <v>-684.75</v>
      </c>
      <c r="R198" s="57">
        <v>0</v>
      </c>
      <c r="S198" s="57">
        <v>0</v>
      </c>
      <c r="T198" s="57">
        <v>0</v>
      </c>
      <c r="U198" s="57">
        <v>0</v>
      </c>
    </row>
    <row r="199" spans="2:21" x14ac:dyDescent="0.25">
      <c r="B199" s="53" t="s">
        <v>455</v>
      </c>
      <c r="C199" s="54">
        <v>17880.990000000002</v>
      </c>
      <c r="D199" s="54">
        <v>16205.69</v>
      </c>
      <c r="E199" s="54">
        <v>17716.87</v>
      </c>
      <c r="F199" s="55">
        <v>0</v>
      </c>
      <c r="G199" s="55">
        <v>0</v>
      </c>
      <c r="H199" s="55">
        <v>0</v>
      </c>
      <c r="I199" s="55">
        <v>0</v>
      </c>
      <c r="J199" s="55">
        <v>0</v>
      </c>
      <c r="K199" s="55">
        <v>0</v>
      </c>
      <c r="L199" s="55">
        <v>0</v>
      </c>
      <c r="M199" s="55">
        <v>0</v>
      </c>
      <c r="N199" s="55">
        <v>0</v>
      </c>
      <c r="O199" s="54">
        <v>51803.55</v>
      </c>
      <c r="P199" s="54">
        <v>61818.95</v>
      </c>
      <c r="Q199" s="54">
        <v>10015.4</v>
      </c>
      <c r="R199" s="54">
        <v>211953.14</v>
      </c>
      <c r="S199" s="54">
        <v>16.2012</v>
      </c>
      <c r="T199" s="54">
        <v>21022.880000000001</v>
      </c>
      <c r="U199" s="55">
        <v>0</v>
      </c>
    </row>
    <row r="200" spans="2:21" outlineLevel="1" x14ac:dyDescent="0.25">
      <c r="B200" s="56" t="s">
        <v>593</v>
      </c>
      <c r="C200" s="58">
        <v>1.2</v>
      </c>
      <c r="D200" s="58">
        <v>0.6</v>
      </c>
      <c r="E200" s="58">
        <v>0.3</v>
      </c>
      <c r="F200" s="57">
        <v>0</v>
      </c>
      <c r="G200" s="57">
        <v>0</v>
      </c>
      <c r="H200" s="57">
        <v>0</v>
      </c>
      <c r="I200" s="57">
        <v>0</v>
      </c>
      <c r="J200" s="57">
        <v>0</v>
      </c>
      <c r="K200" s="57">
        <v>0</v>
      </c>
      <c r="L200" s="57">
        <v>0</v>
      </c>
      <c r="M200" s="57">
        <v>0</v>
      </c>
      <c r="N200" s="57">
        <v>0</v>
      </c>
      <c r="O200" s="58">
        <v>2.1</v>
      </c>
      <c r="P200" s="57">
        <v>0</v>
      </c>
      <c r="Q200" s="58">
        <v>-2.1</v>
      </c>
      <c r="R200" s="57">
        <v>0</v>
      </c>
      <c r="S200" s="57">
        <v>0</v>
      </c>
      <c r="T200" s="57">
        <v>0</v>
      </c>
      <c r="U200" s="57">
        <v>0</v>
      </c>
    </row>
    <row r="201" spans="2:21" outlineLevel="1" x14ac:dyDescent="0.25">
      <c r="B201" s="56" t="s">
        <v>594</v>
      </c>
      <c r="C201" s="58">
        <v>0.23</v>
      </c>
      <c r="D201" s="58">
        <v>1.18</v>
      </c>
      <c r="E201" s="58">
        <v>0.85</v>
      </c>
      <c r="F201" s="57">
        <v>0</v>
      </c>
      <c r="G201" s="57">
        <v>0</v>
      </c>
      <c r="H201" s="57">
        <v>0</v>
      </c>
      <c r="I201" s="57">
        <v>0</v>
      </c>
      <c r="J201" s="57">
        <v>0</v>
      </c>
      <c r="K201" s="57">
        <v>0</v>
      </c>
      <c r="L201" s="57">
        <v>0</v>
      </c>
      <c r="M201" s="57">
        <v>0</v>
      </c>
      <c r="N201" s="57">
        <v>0</v>
      </c>
      <c r="O201" s="58">
        <v>2.2599999999999998</v>
      </c>
      <c r="P201" s="57">
        <v>0</v>
      </c>
      <c r="Q201" s="58">
        <v>-2.2599999999999998</v>
      </c>
      <c r="R201" s="57">
        <v>0</v>
      </c>
      <c r="S201" s="57">
        <v>0</v>
      </c>
      <c r="T201" s="57">
        <v>0</v>
      </c>
      <c r="U201" s="57">
        <v>0</v>
      </c>
    </row>
    <row r="202" spans="2:21" outlineLevel="1" x14ac:dyDescent="0.25">
      <c r="B202" s="56" t="s">
        <v>608</v>
      </c>
      <c r="C202" s="57">
        <v>0</v>
      </c>
      <c r="D202" s="58">
        <v>3675</v>
      </c>
      <c r="E202" s="58">
        <v>1988.46</v>
      </c>
      <c r="F202" s="57">
        <v>0</v>
      </c>
      <c r="G202" s="57">
        <v>0</v>
      </c>
      <c r="H202" s="57">
        <v>0</v>
      </c>
      <c r="I202" s="57">
        <v>0</v>
      </c>
      <c r="J202" s="57">
        <v>0</v>
      </c>
      <c r="K202" s="57">
        <v>0</v>
      </c>
      <c r="L202" s="57">
        <v>0</v>
      </c>
      <c r="M202" s="57">
        <v>0</v>
      </c>
      <c r="N202" s="57">
        <v>0</v>
      </c>
      <c r="O202" s="58">
        <v>5663.46</v>
      </c>
      <c r="P202" s="57">
        <v>0</v>
      </c>
      <c r="Q202" s="58">
        <v>-5663.46</v>
      </c>
      <c r="R202" s="57">
        <v>0</v>
      </c>
      <c r="S202" s="57">
        <v>0</v>
      </c>
      <c r="T202" s="57">
        <v>0</v>
      </c>
      <c r="U202" s="57">
        <v>0</v>
      </c>
    </row>
    <row r="203" spans="2:21" outlineLevel="1" x14ac:dyDescent="0.25">
      <c r="B203" s="56" t="s">
        <v>595</v>
      </c>
      <c r="C203" s="57">
        <v>0</v>
      </c>
      <c r="D203" s="57">
        <v>0</v>
      </c>
      <c r="E203" s="57">
        <v>0</v>
      </c>
      <c r="F203" s="57">
        <v>0</v>
      </c>
      <c r="G203" s="57">
        <v>0</v>
      </c>
      <c r="H203" s="57">
        <v>0</v>
      </c>
      <c r="I203" s="57">
        <v>0</v>
      </c>
      <c r="J203" s="57">
        <v>0</v>
      </c>
      <c r="K203" s="57">
        <v>0</v>
      </c>
      <c r="L203" s="57">
        <v>0</v>
      </c>
      <c r="M203" s="57">
        <v>0</v>
      </c>
      <c r="N203" s="57">
        <v>0</v>
      </c>
      <c r="O203" s="57">
        <v>0</v>
      </c>
      <c r="P203" s="58">
        <v>1800</v>
      </c>
      <c r="Q203" s="58">
        <v>1800</v>
      </c>
      <c r="R203" s="58">
        <v>85066.2</v>
      </c>
      <c r="S203" s="58">
        <v>100</v>
      </c>
      <c r="T203" s="58">
        <v>600</v>
      </c>
      <c r="U203" s="57">
        <v>0</v>
      </c>
    </row>
    <row r="204" spans="2:21" outlineLevel="1" x14ac:dyDescent="0.25">
      <c r="B204" s="56" t="s">
        <v>596</v>
      </c>
      <c r="C204" s="58">
        <v>-0.36</v>
      </c>
      <c r="D204" s="58">
        <v>-0.1</v>
      </c>
      <c r="E204" s="58">
        <v>-0.32</v>
      </c>
      <c r="F204" s="57">
        <v>0</v>
      </c>
      <c r="G204" s="57">
        <v>0</v>
      </c>
      <c r="H204" s="57">
        <v>0</v>
      </c>
      <c r="I204" s="57">
        <v>0</v>
      </c>
      <c r="J204" s="57">
        <v>0</v>
      </c>
      <c r="K204" s="57">
        <v>0</v>
      </c>
      <c r="L204" s="57">
        <v>0</v>
      </c>
      <c r="M204" s="57">
        <v>0</v>
      </c>
      <c r="N204" s="57">
        <v>0</v>
      </c>
      <c r="O204" s="58">
        <v>-0.78</v>
      </c>
      <c r="P204" s="57">
        <v>0</v>
      </c>
      <c r="Q204" s="58">
        <v>0.78</v>
      </c>
      <c r="R204" s="57">
        <v>0</v>
      </c>
      <c r="S204" s="57">
        <v>0</v>
      </c>
      <c r="T204" s="57">
        <v>0</v>
      </c>
      <c r="U204" s="57">
        <v>0</v>
      </c>
    </row>
    <row r="205" spans="2:21" outlineLevel="1" x14ac:dyDescent="0.25">
      <c r="B205" s="56" t="s">
        <v>613</v>
      </c>
      <c r="C205" s="57">
        <v>0</v>
      </c>
      <c r="D205" s="57">
        <v>0</v>
      </c>
      <c r="E205" s="58">
        <v>-1.85</v>
      </c>
      <c r="F205" s="57">
        <v>0</v>
      </c>
      <c r="G205" s="57">
        <v>0</v>
      </c>
      <c r="H205" s="57">
        <v>0</v>
      </c>
      <c r="I205" s="57">
        <v>0</v>
      </c>
      <c r="J205" s="57">
        <v>0</v>
      </c>
      <c r="K205" s="57">
        <v>0</v>
      </c>
      <c r="L205" s="57">
        <v>0</v>
      </c>
      <c r="M205" s="57">
        <v>0</v>
      </c>
      <c r="N205" s="57">
        <v>0</v>
      </c>
      <c r="O205" s="58">
        <v>-1.85</v>
      </c>
      <c r="P205" s="57">
        <v>0</v>
      </c>
      <c r="Q205" s="58">
        <v>1.85</v>
      </c>
      <c r="R205" s="57">
        <v>0</v>
      </c>
      <c r="S205" s="57">
        <v>0</v>
      </c>
      <c r="T205" s="57">
        <v>0</v>
      </c>
      <c r="U205" s="57">
        <v>0</v>
      </c>
    </row>
    <row r="206" spans="2:21" x14ac:dyDescent="0.25">
      <c r="B206" s="53" t="s">
        <v>520</v>
      </c>
      <c r="C206" s="54">
        <v>1.07</v>
      </c>
      <c r="D206" s="54">
        <v>3676.68</v>
      </c>
      <c r="E206" s="54">
        <v>1987.44</v>
      </c>
      <c r="F206" s="55">
        <v>0</v>
      </c>
      <c r="G206" s="55">
        <v>0</v>
      </c>
      <c r="H206" s="55">
        <v>0</v>
      </c>
      <c r="I206" s="55">
        <v>0</v>
      </c>
      <c r="J206" s="55">
        <v>0</v>
      </c>
      <c r="K206" s="55">
        <v>0</v>
      </c>
      <c r="L206" s="55">
        <v>0</v>
      </c>
      <c r="M206" s="55">
        <v>0</v>
      </c>
      <c r="N206" s="55">
        <v>0</v>
      </c>
      <c r="O206" s="54">
        <v>5665.19</v>
      </c>
      <c r="P206" s="54">
        <v>1800</v>
      </c>
      <c r="Q206" s="54">
        <v>-3865.19</v>
      </c>
      <c r="R206" s="54">
        <v>85066.2</v>
      </c>
      <c r="S206" s="54">
        <v>-214.7328</v>
      </c>
      <c r="T206" s="54">
        <v>600</v>
      </c>
      <c r="U206" s="55">
        <v>0</v>
      </c>
    </row>
    <row r="207" spans="2:21" outlineLevel="1" x14ac:dyDescent="0.25">
      <c r="B207" s="56" t="s">
        <v>597</v>
      </c>
      <c r="C207" s="58">
        <v>-22749.98</v>
      </c>
      <c r="D207" s="58">
        <v>-3636.49</v>
      </c>
      <c r="E207" s="58">
        <v>342714.47</v>
      </c>
      <c r="F207" s="57">
        <v>0</v>
      </c>
      <c r="G207" s="57">
        <v>0</v>
      </c>
      <c r="H207" s="57">
        <v>0</v>
      </c>
      <c r="I207" s="57">
        <v>0</v>
      </c>
      <c r="J207" s="57">
        <v>0</v>
      </c>
      <c r="K207" s="57">
        <v>0</v>
      </c>
      <c r="L207" s="57">
        <v>0</v>
      </c>
      <c r="M207" s="57">
        <v>0</v>
      </c>
      <c r="N207" s="57">
        <v>0</v>
      </c>
      <c r="O207" s="58">
        <v>316328</v>
      </c>
      <c r="P207" s="58">
        <v>-6000</v>
      </c>
      <c r="Q207" s="58">
        <v>-322328</v>
      </c>
      <c r="R207" s="58">
        <v>-24000</v>
      </c>
      <c r="S207" s="58">
        <v>5372.1333000000004</v>
      </c>
      <c r="T207" s="58">
        <v>-2000</v>
      </c>
      <c r="U207" s="57">
        <v>0</v>
      </c>
    </row>
    <row r="208" spans="2:21" outlineLevel="1" x14ac:dyDescent="0.25">
      <c r="B208" s="56" t="s">
        <v>598</v>
      </c>
      <c r="C208" s="58">
        <v>43098.42</v>
      </c>
      <c r="D208" s="58">
        <v>-21261.3</v>
      </c>
      <c r="E208" s="58">
        <v>-383158.83</v>
      </c>
      <c r="F208" s="57">
        <v>0</v>
      </c>
      <c r="G208" s="57">
        <v>0</v>
      </c>
      <c r="H208" s="57">
        <v>0</v>
      </c>
      <c r="I208" s="57">
        <v>0</v>
      </c>
      <c r="J208" s="57">
        <v>0</v>
      </c>
      <c r="K208" s="57">
        <v>0</v>
      </c>
      <c r="L208" s="57">
        <v>0</v>
      </c>
      <c r="M208" s="57">
        <v>0</v>
      </c>
      <c r="N208" s="57">
        <v>0</v>
      </c>
      <c r="O208" s="58">
        <v>-361321.71</v>
      </c>
      <c r="P208" s="57">
        <v>0</v>
      </c>
      <c r="Q208" s="58">
        <v>361321.71</v>
      </c>
      <c r="R208" s="57">
        <v>0</v>
      </c>
      <c r="S208" s="57">
        <v>0</v>
      </c>
      <c r="T208" s="57">
        <v>0</v>
      </c>
      <c r="U208" s="57">
        <v>0</v>
      </c>
    </row>
    <row r="209" spans="2:21" outlineLevel="1" x14ac:dyDescent="0.25">
      <c r="B209" s="56" t="s">
        <v>527</v>
      </c>
      <c r="C209" s="58">
        <v>-4841.9399999999996</v>
      </c>
      <c r="D209" s="58">
        <v>1097.8800000000001</v>
      </c>
      <c r="E209" s="58">
        <v>-7984.83</v>
      </c>
      <c r="F209" s="57">
        <v>0</v>
      </c>
      <c r="G209" s="57">
        <v>0</v>
      </c>
      <c r="H209" s="57">
        <v>0</v>
      </c>
      <c r="I209" s="57">
        <v>0</v>
      </c>
      <c r="J209" s="57">
        <v>0</v>
      </c>
      <c r="K209" s="57">
        <v>0</v>
      </c>
      <c r="L209" s="57">
        <v>0</v>
      </c>
      <c r="M209" s="57">
        <v>0</v>
      </c>
      <c r="N209" s="57">
        <v>0</v>
      </c>
      <c r="O209" s="58">
        <v>-11728.89</v>
      </c>
      <c r="P209" s="57">
        <v>0</v>
      </c>
      <c r="Q209" s="58">
        <v>11728.89</v>
      </c>
      <c r="R209" s="57">
        <v>0</v>
      </c>
      <c r="S209" s="57">
        <v>0</v>
      </c>
      <c r="T209" s="57">
        <v>0</v>
      </c>
      <c r="U209" s="57">
        <v>0</v>
      </c>
    </row>
    <row r="210" spans="2:21" outlineLevel="1" x14ac:dyDescent="0.25">
      <c r="B210" s="56" t="s">
        <v>599</v>
      </c>
      <c r="C210" s="58">
        <v>-1435.47</v>
      </c>
      <c r="D210" s="58">
        <v>-2113.85</v>
      </c>
      <c r="E210" s="58">
        <v>3549.32</v>
      </c>
      <c r="F210" s="57">
        <v>0</v>
      </c>
      <c r="G210" s="57">
        <v>0</v>
      </c>
      <c r="H210" s="57">
        <v>0</v>
      </c>
      <c r="I210" s="57">
        <v>0</v>
      </c>
      <c r="J210" s="57">
        <v>0</v>
      </c>
      <c r="K210" s="57">
        <v>0</v>
      </c>
      <c r="L210" s="57">
        <v>0</v>
      </c>
      <c r="M210" s="57">
        <v>0</v>
      </c>
      <c r="N210" s="57">
        <v>0</v>
      </c>
      <c r="O210" s="57">
        <v>0</v>
      </c>
      <c r="P210" s="57">
        <v>0</v>
      </c>
      <c r="Q210" s="57">
        <v>0</v>
      </c>
      <c r="R210" s="57">
        <v>0</v>
      </c>
      <c r="S210" s="57">
        <v>0</v>
      </c>
      <c r="T210" s="57">
        <v>0</v>
      </c>
      <c r="U210" s="57">
        <v>0</v>
      </c>
    </row>
    <row r="211" spans="2:21" outlineLevel="1" x14ac:dyDescent="0.25">
      <c r="B211" s="56" t="s">
        <v>600</v>
      </c>
      <c r="C211" s="58">
        <v>5937.8</v>
      </c>
      <c r="D211" s="58">
        <v>3478.97</v>
      </c>
      <c r="E211" s="58">
        <v>9898.9599999999991</v>
      </c>
      <c r="F211" s="57">
        <v>0</v>
      </c>
      <c r="G211" s="57">
        <v>0</v>
      </c>
      <c r="H211" s="57">
        <v>0</v>
      </c>
      <c r="I211" s="57">
        <v>0</v>
      </c>
      <c r="J211" s="57">
        <v>0</v>
      </c>
      <c r="K211" s="57">
        <v>0</v>
      </c>
      <c r="L211" s="57">
        <v>0</v>
      </c>
      <c r="M211" s="57">
        <v>0</v>
      </c>
      <c r="N211" s="57">
        <v>0</v>
      </c>
      <c r="O211" s="58">
        <v>19315.73</v>
      </c>
      <c r="P211" s="57">
        <v>0</v>
      </c>
      <c r="Q211" s="58">
        <v>-19315.73</v>
      </c>
      <c r="R211" s="57">
        <v>0</v>
      </c>
      <c r="S211" s="57">
        <v>0</v>
      </c>
      <c r="T211" s="57">
        <v>0</v>
      </c>
      <c r="U211" s="57">
        <v>0</v>
      </c>
    </row>
    <row r="212" spans="2:21" outlineLevel="1" x14ac:dyDescent="0.25">
      <c r="B212" s="56" t="s">
        <v>601</v>
      </c>
      <c r="C212" s="58">
        <v>-9.9600000000000009</v>
      </c>
      <c r="D212" s="57">
        <v>0</v>
      </c>
      <c r="E212" s="58">
        <v>35709.94</v>
      </c>
      <c r="F212" s="57">
        <v>0</v>
      </c>
      <c r="G212" s="57">
        <v>0</v>
      </c>
      <c r="H212" s="57">
        <v>0</v>
      </c>
      <c r="I212" s="57">
        <v>0</v>
      </c>
      <c r="J212" s="57">
        <v>0</v>
      </c>
      <c r="K212" s="57">
        <v>0</v>
      </c>
      <c r="L212" s="57">
        <v>0</v>
      </c>
      <c r="M212" s="57">
        <v>0</v>
      </c>
      <c r="N212" s="57">
        <v>0</v>
      </c>
      <c r="O212" s="58">
        <v>35699.980000000003</v>
      </c>
      <c r="P212" s="57">
        <v>0</v>
      </c>
      <c r="Q212" s="58">
        <v>-35699.980000000003</v>
      </c>
      <c r="R212" s="57">
        <v>0</v>
      </c>
      <c r="S212" s="57">
        <v>0</v>
      </c>
      <c r="T212" s="57">
        <v>0</v>
      </c>
      <c r="U212" s="57">
        <v>0</v>
      </c>
    </row>
    <row r="213" spans="2:21" x14ac:dyDescent="0.25">
      <c r="B213" s="53" t="s">
        <v>528</v>
      </c>
      <c r="C213" s="54">
        <v>19998.87</v>
      </c>
      <c r="D213" s="54">
        <v>-22434.79</v>
      </c>
      <c r="E213" s="54">
        <v>729.03</v>
      </c>
      <c r="F213" s="55">
        <v>0</v>
      </c>
      <c r="G213" s="55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5">
        <v>0</v>
      </c>
      <c r="N213" s="55">
        <v>0</v>
      </c>
      <c r="O213" s="54">
        <v>-1706.89</v>
      </c>
      <c r="P213" s="54">
        <v>-6000</v>
      </c>
      <c r="Q213" s="54">
        <v>-4293.1099999999997</v>
      </c>
      <c r="R213" s="54">
        <v>-24000</v>
      </c>
      <c r="S213" s="54">
        <v>71.5518</v>
      </c>
      <c r="T213" s="54">
        <v>-2000</v>
      </c>
      <c r="U213" s="55">
        <v>0</v>
      </c>
    </row>
    <row r="214" spans="2:21" x14ac:dyDescent="0.25">
      <c r="B214" s="59" t="s">
        <v>521</v>
      </c>
      <c r="C214" s="60">
        <v>-385048.22</v>
      </c>
      <c r="D214" s="60">
        <v>-387423</v>
      </c>
      <c r="E214" s="60">
        <v>-1166494.6200000001</v>
      </c>
      <c r="F214" s="61">
        <v>0</v>
      </c>
      <c r="G214" s="61">
        <v>0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0">
        <v>-1938965.84</v>
      </c>
      <c r="P214" s="60">
        <v>-1401331.18</v>
      </c>
      <c r="Q214" s="60">
        <v>537634.66</v>
      </c>
      <c r="R214" s="60">
        <v>-4833426.75</v>
      </c>
      <c r="S214" s="60">
        <v>-38.366</v>
      </c>
      <c r="T214" s="60">
        <v>-514156.79</v>
      </c>
      <c r="U214" s="61">
        <v>0</v>
      </c>
    </row>
    <row r="215" spans="2:21" x14ac:dyDescent="0.25">
      <c r="B215" s="53" t="s">
        <v>522</v>
      </c>
      <c r="C215" s="55">
        <v>0</v>
      </c>
      <c r="D215" s="55">
        <v>0</v>
      </c>
      <c r="E215" s="55">
        <v>0</v>
      </c>
      <c r="F215" s="55">
        <v>0</v>
      </c>
      <c r="G215" s="55">
        <v>0</v>
      </c>
      <c r="H215" s="55">
        <v>0</v>
      </c>
      <c r="I215" s="55">
        <v>0</v>
      </c>
      <c r="J215" s="55">
        <v>0</v>
      </c>
      <c r="K215" s="55">
        <v>0</v>
      </c>
      <c r="L215" s="55">
        <v>0</v>
      </c>
      <c r="M215" s="55">
        <v>0</v>
      </c>
      <c r="N215" s="55">
        <v>0</v>
      </c>
      <c r="O215" s="55">
        <v>0</v>
      </c>
      <c r="P215" s="54">
        <v>22761.9126</v>
      </c>
      <c r="Q215" s="54">
        <v>22761.9126</v>
      </c>
      <c r="R215" s="54">
        <v>21291.8573</v>
      </c>
      <c r="S215" s="54">
        <v>100</v>
      </c>
      <c r="T215" s="54">
        <v>22705.789499999999</v>
      </c>
      <c r="U215" s="55">
        <v>0</v>
      </c>
    </row>
    <row r="216" spans="2:21" x14ac:dyDescent="0.25">
      <c r="B216" s="53" t="s">
        <v>446</v>
      </c>
      <c r="C216" s="55">
        <v>0</v>
      </c>
      <c r="D216" s="55">
        <v>0</v>
      </c>
      <c r="E216" s="55">
        <v>0</v>
      </c>
      <c r="F216" s="55">
        <v>0</v>
      </c>
      <c r="G216" s="55">
        <v>0</v>
      </c>
      <c r="H216" s="55">
        <v>0</v>
      </c>
      <c r="I216" s="55">
        <v>0</v>
      </c>
      <c r="J216" s="55">
        <v>0</v>
      </c>
      <c r="K216" s="55">
        <v>0</v>
      </c>
      <c r="L216" s="55">
        <v>0</v>
      </c>
      <c r="M216" s="55">
        <v>0</v>
      </c>
      <c r="N216" s="55">
        <v>0</v>
      </c>
      <c r="O216" s="55">
        <v>0</v>
      </c>
      <c r="P216" s="54">
        <v>-10705.2781</v>
      </c>
      <c r="Q216" s="54">
        <v>-10705.2781</v>
      </c>
      <c r="R216" s="54">
        <v>-10507.403399999999</v>
      </c>
      <c r="S216" s="54">
        <v>100</v>
      </c>
      <c r="T216" s="54">
        <v>-10201.964400000001</v>
      </c>
      <c r="U216" s="55">
        <v>0</v>
      </c>
    </row>
    <row r="217" spans="2:21" x14ac:dyDescent="0.25">
      <c r="B217" s="53" t="s">
        <v>447</v>
      </c>
      <c r="C217" s="55">
        <v>0</v>
      </c>
      <c r="D217" s="55">
        <v>0</v>
      </c>
      <c r="E217" s="55">
        <v>0</v>
      </c>
      <c r="F217" s="55">
        <v>0</v>
      </c>
      <c r="G217" s="55">
        <v>0</v>
      </c>
      <c r="H217" s="55">
        <v>0</v>
      </c>
      <c r="I217" s="55">
        <v>0</v>
      </c>
      <c r="J217" s="55">
        <v>0</v>
      </c>
      <c r="K217" s="55">
        <v>0</v>
      </c>
      <c r="L217" s="55">
        <v>0</v>
      </c>
      <c r="M217" s="55">
        <v>0</v>
      </c>
      <c r="N217" s="55">
        <v>0</v>
      </c>
      <c r="O217" s="55">
        <v>0</v>
      </c>
      <c r="P217" s="54">
        <v>-9016.2525999999998</v>
      </c>
      <c r="Q217" s="54">
        <v>-9016.2525999999998</v>
      </c>
      <c r="R217" s="54">
        <v>-8841.5151999999998</v>
      </c>
      <c r="S217" s="54">
        <v>100</v>
      </c>
      <c r="T217" s="54">
        <v>-8567.4235000000008</v>
      </c>
      <c r="U217" s="55">
        <v>0</v>
      </c>
    </row>
    <row r="218" spans="2:21" x14ac:dyDescent="0.25">
      <c r="B218" s="53" t="s">
        <v>448</v>
      </c>
      <c r="C218" s="55">
        <v>0</v>
      </c>
      <c r="D218" s="55">
        <v>0</v>
      </c>
      <c r="E218" s="55">
        <v>0</v>
      </c>
      <c r="F218" s="55">
        <v>0</v>
      </c>
      <c r="G218" s="55">
        <v>0</v>
      </c>
      <c r="H218" s="55">
        <v>0</v>
      </c>
      <c r="I218" s="55">
        <v>0</v>
      </c>
      <c r="J218" s="55">
        <v>0</v>
      </c>
      <c r="K218" s="55">
        <v>0</v>
      </c>
      <c r="L218" s="55">
        <v>0</v>
      </c>
      <c r="M218" s="55">
        <v>0</v>
      </c>
      <c r="N218" s="55">
        <v>0</v>
      </c>
      <c r="O218" s="55">
        <v>0</v>
      </c>
      <c r="P218" s="54">
        <v>9494.2023000000008</v>
      </c>
      <c r="Q218" s="54">
        <v>9494.2023000000008</v>
      </c>
      <c r="R218" s="54">
        <v>8257.1236000000008</v>
      </c>
      <c r="S218" s="54">
        <v>100</v>
      </c>
      <c r="T218" s="54">
        <v>10024.052100000001</v>
      </c>
      <c r="U218" s="55">
        <v>0</v>
      </c>
    </row>
    <row r="219" spans="2:21" x14ac:dyDescent="0.25">
      <c r="B219" s="56" t="s">
        <v>523</v>
      </c>
      <c r="C219" s="57">
        <v>0</v>
      </c>
      <c r="D219" s="57">
        <v>0</v>
      </c>
      <c r="E219" s="57">
        <v>0</v>
      </c>
      <c r="F219" s="57">
        <v>0</v>
      </c>
      <c r="G219" s="57">
        <v>0</v>
      </c>
      <c r="H219" s="57">
        <v>0</v>
      </c>
      <c r="I219" s="57">
        <v>0</v>
      </c>
      <c r="J219" s="57">
        <v>0</v>
      </c>
      <c r="K219" s="57">
        <v>0</v>
      </c>
      <c r="L219" s="57">
        <v>0</v>
      </c>
      <c r="M219" s="57">
        <v>0</v>
      </c>
      <c r="N219" s="57">
        <v>0</v>
      </c>
      <c r="O219" s="57">
        <v>0</v>
      </c>
      <c r="P219" s="58">
        <v>-180</v>
      </c>
      <c r="Q219" s="58">
        <v>-180</v>
      </c>
      <c r="R219" s="58">
        <v>-730</v>
      </c>
      <c r="S219" s="58">
        <v>100</v>
      </c>
      <c r="T219" s="58">
        <v>-62</v>
      </c>
      <c r="U219" s="57">
        <v>0</v>
      </c>
    </row>
    <row r="220" spans="2:21" x14ac:dyDescent="0.25">
      <c r="B220" s="56" t="s">
        <v>524</v>
      </c>
      <c r="C220" s="57">
        <v>0</v>
      </c>
      <c r="D220" s="57">
        <v>0</v>
      </c>
      <c r="E220" s="57">
        <v>0</v>
      </c>
      <c r="F220" s="57">
        <v>0</v>
      </c>
      <c r="G220" s="57">
        <v>0</v>
      </c>
      <c r="H220" s="57">
        <v>0</v>
      </c>
      <c r="I220" s="57">
        <v>0</v>
      </c>
      <c r="J220" s="57">
        <v>0</v>
      </c>
      <c r="K220" s="57">
        <v>0</v>
      </c>
      <c r="L220" s="57">
        <v>0</v>
      </c>
      <c r="M220" s="57">
        <v>0</v>
      </c>
      <c r="N220" s="57">
        <v>0</v>
      </c>
      <c r="O220" s="57">
        <v>0</v>
      </c>
      <c r="P220" s="58">
        <v>-180</v>
      </c>
      <c r="Q220" s="58">
        <v>-180</v>
      </c>
      <c r="R220" s="58">
        <v>-730</v>
      </c>
      <c r="S220" s="58">
        <v>100</v>
      </c>
      <c r="T220" s="58">
        <v>-62</v>
      </c>
      <c r="U220" s="57">
        <v>0</v>
      </c>
    </row>
    <row r="221" spans="2:21" x14ac:dyDescent="0.25">
      <c r="B221" s="56" t="s">
        <v>449</v>
      </c>
      <c r="C221" s="57">
        <v>0</v>
      </c>
      <c r="D221" s="57">
        <v>0</v>
      </c>
      <c r="E221" s="57">
        <v>0</v>
      </c>
      <c r="F221" s="57">
        <v>0</v>
      </c>
      <c r="G221" s="57">
        <v>0</v>
      </c>
      <c r="H221" s="57">
        <v>0</v>
      </c>
      <c r="I221" s="57">
        <v>0</v>
      </c>
      <c r="J221" s="57">
        <v>0</v>
      </c>
      <c r="K221" s="57">
        <v>0</v>
      </c>
      <c r="L221" s="57">
        <v>0</v>
      </c>
      <c r="M221" s="57">
        <v>0</v>
      </c>
      <c r="N221" s="57">
        <v>0</v>
      </c>
      <c r="O221" s="57">
        <v>0</v>
      </c>
      <c r="P221" s="57">
        <v>0</v>
      </c>
      <c r="Q221" s="57">
        <v>0</v>
      </c>
      <c r="R221" s="57">
        <v>0</v>
      </c>
      <c r="S221" s="57">
        <v>0</v>
      </c>
      <c r="T221" s="57">
        <v>0</v>
      </c>
      <c r="U221" s="57">
        <v>0</v>
      </c>
    </row>
    <row r="222" spans="2:21" x14ac:dyDescent="0.25">
      <c r="B222" s="59" t="s">
        <v>450</v>
      </c>
      <c r="C222" s="60">
        <v>-663120.56999999995</v>
      </c>
      <c r="D222" s="60">
        <v>-616129.81000000006</v>
      </c>
      <c r="E222" s="60">
        <v>-1425397.65</v>
      </c>
      <c r="F222" s="61">
        <v>0</v>
      </c>
      <c r="G222" s="61">
        <v>0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0">
        <v>-2704648.03</v>
      </c>
      <c r="P222" s="60">
        <v>-2166328.5</v>
      </c>
      <c r="Q222" s="60">
        <v>538319.53</v>
      </c>
      <c r="R222" s="60">
        <v>-7990408.8499999996</v>
      </c>
      <c r="S222" s="60">
        <v>-24.849399999999999</v>
      </c>
      <c r="T222" s="60">
        <v>-769572.46</v>
      </c>
      <c r="U222" s="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3B0E-8FB9-4F67-91E2-34A3EBB97362}">
  <sheetPr codeName="Hoja4">
    <tabColor theme="0" tint="-0.14999847407452621"/>
  </sheetPr>
  <dimension ref="B2:U240"/>
  <sheetViews>
    <sheetView topLeftCell="B1" workbookViewId="0">
      <selection activeCell="O1" sqref="O1:T65536"/>
    </sheetView>
  </sheetViews>
  <sheetFormatPr baseColWidth="10" defaultRowHeight="13.2" x14ac:dyDescent="0.25"/>
  <cols>
    <col min="2" max="2" width="30.6640625" customWidth="1"/>
    <col min="15" max="15" width="12.21875" bestFit="1" customWidth="1"/>
    <col min="16" max="16" width="16.21875" bestFit="1" customWidth="1"/>
    <col min="17" max="17" width="10.77734375" bestFit="1" customWidth="1"/>
    <col min="19" max="19" width="6.21875" bestFit="1" customWidth="1"/>
    <col min="20" max="20" width="11.21875" bestFit="1" customWidth="1"/>
  </cols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178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4">
        <v>-17278289.140000001</v>
      </c>
      <c r="M3" s="54">
        <v>-1529551.41</v>
      </c>
      <c r="N3" s="55">
        <v>0</v>
      </c>
      <c r="O3" s="54">
        <v>-18807840.550000001</v>
      </c>
      <c r="P3" s="54">
        <v>-18366587.260000002</v>
      </c>
      <c r="Q3" s="54">
        <v>441253.29</v>
      </c>
      <c r="R3" s="54">
        <v>-19976052.920000002</v>
      </c>
      <c r="S3" s="54">
        <v>-2.4024999999999999</v>
      </c>
      <c r="T3" s="54">
        <v>-1849240.66</v>
      </c>
      <c r="U3" s="55">
        <v>0</v>
      </c>
    </row>
    <row r="4" spans="2:21" x14ac:dyDescent="0.25">
      <c r="B4" s="56" t="s">
        <v>179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-14954265</v>
      </c>
      <c r="Q4" s="58">
        <v>-14954265</v>
      </c>
      <c r="R4" s="58">
        <v>-16266065</v>
      </c>
      <c r="S4" s="58">
        <v>100</v>
      </c>
      <c r="T4" s="58">
        <v>-1521575</v>
      </c>
      <c r="U4" s="57">
        <v>0</v>
      </c>
    </row>
    <row r="5" spans="2:21" x14ac:dyDescent="0.25">
      <c r="B5" s="56" t="s">
        <v>180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8">
        <v>-12453731.49</v>
      </c>
      <c r="M5" s="58">
        <v>-1110701.08</v>
      </c>
      <c r="N5" s="57">
        <v>0</v>
      </c>
      <c r="O5" s="58">
        <v>-13564432.57</v>
      </c>
      <c r="P5" s="57">
        <v>0</v>
      </c>
      <c r="Q5" s="58">
        <v>13564432.57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181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4">
        <v>-12453731.49</v>
      </c>
      <c r="M6" s="54">
        <v>-1110701.08</v>
      </c>
      <c r="N6" s="55">
        <v>0</v>
      </c>
      <c r="O6" s="54">
        <v>-13564432.57</v>
      </c>
      <c r="P6" s="54">
        <v>-14954265</v>
      </c>
      <c r="Q6" s="54">
        <v>-1389832.43</v>
      </c>
      <c r="R6" s="54">
        <v>-16266065</v>
      </c>
      <c r="S6" s="54">
        <v>9.2939000000000007</v>
      </c>
      <c r="T6" s="54">
        <v>-1521575</v>
      </c>
      <c r="U6" s="55">
        <v>0</v>
      </c>
    </row>
    <row r="7" spans="2:21" x14ac:dyDescent="0.25">
      <c r="B7" s="56" t="s">
        <v>182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-2768322.26</v>
      </c>
      <c r="Q7" s="58">
        <v>-2768322.26</v>
      </c>
      <c r="R7" s="58">
        <v>-3019987.92</v>
      </c>
      <c r="S7" s="58">
        <v>100</v>
      </c>
      <c r="T7" s="58">
        <v>-251665.66</v>
      </c>
      <c r="U7" s="57">
        <v>0</v>
      </c>
    </row>
    <row r="8" spans="2:21" x14ac:dyDescent="0.25">
      <c r="B8" s="56" t="s">
        <v>183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-165339.10999999999</v>
      </c>
      <c r="M8" s="58">
        <v>199540.87</v>
      </c>
      <c r="N8" s="57">
        <v>0</v>
      </c>
      <c r="O8" s="58">
        <v>34201.760000000002</v>
      </c>
      <c r="P8" s="57">
        <v>0</v>
      </c>
      <c r="Q8" s="58">
        <v>-34201.760000000002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5">
      <c r="B9" s="56" t="s">
        <v>184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-4150713.99</v>
      </c>
      <c r="M9" s="58">
        <v>-558872.76</v>
      </c>
      <c r="N9" s="57">
        <v>0</v>
      </c>
      <c r="O9" s="58">
        <v>-4709586.75</v>
      </c>
      <c r="P9" s="57">
        <v>0</v>
      </c>
      <c r="Q9" s="58">
        <v>4709586.75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185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-4316053.0999999996</v>
      </c>
      <c r="M10" s="54">
        <v>-359331.89</v>
      </c>
      <c r="N10" s="55">
        <v>0</v>
      </c>
      <c r="O10" s="54">
        <v>-4675384.99</v>
      </c>
      <c r="P10" s="54">
        <v>-2768322.26</v>
      </c>
      <c r="Q10" s="54">
        <v>1907062.73</v>
      </c>
      <c r="R10" s="54">
        <v>-3019987.92</v>
      </c>
      <c r="S10" s="54">
        <v>-68.888800000000003</v>
      </c>
      <c r="T10" s="54">
        <v>-251665.66</v>
      </c>
      <c r="U10" s="55">
        <v>0</v>
      </c>
    </row>
    <row r="11" spans="2:21" x14ac:dyDescent="0.25">
      <c r="B11" s="56" t="s">
        <v>186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-644000</v>
      </c>
      <c r="Q11" s="58">
        <v>-644000</v>
      </c>
      <c r="R11" s="58">
        <v>-690000</v>
      </c>
      <c r="S11" s="58">
        <v>100</v>
      </c>
      <c r="T11" s="58">
        <v>-76000</v>
      </c>
      <c r="U11" s="57">
        <v>0</v>
      </c>
    </row>
    <row r="12" spans="2:21" x14ac:dyDescent="0.25">
      <c r="B12" s="56" t="s">
        <v>187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8">
        <v>19018</v>
      </c>
      <c r="M12" s="58">
        <v>29096</v>
      </c>
      <c r="N12" s="57">
        <v>0</v>
      </c>
      <c r="O12" s="58">
        <v>48114</v>
      </c>
      <c r="P12" s="57">
        <v>0</v>
      </c>
      <c r="Q12" s="58">
        <v>-48114</v>
      </c>
      <c r="R12" s="57">
        <v>0</v>
      </c>
      <c r="S12" s="57">
        <v>0</v>
      </c>
      <c r="T12" s="57">
        <v>0</v>
      </c>
      <c r="U12" s="57">
        <v>0</v>
      </c>
    </row>
    <row r="13" spans="2:21" x14ac:dyDescent="0.25">
      <c r="B13" s="56" t="s">
        <v>188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8">
        <v>-527522.55000000005</v>
      </c>
      <c r="M13" s="58">
        <v>-88614.44</v>
      </c>
      <c r="N13" s="57">
        <v>0</v>
      </c>
      <c r="O13" s="58">
        <v>-616136.99</v>
      </c>
      <c r="P13" s="57">
        <v>0</v>
      </c>
      <c r="Q13" s="58">
        <v>616136.99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5">
      <c r="B14" s="53" t="s">
        <v>189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4">
        <v>-508504.55</v>
      </c>
      <c r="M14" s="54">
        <v>-59518.44</v>
      </c>
      <c r="N14" s="55">
        <v>0</v>
      </c>
      <c r="O14" s="54">
        <v>-568022.99</v>
      </c>
      <c r="P14" s="54">
        <v>-644000</v>
      </c>
      <c r="Q14" s="54">
        <v>-75977.009999999995</v>
      </c>
      <c r="R14" s="54">
        <v>-690000</v>
      </c>
      <c r="S14" s="54">
        <v>11.797700000000001</v>
      </c>
      <c r="T14" s="54">
        <v>-76000</v>
      </c>
      <c r="U14" s="55">
        <v>0</v>
      </c>
    </row>
    <row r="15" spans="2:21" x14ac:dyDescent="0.25">
      <c r="B15" s="53" t="s">
        <v>190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6" t="s">
        <v>468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</row>
    <row r="17" spans="2:21" x14ac:dyDescent="0.25">
      <c r="B17" s="53" t="s">
        <v>192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</row>
    <row r="18" spans="2:21" x14ac:dyDescent="0.25">
      <c r="B18" s="53" t="s">
        <v>193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4774723.18</v>
      </c>
      <c r="M18" s="54">
        <v>406371.25</v>
      </c>
      <c r="N18" s="55">
        <v>0</v>
      </c>
      <c r="O18" s="54">
        <v>5181094.43</v>
      </c>
      <c r="P18" s="54">
        <v>5823486.1600000001</v>
      </c>
      <c r="Q18" s="54">
        <v>642391.73</v>
      </c>
      <c r="R18" s="54">
        <v>6386530.29</v>
      </c>
      <c r="S18" s="54">
        <v>11.0311</v>
      </c>
      <c r="T18" s="54">
        <v>600002.82999999996</v>
      </c>
      <c r="U18" s="55">
        <v>0</v>
      </c>
    </row>
    <row r="19" spans="2:21" x14ac:dyDescent="0.25">
      <c r="B19" s="56" t="s">
        <v>194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2071313.74</v>
      </c>
      <c r="M19" s="58">
        <v>231668.19</v>
      </c>
      <c r="N19" s="57">
        <v>0</v>
      </c>
      <c r="O19" s="58">
        <v>2302981.9300000002</v>
      </c>
      <c r="P19" s="58">
        <v>2444486.16</v>
      </c>
      <c r="Q19" s="58">
        <v>141504.23000000001</v>
      </c>
      <c r="R19" s="58">
        <v>2701530.29</v>
      </c>
      <c r="S19" s="58">
        <v>5.7887000000000004</v>
      </c>
      <c r="T19" s="58">
        <v>243002.83</v>
      </c>
      <c r="U19" s="57">
        <v>0</v>
      </c>
    </row>
    <row r="20" spans="2:21" x14ac:dyDescent="0.25">
      <c r="B20" s="53" t="s">
        <v>195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4">
        <v>2071313.74</v>
      </c>
      <c r="M20" s="54">
        <v>231668.19</v>
      </c>
      <c r="N20" s="55">
        <v>0</v>
      </c>
      <c r="O20" s="54">
        <v>2302981.9300000002</v>
      </c>
      <c r="P20" s="54">
        <v>2444486.16</v>
      </c>
      <c r="Q20" s="54">
        <v>141504.23000000001</v>
      </c>
      <c r="R20" s="54">
        <v>2701530.29</v>
      </c>
      <c r="S20" s="54">
        <v>5.7887000000000004</v>
      </c>
      <c r="T20" s="54">
        <v>243002.83</v>
      </c>
      <c r="U20" s="55">
        <v>0</v>
      </c>
    </row>
    <row r="21" spans="2:21" x14ac:dyDescent="0.25">
      <c r="B21" s="56" t="s">
        <v>196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8">
        <v>2749315.2</v>
      </c>
      <c r="M21" s="58">
        <v>274851.17</v>
      </c>
      <c r="N21" s="57">
        <v>0</v>
      </c>
      <c r="O21" s="58">
        <v>3024166.37</v>
      </c>
      <c r="P21" s="57">
        <v>0</v>
      </c>
      <c r="Q21" s="58">
        <v>-3024166.37</v>
      </c>
      <c r="R21" s="57">
        <v>0</v>
      </c>
      <c r="S21" s="57">
        <v>0</v>
      </c>
      <c r="T21" s="57">
        <v>0</v>
      </c>
      <c r="U21" s="57">
        <v>0</v>
      </c>
    </row>
    <row r="22" spans="2:21" x14ac:dyDescent="0.25">
      <c r="B22" s="56" t="s">
        <v>197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8">
        <v>-46920.76</v>
      </c>
      <c r="M22" s="58">
        <v>-100148.11</v>
      </c>
      <c r="N22" s="57">
        <v>0</v>
      </c>
      <c r="O22" s="58">
        <v>-147068.87</v>
      </c>
      <c r="P22" s="58">
        <v>3379000</v>
      </c>
      <c r="Q22" s="58">
        <v>3526068.87</v>
      </c>
      <c r="R22" s="58">
        <v>3685000</v>
      </c>
      <c r="S22" s="58">
        <v>104.3524</v>
      </c>
      <c r="T22" s="58">
        <v>357000</v>
      </c>
      <c r="U22" s="57">
        <v>0</v>
      </c>
    </row>
    <row r="23" spans="2:21" x14ac:dyDescent="0.25">
      <c r="B23" s="53" t="s">
        <v>198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4">
        <v>2702394.44</v>
      </c>
      <c r="M23" s="54">
        <v>174703.06</v>
      </c>
      <c r="N23" s="55">
        <v>0</v>
      </c>
      <c r="O23" s="54">
        <v>2877097.5</v>
      </c>
      <c r="P23" s="54">
        <v>3379000</v>
      </c>
      <c r="Q23" s="54">
        <v>501902.5</v>
      </c>
      <c r="R23" s="54">
        <v>3685000</v>
      </c>
      <c r="S23" s="54">
        <v>14.8536</v>
      </c>
      <c r="T23" s="54">
        <v>357000</v>
      </c>
      <c r="U23" s="55">
        <v>0</v>
      </c>
    </row>
    <row r="24" spans="2:21" x14ac:dyDescent="0.25">
      <c r="B24" s="56" t="s">
        <v>199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</row>
    <row r="25" spans="2:21" x14ac:dyDescent="0.25">
      <c r="B25" s="53" t="s">
        <v>200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</row>
    <row r="26" spans="2:21" x14ac:dyDescent="0.25">
      <c r="B26" s="56" t="s">
        <v>201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8">
        <v>1015</v>
      </c>
      <c r="M26" s="57">
        <v>0</v>
      </c>
      <c r="N26" s="57">
        <v>0</v>
      </c>
      <c r="O26" s="58">
        <v>1015</v>
      </c>
      <c r="P26" s="57">
        <v>0</v>
      </c>
      <c r="Q26" s="58">
        <v>-1015</v>
      </c>
      <c r="R26" s="57">
        <v>0</v>
      </c>
      <c r="S26" s="57">
        <v>0</v>
      </c>
      <c r="T26" s="57">
        <v>0</v>
      </c>
      <c r="U26" s="57">
        <v>0</v>
      </c>
    </row>
    <row r="27" spans="2:21" x14ac:dyDescent="0.25">
      <c r="B27" s="53" t="s">
        <v>202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4">
        <v>1015</v>
      </c>
      <c r="M27" s="55">
        <v>0</v>
      </c>
      <c r="N27" s="55">
        <v>0</v>
      </c>
      <c r="O27" s="54">
        <v>1015</v>
      </c>
      <c r="P27" s="55">
        <v>0</v>
      </c>
      <c r="Q27" s="54">
        <v>-1015</v>
      </c>
      <c r="R27" s="55">
        <v>0</v>
      </c>
      <c r="S27" s="55">
        <v>0</v>
      </c>
      <c r="T27" s="55">
        <v>0</v>
      </c>
      <c r="U27" s="55">
        <v>0</v>
      </c>
    </row>
    <row r="28" spans="2:21" x14ac:dyDescent="0.25">
      <c r="B28" s="53" t="s">
        <v>203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4">
        <v>-12503565.960000001</v>
      </c>
      <c r="M28" s="54">
        <v>-1123180.1599999999</v>
      </c>
      <c r="N28" s="55">
        <v>0</v>
      </c>
      <c r="O28" s="54">
        <v>-13626746.119999999</v>
      </c>
      <c r="P28" s="54">
        <v>-12543101.1</v>
      </c>
      <c r="Q28" s="54">
        <v>1083645.02</v>
      </c>
      <c r="R28" s="54">
        <v>-13589522.630000001</v>
      </c>
      <c r="S28" s="54">
        <v>-8.6394000000000002</v>
      </c>
      <c r="T28" s="54">
        <v>-1249237.83</v>
      </c>
      <c r="U28" s="55">
        <v>0</v>
      </c>
    </row>
    <row r="29" spans="2:21" x14ac:dyDescent="0.25">
      <c r="B29" s="53" t="s">
        <v>204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4">
        <v>-12503565.960000001</v>
      </c>
      <c r="M29" s="54">
        <v>-1123180.1599999999</v>
      </c>
      <c r="N29" s="55">
        <v>0</v>
      </c>
      <c r="O29" s="54">
        <v>-13626746.119999999</v>
      </c>
      <c r="P29" s="54">
        <v>-12543101.1</v>
      </c>
      <c r="Q29" s="54">
        <v>1083645.02</v>
      </c>
      <c r="R29" s="54">
        <v>-13589522.630000001</v>
      </c>
      <c r="S29" s="54">
        <v>-8.6394000000000002</v>
      </c>
      <c r="T29" s="54">
        <v>-1249237.83</v>
      </c>
      <c r="U29" s="55">
        <v>0</v>
      </c>
    </row>
    <row r="30" spans="2:21" x14ac:dyDescent="0.25">
      <c r="B30" s="53" t="s">
        <v>205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4">
        <v>3207056.99</v>
      </c>
      <c r="M30" s="54">
        <v>318646.46999999997</v>
      </c>
      <c r="N30" s="55">
        <v>0</v>
      </c>
      <c r="O30" s="54">
        <v>3525703.46</v>
      </c>
      <c r="P30" s="54">
        <v>3374156.16</v>
      </c>
      <c r="Q30" s="54">
        <v>-151547.29999999999</v>
      </c>
      <c r="R30" s="54">
        <v>3673670.88</v>
      </c>
      <c r="S30" s="54">
        <v>-4.4913999999999996</v>
      </c>
      <c r="T30" s="54">
        <v>299514.71999999997</v>
      </c>
      <c r="U30" s="55">
        <v>0</v>
      </c>
    </row>
    <row r="31" spans="2:21" x14ac:dyDescent="0.25">
      <c r="B31" s="56" t="s">
        <v>206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8">
        <v>252614.93</v>
      </c>
      <c r="M31" s="58">
        <v>411.25</v>
      </c>
      <c r="N31" s="57">
        <v>0</v>
      </c>
      <c r="O31" s="58">
        <v>253026.18</v>
      </c>
      <c r="P31" s="57">
        <v>0</v>
      </c>
      <c r="Q31" s="58">
        <v>-253026.18</v>
      </c>
      <c r="R31" s="57">
        <v>0</v>
      </c>
      <c r="S31" s="57">
        <v>0</v>
      </c>
      <c r="T31" s="57">
        <v>0</v>
      </c>
      <c r="U31" s="57">
        <v>0</v>
      </c>
    </row>
    <row r="32" spans="2:21" x14ac:dyDescent="0.25">
      <c r="B32" s="56" t="s">
        <v>207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8">
        <v>1470640.71</v>
      </c>
      <c r="M32" s="58">
        <v>157523.45000000001</v>
      </c>
      <c r="N32" s="57">
        <v>0</v>
      </c>
      <c r="O32" s="58">
        <v>1628164.16</v>
      </c>
      <c r="P32" s="58">
        <v>1867848.72</v>
      </c>
      <c r="Q32" s="58">
        <v>239684.56</v>
      </c>
      <c r="R32" s="58">
        <v>2030426.4</v>
      </c>
      <c r="S32" s="58">
        <v>12.832100000000001</v>
      </c>
      <c r="T32" s="58">
        <v>162577.68</v>
      </c>
      <c r="U32" s="57">
        <v>0</v>
      </c>
    </row>
    <row r="33" spans="2:21" x14ac:dyDescent="0.25">
      <c r="B33" s="56" t="s">
        <v>208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159477.18</v>
      </c>
      <c r="M33" s="58">
        <v>17259.21</v>
      </c>
      <c r="N33" s="57">
        <v>0</v>
      </c>
      <c r="O33" s="58">
        <v>176736.39</v>
      </c>
      <c r="P33" s="57">
        <v>0</v>
      </c>
      <c r="Q33" s="58">
        <v>-176736.39</v>
      </c>
      <c r="R33" s="57">
        <v>0</v>
      </c>
      <c r="S33" s="57">
        <v>0</v>
      </c>
      <c r="T33" s="57">
        <v>0</v>
      </c>
      <c r="U33" s="57">
        <v>0</v>
      </c>
    </row>
    <row r="34" spans="2:21" x14ac:dyDescent="0.25">
      <c r="B34" s="56" t="s">
        <v>209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8">
        <v>2112.16</v>
      </c>
      <c r="M34" s="58">
        <v>290.77</v>
      </c>
      <c r="N34" s="57">
        <v>0</v>
      </c>
      <c r="O34" s="58">
        <v>2402.9299999999998</v>
      </c>
      <c r="P34" s="57">
        <v>0</v>
      </c>
      <c r="Q34" s="58">
        <v>-2402.9299999999998</v>
      </c>
      <c r="R34" s="57">
        <v>0</v>
      </c>
      <c r="S34" s="57">
        <v>0</v>
      </c>
      <c r="T34" s="57">
        <v>0</v>
      </c>
      <c r="U34" s="57">
        <v>0</v>
      </c>
    </row>
    <row r="35" spans="2:21" x14ac:dyDescent="0.25">
      <c r="B35" s="53" t="s">
        <v>210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4">
        <v>1884844.98</v>
      </c>
      <c r="M35" s="54">
        <v>175484.68</v>
      </c>
      <c r="N35" s="55">
        <v>0</v>
      </c>
      <c r="O35" s="54">
        <v>2060329.66</v>
      </c>
      <c r="P35" s="54">
        <v>1867848.72</v>
      </c>
      <c r="Q35" s="54">
        <v>-192480.94</v>
      </c>
      <c r="R35" s="54">
        <v>2030426.4</v>
      </c>
      <c r="S35" s="54">
        <v>-10.305</v>
      </c>
      <c r="T35" s="54">
        <v>162577.68</v>
      </c>
      <c r="U35" s="55">
        <v>0</v>
      </c>
    </row>
    <row r="36" spans="2:21" x14ac:dyDescent="0.25">
      <c r="B36" s="56" t="s">
        <v>211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8">
        <v>111220.13</v>
      </c>
      <c r="M36" s="58">
        <v>15642.74</v>
      </c>
      <c r="N36" s="57">
        <v>0</v>
      </c>
      <c r="O36" s="58">
        <v>126862.87</v>
      </c>
      <c r="P36" s="58">
        <v>148654.22</v>
      </c>
      <c r="Q36" s="58">
        <v>21791.35</v>
      </c>
      <c r="R36" s="58">
        <v>162168.24</v>
      </c>
      <c r="S36" s="58">
        <v>14.6591</v>
      </c>
      <c r="T36" s="58">
        <v>13514.02</v>
      </c>
      <c r="U36" s="57">
        <v>0</v>
      </c>
    </row>
    <row r="37" spans="2:21" x14ac:dyDescent="0.25">
      <c r="B37" s="53" t="s">
        <v>212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4">
        <v>111220.13</v>
      </c>
      <c r="M37" s="54">
        <v>15642.74</v>
      </c>
      <c r="N37" s="55">
        <v>0</v>
      </c>
      <c r="O37" s="54">
        <v>126862.87</v>
      </c>
      <c r="P37" s="54">
        <v>148654.22</v>
      </c>
      <c r="Q37" s="54">
        <v>21791.35</v>
      </c>
      <c r="R37" s="54">
        <v>162168.24</v>
      </c>
      <c r="S37" s="54">
        <v>14.6591</v>
      </c>
      <c r="T37" s="54">
        <v>13514.02</v>
      </c>
      <c r="U37" s="55">
        <v>0</v>
      </c>
    </row>
    <row r="38" spans="2:21" x14ac:dyDescent="0.25">
      <c r="B38" s="56" t="s">
        <v>213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8">
        <v>43049.4</v>
      </c>
      <c r="M38" s="57">
        <v>0</v>
      </c>
      <c r="N38" s="57">
        <v>0</v>
      </c>
      <c r="O38" s="58">
        <v>43049.4</v>
      </c>
      <c r="P38" s="58">
        <v>306052.78000000003</v>
      </c>
      <c r="Q38" s="58">
        <v>263003.38</v>
      </c>
      <c r="R38" s="58">
        <v>333875.76</v>
      </c>
      <c r="S38" s="58">
        <v>85.933999999999997</v>
      </c>
      <c r="T38" s="58">
        <v>27822.98</v>
      </c>
      <c r="U38" s="57">
        <v>0</v>
      </c>
    </row>
    <row r="39" spans="2:21" x14ac:dyDescent="0.25">
      <c r="B39" s="56" t="s">
        <v>214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8">
        <v>254388.07</v>
      </c>
      <c r="M39" s="58">
        <v>30151.84</v>
      </c>
      <c r="N39" s="57">
        <v>0</v>
      </c>
      <c r="O39" s="58">
        <v>284539.90999999997</v>
      </c>
      <c r="P39" s="57">
        <v>0</v>
      </c>
      <c r="Q39" s="58">
        <v>-284539.90999999997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5">
      <c r="B40" s="53" t="s">
        <v>215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4">
        <v>297437.46999999997</v>
      </c>
      <c r="M40" s="54">
        <v>30151.84</v>
      </c>
      <c r="N40" s="55">
        <v>0</v>
      </c>
      <c r="O40" s="54">
        <v>327589.31</v>
      </c>
      <c r="P40" s="54">
        <v>306052.78000000003</v>
      </c>
      <c r="Q40" s="54">
        <v>-21536.53</v>
      </c>
      <c r="R40" s="54">
        <v>333875.76</v>
      </c>
      <c r="S40" s="54">
        <v>-7.0369000000000002</v>
      </c>
      <c r="T40" s="54">
        <v>27822.98</v>
      </c>
      <c r="U40" s="55">
        <v>0</v>
      </c>
    </row>
    <row r="41" spans="2:21" x14ac:dyDescent="0.25">
      <c r="B41" s="56" t="s">
        <v>216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8">
        <v>140980.56</v>
      </c>
      <c r="M41" s="58">
        <v>14863.37</v>
      </c>
      <c r="N41" s="57">
        <v>0</v>
      </c>
      <c r="O41" s="58">
        <v>155843.93</v>
      </c>
      <c r="P41" s="58">
        <v>170029.2</v>
      </c>
      <c r="Q41" s="58">
        <v>14185.27</v>
      </c>
      <c r="R41" s="58">
        <v>185486.4</v>
      </c>
      <c r="S41" s="58">
        <v>8.3428000000000004</v>
      </c>
      <c r="T41" s="58">
        <v>15457.2</v>
      </c>
      <c r="U41" s="57">
        <v>0</v>
      </c>
    </row>
    <row r="42" spans="2:21" x14ac:dyDescent="0.25">
      <c r="B42" s="53" t="s">
        <v>217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4">
        <v>140980.56</v>
      </c>
      <c r="M42" s="54">
        <v>14863.37</v>
      </c>
      <c r="N42" s="55">
        <v>0</v>
      </c>
      <c r="O42" s="54">
        <v>155843.93</v>
      </c>
      <c r="P42" s="54">
        <v>170029.2</v>
      </c>
      <c r="Q42" s="54">
        <v>14185.27</v>
      </c>
      <c r="R42" s="54">
        <v>185486.4</v>
      </c>
      <c r="S42" s="54">
        <v>8.3428000000000004</v>
      </c>
      <c r="T42" s="54">
        <v>15457.2</v>
      </c>
      <c r="U42" s="55">
        <v>0</v>
      </c>
    </row>
    <row r="43" spans="2:21" x14ac:dyDescent="0.25">
      <c r="B43" s="56" t="s">
        <v>218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8">
        <v>122228.18</v>
      </c>
      <c r="M43" s="58">
        <v>13228.31</v>
      </c>
      <c r="N43" s="57">
        <v>0</v>
      </c>
      <c r="O43" s="58">
        <v>135456.49</v>
      </c>
      <c r="P43" s="58">
        <v>132287.76</v>
      </c>
      <c r="Q43" s="58">
        <v>-3168.73</v>
      </c>
      <c r="R43" s="58">
        <v>144313.92000000001</v>
      </c>
      <c r="S43" s="58">
        <v>-2.3953000000000002</v>
      </c>
      <c r="T43" s="58">
        <v>12026.16</v>
      </c>
      <c r="U43" s="57">
        <v>0</v>
      </c>
    </row>
    <row r="44" spans="2:21" x14ac:dyDescent="0.25">
      <c r="B44" s="53" t="s">
        <v>219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4">
        <v>122228.18</v>
      </c>
      <c r="M44" s="54">
        <v>13228.31</v>
      </c>
      <c r="N44" s="55">
        <v>0</v>
      </c>
      <c r="O44" s="54">
        <v>135456.49</v>
      </c>
      <c r="P44" s="54">
        <v>132287.76</v>
      </c>
      <c r="Q44" s="54">
        <v>-3168.73</v>
      </c>
      <c r="R44" s="54">
        <v>144313.92000000001</v>
      </c>
      <c r="S44" s="54">
        <v>-2.3953000000000002</v>
      </c>
      <c r="T44" s="54">
        <v>12026.16</v>
      </c>
      <c r="U44" s="55">
        <v>0</v>
      </c>
    </row>
    <row r="45" spans="2:21" x14ac:dyDescent="0.25">
      <c r="B45" s="56" t="s">
        <v>220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8">
        <v>34082.75</v>
      </c>
      <c r="M45" s="58">
        <v>565.04999999999995</v>
      </c>
      <c r="N45" s="57">
        <v>0</v>
      </c>
      <c r="O45" s="58">
        <v>34647.800000000003</v>
      </c>
      <c r="P45" s="58">
        <v>79200</v>
      </c>
      <c r="Q45" s="58">
        <v>44552.2</v>
      </c>
      <c r="R45" s="58">
        <v>86400</v>
      </c>
      <c r="S45" s="58">
        <v>56.252800000000001</v>
      </c>
      <c r="T45" s="58">
        <v>7200</v>
      </c>
      <c r="U45" s="57">
        <v>0</v>
      </c>
    </row>
    <row r="46" spans="2:21" x14ac:dyDescent="0.25">
      <c r="B46" s="56" t="s">
        <v>221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8">
        <v>57373.97</v>
      </c>
      <c r="M46" s="58">
        <v>503.87</v>
      </c>
      <c r="N46" s="57">
        <v>0</v>
      </c>
      <c r="O46" s="58">
        <v>57877.84</v>
      </c>
      <c r="P46" s="57">
        <v>0</v>
      </c>
      <c r="Q46" s="58">
        <v>-57877.84</v>
      </c>
      <c r="R46" s="57">
        <v>0</v>
      </c>
      <c r="S46" s="57">
        <v>0</v>
      </c>
      <c r="T46" s="57">
        <v>0</v>
      </c>
      <c r="U46" s="57">
        <v>0</v>
      </c>
    </row>
    <row r="47" spans="2:21" x14ac:dyDescent="0.25">
      <c r="B47" s="56" t="s">
        <v>222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8">
        <v>8578.4</v>
      </c>
      <c r="M47" s="57">
        <v>0</v>
      </c>
      <c r="N47" s="57">
        <v>0</v>
      </c>
      <c r="O47" s="58">
        <v>8578.4</v>
      </c>
      <c r="P47" s="57">
        <v>0</v>
      </c>
      <c r="Q47" s="58">
        <v>-8578.4</v>
      </c>
      <c r="R47" s="57">
        <v>0</v>
      </c>
      <c r="S47" s="57">
        <v>0</v>
      </c>
      <c r="T47" s="57">
        <v>0</v>
      </c>
      <c r="U47" s="57">
        <v>0</v>
      </c>
    </row>
    <row r="48" spans="2:21" x14ac:dyDescent="0.25">
      <c r="B48" s="53" t="s">
        <v>223</v>
      </c>
      <c r="C48" s="55">
        <v>0</v>
      </c>
      <c r="D48" s="55">
        <v>0</v>
      </c>
      <c r="E48" s="55">
        <v>0</v>
      </c>
      <c r="F48" s="55">
        <v>0</v>
      </c>
      <c r="G48" s="55">
        <v>0</v>
      </c>
      <c r="H48" s="55">
        <v>0</v>
      </c>
      <c r="I48" s="55">
        <v>0</v>
      </c>
      <c r="J48" s="55">
        <v>0</v>
      </c>
      <c r="K48" s="55">
        <v>0</v>
      </c>
      <c r="L48" s="54">
        <v>100035.12</v>
      </c>
      <c r="M48" s="54">
        <v>1068.92</v>
      </c>
      <c r="N48" s="55">
        <v>0</v>
      </c>
      <c r="O48" s="54">
        <v>101104.04</v>
      </c>
      <c r="P48" s="54">
        <v>79200</v>
      </c>
      <c r="Q48" s="54">
        <v>-21904.04</v>
      </c>
      <c r="R48" s="54">
        <v>86400</v>
      </c>
      <c r="S48" s="54">
        <v>-27.656600000000001</v>
      </c>
      <c r="T48" s="54">
        <v>7200</v>
      </c>
      <c r="U48" s="55">
        <v>0</v>
      </c>
    </row>
    <row r="49" spans="2:21" x14ac:dyDescent="0.25">
      <c r="B49" s="56" t="s">
        <v>224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8">
        <v>13938.98</v>
      </c>
      <c r="M49" s="58">
        <v>3514.74</v>
      </c>
      <c r="N49" s="57">
        <v>0</v>
      </c>
      <c r="O49" s="58">
        <v>17453.72</v>
      </c>
      <c r="P49" s="58">
        <v>18700</v>
      </c>
      <c r="Q49" s="58">
        <v>1246.28</v>
      </c>
      <c r="R49" s="58">
        <v>20400</v>
      </c>
      <c r="S49" s="58">
        <v>6.6646000000000001</v>
      </c>
      <c r="T49" s="58">
        <v>1700</v>
      </c>
      <c r="U49" s="57">
        <v>0</v>
      </c>
    </row>
    <row r="50" spans="2:21" x14ac:dyDescent="0.25">
      <c r="B50" s="53" t="s">
        <v>225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4">
        <v>13938.98</v>
      </c>
      <c r="M50" s="54">
        <v>3514.74</v>
      </c>
      <c r="N50" s="55">
        <v>0</v>
      </c>
      <c r="O50" s="54">
        <v>17453.72</v>
      </c>
      <c r="P50" s="54">
        <v>18700</v>
      </c>
      <c r="Q50" s="54">
        <v>1246.28</v>
      </c>
      <c r="R50" s="54">
        <v>20400</v>
      </c>
      <c r="S50" s="54">
        <v>6.6646000000000001</v>
      </c>
      <c r="T50" s="54">
        <v>1700</v>
      </c>
      <c r="U50" s="55">
        <v>0</v>
      </c>
    </row>
    <row r="51" spans="2:21" x14ac:dyDescent="0.25">
      <c r="B51" s="56" t="s">
        <v>226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8">
        <v>6016.98</v>
      </c>
      <c r="M51" s="58">
        <v>57.54</v>
      </c>
      <c r="N51" s="57">
        <v>0</v>
      </c>
      <c r="O51" s="58">
        <v>6074.52</v>
      </c>
      <c r="P51" s="58">
        <v>17600</v>
      </c>
      <c r="Q51" s="58">
        <v>11525.48</v>
      </c>
      <c r="R51" s="58">
        <v>19200</v>
      </c>
      <c r="S51" s="58">
        <v>65.485699999999994</v>
      </c>
      <c r="T51" s="58">
        <v>1600</v>
      </c>
      <c r="U51" s="57">
        <v>0</v>
      </c>
    </row>
    <row r="52" spans="2:21" x14ac:dyDescent="0.25">
      <c r="B52" s="53" t="s">
        <v>227</v>
      </c>
      <c r="C52" s="55">
        <v>0</v>
      </c>
      <c r="D52" s="55">
        <v>0</v>
      </c>
      <c r="E52" s="55">
        <v>0</v>
      </c>
      <c r="F52" s="55">
        <v>0</v>
      </c>
      <c r="G52" s="55">
        <v>0</v>
      </c>
      <c r="H52" s="55">
        <v>0</v>
      </c>
      <c r="I52" s="55">
        <v>0</v>
      </c>
      <c r="J52" s="55">
        <v>0</v>
      </c>
      <c r="K52" s="55">
        <v>0</v>
      </c>
      <c r="L52" s="54">
        <v>6016.98</v>
      </c>
      <c r="M52" s="54">
        <v>57.54</v>
      </c>
      <c r="N52" s="55">
        <v>0</v>
      </c>
      <c r="O52" s="54">
        <v>6074.52</v>
      </c>
      <c r="P52" s="54">
        <v>17600</v>
      </c>
      <c r="Q52" s="54">
        <v>11525.48</v>
      </c>
      <c r="R52" s="54">
        <v>19200</v>
      </c>
      <c r="S52" s="54">
        <v>65.485699999999994</v>
      </c>
      <c r="T52" s="54">
        <v>1600</v>
      </c>
      <c r="U52" s="55">
        <v>0</v>
      </c>
    </row>
    <row r="53" spans="2:21" x14ac:dyDescent="0.25">
      <c r="B53" s="56" t="s">
        <v>228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8">
        <v>74962.210000000006</v>
      </c>
      <c r="M53" s="58">
        <v>8821.89</v>
      </c>
      <c r="N53" s="57">
        <v>0</v>
      </c>
      <c r="O53" s="58">
        <v>83784.100000000006</v>
      </c>
      <c r="P53" s="58">
        <v>158400</v>
      </c>
      <c r="Q53" s="58">
        <v>74615.899999999994</v>
      </c>
      <c r="R53" s="58">
        <v>172800</v>
      </c>
      <c r="S53" s="58">
        <v>47.106000000000002</v>
      </c>
      <c r="T53" s="58">
        <v>14400</v>
      </c>
      <c r="U53" s="57">
        <v>0</v>
      </c>
    </row>
    <row r="54" spans="2:21" x14ac:dyDescent="0.25">
      <c r="B54" s="56" t="s">
        <v>229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8">
        <v>35873.08</v>
      </c>
      <c r="M54" s="58">
        <v>13052.9</v>
      </c>
      <c r="N54" s="57">
        <v>0</v>
      </c>
      <c r="O54" s="58">
        <v>48925.98</v>
      </c>
      <c r="P54" s="57">
        <v>0</v>
      </c>
      <c r="Q54" s="58">
        <v>-48925.98</v>
      </c>
      <c r="R54" s="57">
        <v>0</v>
      </c>
      <c r="S54" s="57">
        <v>0</v>
      </c>
      <c r="T54" s="57">
        <v>0</v>
      </c>
      <c r="U54" s="57">
        <v>0</v>
      </c>
    </row>
    <row r="55" spans="2:21" x14ac:dyDescent="0.25">
      <c r="B55" s="56" t="s">
        <v>230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8">
        <v>899.81</v>
      </c>
      <c r="M55" s="58">
        <v>281.64999999999998</v>
      </c>
      <c r="N55" s="57">
        <v>0</v>
      </c>
      <c r="O55" s="58">
        <v>1181.46</v>
      </c>
      <c r="P55" s="57">
        <v>0</v>
      </c>
      <c r="Q55" s="58">
        <v>-1181.46</v>
      </c>
      <c r="R55" s="57">
        <v>0</v>
      </c>
      <c r="S55" s="57">
        <v>0</v>
      </c>
      <c r="T55" s="57">
        <v>0</v>
      </c>
      <c r="U55" s="57">
        <v>0</v>
      </c>
    </row>
    <row r="56" spans="2:21" x14ac:dyDescent="0.25">
      <c r="B56" s="56" t="s">
        <v>308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581.6</v>
      </c>
      <c r="M56" s="57">
        <v>0</v>
      </c>
      <c r="N56" s="57">
        <v>0</v>
      </c>
      <c r="O56" s="58">
        <v>581.6</v>
      </c>
      <c r="P56" s="57">
        <v>0</v>
      </c>
      <c r="Q56" s="58">
        <v>-581.6</v>
      </c>
      <c r="R56" s="57">
        <v>0</v>
      </c>
      <c r="S56" s="57">
        <v>0</v>
      </c>
      <c r="T56" s="57">
        <v>0</v>
      </c>
      <c r="U56" s="57">
        <v>0</v>
      </c>
    </row>
    <row r="57" spans="2:21" x14ac:dyDescent="0.25">
      <c r="B57" s="53" t="s">
        <v>231</v>
      </c>
      <c r="C57" s="55">
        <v>0</v>
      </c>
      <c r="D57" s="55">
        <v>0</v>
      </c>
      <c r="E57" s="55">
        <v>0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4">
        <v>112316.7</v>
      </c>
      <c r="M57" s="54">
        <v>22156.44</v>
      </c>
      <c r="N57" s="55">
        <v>0</v>
      </c>
      <c r="O57" s="54">
        <v>134473.14000000001</v>
      </c>
      <c r="P57" s="54">
        <v>158400</v>
      </c>
      <c r="Q57" s="54">
        <v>23926.86</v>
      </c>
      <c r="R57" s="54">
        <v>172800</v>
      </c>
      <c r="S57" s="54">
        <v>15.1053</v>
      </c>
      <c r="T57" s="54">
        <v>14400</v>
      </c>
      <c r="U57" s="55">
        <v>0</v>
      </c>
    </row>
    <row r="58" spans="2:21" x14ac:dyDescent="0.25">
      <c r="B58" s="56" t="s">
        <v>232</v>
      </c>
      <c r="C58" s="57">
        <v>0</v>
      </c>
      <c r="D58" s="57">
        <v>0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7">
        <v>0</v>
      </c>
      <c r="K58" s="57">
        <v>0</v>
      </c>
      <c r="L58" s="58">
        <v>3626.99</v>
      </c>
      <c r="M58" s="58">
        <v>1831.65</v>
      </c>
      <c r="N58" s="57">
        <v>0</v>
      </c>
      <c r="O58" s="58">
        <v>5458.64</v>
      </c>
      <c r="P58" s="58">
        <v>286905.3</v>
      </c>
      <c r="Q58" s="58">
        <v>281446.65999999997</v>
      </c>
      <c r="R58" s="58">
        <v>312987.59999999998</v>
      </c>
      <c r="S58" s="58">
        <v>98.097399999999993</v>
      </c>
      <c r="T58" s="58">
        <v>26082.3</v>
      </c>
      <c r="U58" s="57">
        <v>0</v>
      </c>
    </row>
    <row r="59" spans="2:21" x14ac:dyDescent="0.25">
      <c r="B59" s="56" t="s">
        <v>234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281.49</v>
      </c>
      <c r="M59" s="57">
        <v>0</v>
      </c>
      <c r="N59" s="57">
        <v>0</v>
      </c>
      <c r="O59" s="58">
        <v>281.49</v>
      </c>
      <c r="P59" s="57">
        <v>0</v>
      </c>
      <c r="Q59" s="58">
        <v>-281.49</v>
      </c>
      <c r="R59" s="57">
        <v>0</v>
      </c>
      <c r="S59" s="57">
        <v>0</v>
      </c>
      <c r="T59" s="57">
        <v>0</v>
      </c>
      <c r="U59" s="57">
        <v>0</v>
      </c>
    </row>
    <row r="60" spans="2:21" x14ac:dyDescent="0.25">
      <c r="B60" s="56" t="s">
        <v>235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8">
        <v>225214.86</v>
      </c>
      <c r="M60" s="58">
        <v>21351.35</v>
      </c>
      <c r="N60" s="57">
        <v>0</v>
      </c>
      <c r="O60" s="58">
        <v>246566.21</v>
      </c>
      <c r="P60" s="57">
        <v>0</v>
      </c>
      <c r="Q60" s="58">
        <v>-246566.21</v>
      </c>
      <c r="R60" s="57">
        <v>0</v>
      </c>
      <c r="S60" s="57">
        <v>0</v>
      </c>
      <c r="T60" s="57">
        <v>0</v>
      </c>
      <c r="U60" s="57">
        <v>0</v>
      </c>
    </row>
    <row r="61" spans="2:21" x14ac:dyDescent="0.25">
      <c r="B61" s="53" t="s">
        <v>236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4">
        <v>229123.34</v>
      </c>
      <c r="M61" s="54">
        <v>23183</v>
      </c>
      <c r="N61" s="55">
        <v>0</v>
      </c>
      <c r="O61" s="54">
        <v>252306.34</v>
      </c>
      <c r="P61" s="54">
        <v>286905.3</v>
      </c>
      <c r="Q61" s="54">
        <v>34598.959999999999</v>
      </c>
      <c r="R61" s="54">
        <v>312987.59999999998</v>
      </c>
      <c r="S61" s="54">
        <v>12.0594</v>
      </c>
      <c r="T61" s="54">
        <v>26082.3</v>
      </c>
      <c r="U61" s="55">
        <v>0</v>
      </c>
    </row>
    <row r="62" spans="2:21" x14ac:dyDescent="0.25">
      <c r="B62" s="56" t="s">
        <v>237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188914.55</v>
      </c>
      <c r="M62" s="58">
        <v>19294.89</v>
      </c>
      <c r="N62" s="57">
        <v>0</v>
      </c>
      <c r="O62" s="58">
        <v>208209.44</v>
      </c>
      <c r="P62" s="58">
        <v>188478.18</v>
      </c>
      <c r="Q62" s="58">
        <v>-19731.259999999998</v>
      </c>
      <c r="R62" s="58">
        <v>205612.56</v>
      </c>
      <c r="S62" s="58">
        <v>-10.4687</v>
      </c>
      <c r="T62" s="58">
        <v>17134.38</v>
      </c>
      <c r="U62" s="57">
        <v>0</v>
      </c>
    </row>
    <row r="63" spans="2:21" x14ac:dyDescent="0.25">
      <c r="B63" s="53" t="s">
        <v>238</v>
      </c>
      <c r="C63" s="55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4">
        <v>188914.55</v>
      </c>
      <c r="M63" s="54">
        <v>19294.89</v>
      </c>
      <c r="N63" s="55">
        <v>0</v>
      </c>
      <c r="O63" s="54">
        <v>208209.44</v>
      </c>
      <c r="P63" s="54">
        <v>188478.18</v>
      </c>
      <c r="Q63" s="54">
        <v>-19731.259999999998</v>
      </c>
      <c r="R63" s="54">
        <v>205612.56</v>
      </c>
      <c r="S63" s="54">
        <v>-10.4687</v>
      </c>
      <c r="T63" s="54">
        <v>17134.38</v>
      </c>
      <c r="U63" s="55">
        <v>0</v>
      </c>
    </row>
    <row r="64" spans="2:21" x14ac:dyDescent="0.25">
      <c r="B64" s="53" t="s">
        <v>239</v>
      </c>
      <c r="C64" s="55">
        <v>0</v>
      </c>
      <c r="D64" s="55">
        <v>0</v>
      </c>
      <c r="E64" s="55">
        <v>0</v>
      </c>
      <c r="F64" s="55">
        <v>0</v>
      </c>
      <c r="G64" s="55">
        <v>0</v>
      </c>
      <c r="H64" s="55">
        <v>0</v>
      </c>
      <c r="I64" s="55">
        <v>0</v>
      </c>
      <c r="J64" s="55">
        <v>0</v>
      </c>
      <c r="K64" s="55">
        <v>0</v>
      </c>
      <c r="L64" s="54">
        <v>1642346.86</v>
      </c>
      <c r="M64" s="54">
        <v>178006.95</v>
      </c>
      <c r="N64" s="55">
        <v>0</v>
      </c>
      <c r="O64" s="54">
        <v>1820353.81</v>
      </c>
      <c r="P64" s="54">
        <v>1637432</v>
      </c>
      <c r="Q64" s="54">
        <v>-182921.81</v>
      </c>
      <c r="R64" s="54">
        <v>1746744</v>
      </c>
      <c r="S64" s="54">
        <v>-11.1713</v>
      </c>
      <c r="T64" s="54">
        <v>87312</v>
      </c>
      <c r="U64" s="55">
        <v>0</v>
      </c>
    </row>
    <row r="65" spans="2:21" x14ac:dyDescent="0.25">
      <c r="B65" s="56" t="s">
        <v>240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8">
        <v>162271</v>
      </c>
      <c r="M65" s="58">
        <v>14845.93</v>
      </c>
      <c r="N65" s="57">
        <v>0</v>
      </c>
      <c r="O65" s="58">
        <v>177116.93</v>
      </c>
      <c r="P65" s="58">
        <v>240000</v>
      </c>
      <c r="Q65" s="58">
        <v>62883.07</v>
      </c>
      <c r="R65" s="58">
        <v>240000</v>
      </c>
      <c r="S65" s="58">
        <v>26.2013</v>
      </c>
      <c r="T65" s="57">
        <v>0</v>
      </c>
      <c r="U65" s="57">
        <v>0</v>
      </c>
    </row>
    <row r="66" spans="2:21" x14ac:dyDescent="0.25">
      <c r="B66" s="53" t="s">
        <v>241</v>
      </c>
      <c r="C66" s="55">
        <v>0</v>
      </c>
      <c r="D66" s="55">
        <v>0</v>
      </c>
      <c r="E66" s="55">
        <v>0</v>
      </c>
      <c r="F66" s="55">
        <v>0</v>
      </c>
      <c r="G66" s="55">
        <v>0</v>
      </c>
      <c r="H66" s="55">
        <v>0</v>
      </c>
      <c r="I66" s="55">
        <v>0</v>
      </c>
      <c r="J66" s="55">
        <v>0</v>
      </c>
      <c r="K66" s="55">
        <v>0</v>
      </c>
      <c r="L66" s="54">
        <v>162271</v>
      </c>
      <c r="M66" s="54">
        <v>14845.93</v>
      </c>
      <c r="N66" s="55">
        <v>0</v>
      </c>
      <c r="O66" s="54">
        <v>177116.93</v>
      </c>
      <c r="P66" s="54">
        <v>240000</v>
      </c>
      <c r="Q66" s="54">
        <v>62883.07</v>
      </c>
      <c r="R66" s="54">
        <v>240000</v>
      </c>
      <c r="S66" s="54">
        <v>26.2013</v>
      </c>
      <c r="T66" s="55">
        <v>0</v>
      </c>
      <c r="U66" s="55">
        <v>0</v>
      </c>
    </row>
    <row r="67" spans="2:21" x14ac:dyDescent="0.25">
      <c r="B67" s="56" t="s">
        <v>242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8">
        <v>12279.54</v>
      </c>
      <c r="M67" s="57">
        <v>0</v>
      </c>
      <c r="N67" s="57">
        <v>0</v>
      </c>
      <c r="O67" s="58">
        <v>12279.54</v>
      </c>
      <c r="P67" s="57">
        <v>0</v>
      </c>
      <c r="Q67" s="58">
        <v>-12279.54</v>
      </c>
      <c r="R67" s="57">
        <v>0</v>
      </c>
      <c r="S67" s="57">
        <v>0</v>
      </c>
      <c r="T67" s="57">
        <v>0</v>
      </c>
      <c r="U67" s="57">
        <v>0</v>
      </c>
    </row>
    <row r="68" spans="2:21" x14ac:dyDescent="0.25">
      <c r="B68" s="56" t="s">
        <v>243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1723.55</v>
      </c>
      <c r="M68" s="57">
        <v>0</v>
      </c>
      <c r="N68" s="57">
        <v>0</v>
      </c>
      <c r="O68" s="58">
        <v>1723.55</v>
      </c>
      <c r="P68" s="57">
        <v>0</v>
      </c>
      <c r="Q68" s="58">
        <v>-1723.55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5">
      <c r="B69" s="56" t="s">
        <v>244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8">
        <v>240456.1</v>
      </c>
      <c r="M69" s="58">
        <v>14841.97</v>
      </c>
      <c r="N69" s="57">
        <v>0</v>
      </c>
      <c r="O69" s="58">
        <v>255298.07</v>
      </c>
      <c r="P69" s="58">
        <v>628000</v>
      </c>
      <c r="Q69" s="58">
        <v>372701.93</v>
      </c>
      <c r="R69" s="58">
        <v>656000</v>
      </c>
      <c r="S69" s="58">
        <v>59.3474</v>
      </c>
      <c r="T69" s="58">
        <v>28000</v>
      </c>
      <c r="U69" s="57">
        <v>0</v>
      </c>
    </row>
    <row r="70" spans="2:21" x14ac:dyDescent="0.25">
      <c r="B70" s="56" t="s">
        <v>245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8">
        <v>63443.95</v>
      </c>
      <c r="M70" s="58">
        <v>4842.6400000000003</v>
      </c>
      <c r="N70" s="57">
        <v>0</v>
      </c>
      <c r="O70" s="58">
        <v>68286.59</v>
      </c>
      <c r="P70" s="57">
        <v>0</v>
      </c>
      <c r="Q70" s="58">
        <v>-68286.59</v>
      </c>
      <c r="R70" s="57">
        <v>0</v>
      </c>
      <c r="S70" s="57">
        <v>0</v>
      </c>
      <c r="T70" s="57">
        <v>0</v>
      </c>
      <c r="U70" s="57">
        <v>0</v>
      </c>
    </row>
    <row r="71" spans="2:21" x14ac:dyDescent="0.25">
      <c r="B71" s="56" t="s">
        <v>246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54743.01</v>
      </c>
      <c r="M71" s="58">
        <v>21719.68</v>
      </c>
      <c r="N71" s="57">
        <v>0</v>
      </c>
      <c r="O71" s="58">
        <v>76462.69</v>
      </c>
      <c r="P71" s="57">
        <v>0</v>
      </c>
      <c r="Q71" s="58">
        <v>-76462.69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5">
      <c r="B72" s="56" t="s">
        <v>247</v>
      </c>
      <c r="C72" s="57">
        <v>0</v>
      </c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8">
        <v>22355.599999999999</v>
      </c>
      <c r="M72" s="58">
        <v>14547.67</v>
      </c>
      <c r="N72" s="57">
        <v>0</v>
      </c>
      <c r="O72" s="58">
        <v>36903.269999999997</v>
      </c>
      <c r="P72" s="57">
        <v>0</v>
      </c>
      <c r="Q72" s="58">
        <v>-36903.269999999997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5">
      <c r="B73" s="56" t="s">
        <v>248</v>
      </c>
      <c r="C73" s="57">
        <v>0</v>
      </c>
      <c r="D73" s="57">
        <v>0</v>
      </c>
      <c r="E73" s="57">
        <v>0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8">
        <v>161004.07</v>
      </c>
      <c r="M73" s="58">
        <v>8588.4699999999993</v>
      </c>
      <c r="N73" s="57">
        <v>0</v>
      </c>
      <c r="O73" s="58">
        <v>169592.54</v>
      </c>
      <c r="P73" s="57">
        <v>0</v>
      </c>
      <c r="Q73" s="58">
        <v>-169592.54</v>
      </c>
      <c r="R73" s="57">
        <v>0</v>
      </c>
      <c r="S73" s="57">
        <v>0</v>
      </c>
      <c r="T73" s="57">
        <v>0</v>
      </c>
      <c r="U73" s="57">
        <v>0</v>
      </c>
    </row>
    <row r="74" spans="2:21" x14ac:dyDescent="0.25">
      <c r="B74" s="56" t="s">
        <v>249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8">
        <v>74441.47</v>
      </c>
      <c r="M74" s="58">
        <v>5670.05</v>
      </c>
      <c r="N74" s="57">
        <v>0</v>
      </c>
      <c r="O74" s="58">
        <v>80111.520000000004</v>
      </c>
      <c r="P74" s="57">
        <v>0</v>
      </c>
      <c r="Q74" s="58">
        <v>-80111.520000000004</v>
      </c>
      <c r="R74" s="57">
        <v>0</v>
      </c>
      <c r="S74" s="57">
        <v>0</v>
      </c>
      <c r="T74" s="57">
        <v>0</v>
      </c>
      <c r="U74" s="57">
        <v>0</v>
      </c>
    </row>
    <row r="75" spans="2:21" x14ac:dyDescent="0.25">
      <c r="B75" s="56" t="s">
        <v>250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8">
        <v>39851.589999999997</v>
      </c>
      <c r="M75" s="58">
        <v>7254.6</v>
      </c>
      <c r="N75" s="57">
        <v>0</v>
      </c>
      <c r="O75" s="58">
        <v>47106.19</v>
      </c>
      <c r="P75" s="57">
        <v>0</v>
      </c>
      <c r="Q75" s="58">
        <v>-47106.19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5">
      <c r="B76" s="53" t="s">
        <v>251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4">
        <v>670298.88</v>
      </c>
      <c r="M76" s="54">
        <v>77465.08</v>
      </c>
      <c r="N76" s="55">
        <v>0</v>
      </c>
      <c r="O76" s="54">
        <v>747763.96</v>
      </c>
      <c r="P76" s="54">
        <v>628000</v>
      </c>
      <c r="Q76" s="54">
        <v>-119763.96</v>
      </c>
      <c r="R76" s="54">
        <v>656000</v>
      </c>
      <c r="S76" s="54">
        <v>-19.070699999999999</v>
      </c>
      <c r="T76" s="54">
        <v>28000</v>
      </c>
      <c r="U76" s="55">
        <v>0</v>
      </c>
    </row>
    <row r="77" spans="2:21" x14ac:dyDescent="0.25">
      <c r="B77" s="56" t="s">
        <v>252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8">
        <v>327637.14</v>
      </c>
      <c r="M77" s="58">
        <v>43333.95</v>
      </c>
      <c r="N77" s="57">
        <v>0</v>
      </c>
      <c r="O77" s="58">
        <v>370971.09</v>
      </c>
      <c r="P77" s="58">
        <v>280000</v>
      </c>
      <c r="Q77" s="58">
        <v>-90971.09</v>
      </c>
      <c r="R77" s="58">
        <v>300000</v>
      </c>
      <c r="S77" s="58">
        <v>-32.489699999999999</v>
      </c>
      <c r="T77" s="58">
        <v>20000</v>
      </c>
      <c r="U77" s="57">
        <v>0</v>
      </c>
    </row>
    <row r="78" spans="2:21" x14ac:dyDescent="0.25">
      <c r="B78" s="56" t="s">
        <v>253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8">
        <v>1213.44</v>
      </c>
      <c r="M78" s="57">
        <v>0</v>
      </c>
      <c r="N78" s="57">
        <v>0</v>
      </c>
      <c r="O78" s="58">
        <v>1213.44</v>
      </c>
      <c r="P78" s="57">
        <v>0</v>
      </c>
      <c r="Q78" s="58">
        <v>-1213.44</v>
      </c>
      <c r="R78" s="57">
        <v>0</v>
      </c>
      <c r="S78" s="57">
        <v>0</v>
      </c>
      <c r="T78" s="57">
        <v>0</v>
      </c>
      <c r="U78" s="57">
        <v>0</v>
      </c>
    </row>
    <row r="79" spans="2:21" x14ac:dyDescent="0.25">
      <c r="B79" s="53" t="s">
        <v>254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4">
        <v>328850.58</v>
      </c>
      <c r="M79" s="54">
        <v>43333.95</v>
      </c>
      <c r="N79" s="55">
        <v>0</v>
      </c>
      <c r="O79" s="54">
        <v>372184.53</v>
      </c>
      <c r="P79" s="54">
        <v>280000</v>
      </c>
      <c r="Q79" s="54">
        <v>-92184.53</v>
      </c>
      <c r="R79" s="54">
        <v>300000</v>
      </c>
      <c r="S79" s="54">
        <v>-32.923000000000002</v>
      </c>
      <c r="T79" s="54">
        <v>20000</v>
      </c>
      <c r="U79" s="55">
        <v>0</v>
      </c>
    </row>
    <row r="80" spans="2:21" x14ac:dyDescent="0.25">
      <c r="B80" s="56" t="s">
        <v>258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107362.99</v>
      </c>
      <c r="M80" s="58">
        <v>3913.95</v>
      </c>
      <c r="N80" s="57">
        <v>0</v>
      </c>
      <c r="O80" s="58">
        <v>111276.94</v>
      </c>
      <c r="P80" s="58">
        <v>70000</v>
      </c>
      <c r="Q80" s="58">
        <v>-41276.94</v>
      </c>
      <c r="R80" s="58">
        <v>76000</v>
      </c>
      <c r="S80" s="58">
        <v>-58.967100000000002</v>
      </c>
      <c r="T80" s="58">
        <v>6000</v>
      </c>
      <c r="U80" s="57">
        <v>0</v>
      </c>
    </row>
    <row r="81" spans="2:21" x14ac:dyDescent="0.25">
      <c r="B81" s="53" t="s">
        <v>259</v>
      </c>
      <c r="C81" s="55">
        <v>0</v>
      </c>
      <c r="D81" s="55">
        <v>0</v>
      </c>
      <c r="E81" s="55">
        <v>0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4">
        <v>107362.99</v>
      </c>
      <c r="M81" s="54">
        <v>3913.95</v>
      </c>
      <c r="N81" s="55">
        <v>0</v>
      </c>
      <c r="O81" s="54">
        <v>111276.94</v>
      </c>
      <c r="P81" s="54">
        <v>70000</v>
      </c>
      <c r="Q81" s="54">
        <v>-41276.94</v>
      </c>
      <c r="R81" s="54">
        <v>76000</v>
      </c>
      <c r="S81" s="54">
        <v>-58.967100000000002</v>
      </c>
      <c r="T81" s="54">
        <v>6000</v>
      </c>
      <c r="U81" s="55">
        <v>0</v>
      </c>
    </row>
    <row r="82" spans="2:21" x14ac:dyDescent="0.25">
      <c r="B82" s="53" t="s">
        <v>260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4">
        <v>120443.41</v>
      </c>
      <c r="M82" s="54">
        <v>13136.04</v>
      </c>
      <c r="N82" s="55">
        <v>0</v>
      </c>
      <c r="O82" s="54">
        <v>133579.45000000001</v>
      </c>
      <c r="P82" s="54">
        <v>141000</v>
      </c>
      <c r="Q82" s="54">
        <v>7420.55</v>
      </c>
      <c r="R82" s="54">
        <v>171000</v>
      </c>
      <c r="S82" s="54">
        <v>5.2628000000000004</v>
      </c>
      <c r="T82" s="54">
        <v>8000</v>
      </c>
      <c r="U82" s="55">
        <v>0</v>
      </c>
    </row>
    <row r="83" spans="2:21" x14ac:dyDescent="0.25">
      <c r="B83" s="56" t="s">
        <v>261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8">
        <v>3160.01</v>
      </c>
      <c r="M83" s="57">
        <v>0</v>
      </c>
      <c r="N83" s="57">
        <v>0</v>
      </c>
      <c r="O83" s="58">
        <v>3160.01</v>
      </c>
      <c r="P83" s="58">
        <v>56000</v>
      </c>
      <c r="Q83" s="58">
        <v>52839.99</v>
      </c>
      <c r="R83" s="58">
        <v>56000</v>
      </c>
      <c r="S83" s="58">
        <v>94.357100000000003</v>
      </c>
      <c r="T83" s="57">
        <v>0</v>
      </c>
      <c r="U83" s="57">
        <v>0</v>
      </c>
    </row>
    <row r="84" spans="2:21" x14ac:dyDescent="0.25">
      <c r="B84" s="53" t="s">
        <v>262</v>
      </c>
      <c r="C84" s="55">
        <v>0</v>
      </c>
      <c r="D84" s="55">
        <v>0</v>
      </c>
      <c r="E84" s="55">
        <v>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4">
        <v>3160.01</v>
      </c>
      <c r="M84" s="55">
        <v>0</v>
      </c>
      <c r="N84" s="55">
        <v>0</v>
      </c>
      <c r="O84" s="54">
        <v>3160.01</v>
      </c>
      <c r="P84" s="54">
        <v>56000</v>
      </c>
      <c r="Q84" s="54">
        <v>52839.99</v>
      </c>
      <c r="R84" s="54">
        <v>56000</v>
      </c>
      <c r="S84" s="54">
        <v>94.357100000000003</v>
      </c>
      <c r="T84" s="55">
        <v>0</v>
      </c>
      <c r="U84" s="55">
        <v>0</v>
      </c>
    </row>
    <row r="85" spans="2:21" x14ac:dyDescent="0.25">
      <c r="B85" s="56" t="s">
        <v>263</v>
      </c>
      <c r="C85" s="57">
        <v>0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8">
        <v>4114.08</v>
      </c>
      <c r="M85" s="58">
        <v>247.89</v>
      </c>
      <c r="N85" s="57">
        <v>0</v>
      </c>
      <c r="O85" s="58">
        <v>4361.97</v>
      </c>
      <c r="P85" s="57">
        <v>0</v>
      </c>
      <c r="Q85" s="58">
        <v>-4361.97</v>
      </c>
      <c r="R85" s="57">
        <v>0</v>
      </c>
      <c r="S85" s="57">
        <v>0</v>
      </c>
      <c r="T85" s="57">
        <v>0</v>
      </c>
      <c r="U85" s="57">
        <v>0</v>
      </c>
    </row>
    <row r="86" spans="2:21" x14ac:dyDescent="0.25">
      <c r="B86" s="56" t="s">
        <v>264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8">
        <v>43553.61</v>
      </c>
      <c r="M86" s="58">
        <v>3450.72</v>
      </c>
      <c r="N86" s="57">
        <v>0</v>
      </c>
      <c r="O86" s="58">
        <v>47004.33</v>
      </c>
      <c r="P86" s="58">
        <v>63000</v>
      </c>
      <c r="Q86" s="58">
        <v>15995.67</v>
      </c>
      <c r="R86" s="58">
        <v>69000</v>
      </c>
      <c r="S86" s="58">
        <v>25.39</v>
      </c>
      <c r="T86" s="58">
        <v>6000</v>
      </c>
      <c r="U86" s="57">
        <v>0</v>
      </c>
    </row>
    <row r="87" spans="2:21" x14ac:dyDescent="0.25">
      <c r="B87" s="56" t="s">
        <v>265</v>
      </c>
      <c r="C87" s="57">
        <v>0</v>
      </c>
      <c r="D87" s="57">
        <v>0</v>
      </c>
      <c r="E87" s="57">
        <v>0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8">
        <v>28455.599999999999</v>
      </c>
      <c r="M87" s="58">
        <v>1982.31</v>
      </c>
      <c r="N87" s="57">
        <v>0</v>
      </c>
      <c r="O87" s="58">
        <v>30437.91</v>
      </c>
      <c r="P87" s="57">
        <v>0</v>
      </c>
      <c r="Q87" s="58">
        <v>-30437.91</v>
      </c>
      <c r="R87" s="57">
        <v>0</v>
      </c>
      <c r="S87" s="57">
        <v>0</v>
      </c>
      <c r="T87" s="57">
        <v>0</v>
      </c>
      <c r="U87" s="57">
        <v>0</v>
      </c>
    </row>
    <row r="88" spans="2:21" x14ac:dyDescent="0.25">
      <c r="B88" s="56" t="s">
        <v>266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8">
        <v>1537.66</v>
      </c>
      <c r="M88" s="58">
        <v>174.16</v>
      </c>
      <c r="N88" s="57">
        <v>0</v>
      </c>
      <c r="O88" s="58">
        <v>1711.82</v>
      </c>
      <c r="P88" s="57">
        <v>0</v>
      </c>
      <c r="Q88" s="58">
        <v>-1711.82</v>
      </c>
      <c r="R88" s="57">
        <v>0</v>
      </c>
      <c r="S88" s="57">
        <v>0</v>
      </c>
      <c r="T88" s="57">
        <v>0</v>
      </c>
      <c r="U88" s="57">
        <v>0</v>
      </c>
    </row>
    <row r="89" spans="2:21" x14ac:dyDescent="0.25">
      <c r="B89" s="53" t="s">
        <v>267</v>
      </c>
      <c r="C89" s="55">
        <v>0</v>
      </c>
      <c r="D89" s="55">
        <v>0</v>
      </c>
      <c r="E89" s="55">
        <v>0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4">
        <v>77660.95</v>
      </c>
      <c r="M89" s="54">
        <v>5855.08</v>
      </c>
      <c r="N89" s="55">
        <v>0</v>
      </c>
      <c r="O89" s="54">
        <v>83516.03</v>
      </c>
      <c r="P89" s="54">
        <v>63000</v>
      </c>
      <c r="Q89" s="54">
        <v>-20516.03</v>
      </c>
      <c r="R89" s="54">
        <v>69000</v>
      </c>
      <c r="S89" s="54">
        <v>-32.565100000000001</v>
      </c>
      <c r="T89" s="54">
        <v>6000</v>
      </c>
      <c r="U89" s="55">
        <v>0</v>
      </c>
    </row>
    <row r="90" spans="2:21" x14ac:dyDescent="0.25">
      <c r="B90" s="56" t="s">
        <v>268</v>
      </c>
      <c r="C90" s="57">
        <v>0</v>
      </c>
      <c r="D90" s="57">
        <v>0</v>
      </c>
      <c r="E90" s="57">
        <v>0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8">
        <v>39622.449999999997</v>
      </c>
      <c r="M90" s="58">
        <v>7280.96</v>
      </c>
      <c r="N90" s="57">
        <v>0</v>
      </c>
      <c r="O90" s="58">
        <v>46903.41</v>
      </c>
      <c r="P90" s="58">
        <v>22000</v>
      </c>
      <c r="Q90" s="58">
        <v>-24903.41</v>
      </c>
      <c r="R90" s="58">
        <v>46000</v>
      </c>
      <c r="S90" s="58">
        <v>-113.1973</v>
      </c>
      <c r="T90" s="58">
        <v>2000</v>
      </c>
      <c r="U90" s="57">
        <v>0</v>
      </c>
    </row>
    <row r="91" spans="2:21" x14ac:dyDescent="0.25">
      <c r="B91" s="53" t="s">
        <v>269</v>
      </c>
      <c r="C91" s="55">
        <v>0</v>
      </c>
      <c r="D91" s="55">
        <v>0</v>
      </c>
      <c r="E91" s="55">
        <v>0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4">
        <v>39622.449999999997</v>
      </c>
      <c r="M91" s="54">
        <v>7280.96</v>
      </c>
      <c r="N91" s="55">
        <v>0</v>
      </c>
      <c r="O91" s="54">
        <v>46903.41</v>
      </c>
      <c r="P91" s="54">
        <v>22000</v>
      </c>
      <c r="Q91" s="54">
        <v>-24903.41</v>
      </c>
      <c r="R91" s="54">
        <v>46000</v>
      </c>
      <c r="S91" s="54">
        <v>-113.1973</v>
      </c>
      <c r="T91" s="54">
        <v>2000</v>
      </c>
      <c r="U91" s="55">
        <v>0</v>
      </c>
    </row>
    <row r="92" spans="2:21" x14ac:dyDescent="0.25">
      <c r="B92" s="56" t="s">
        <v>270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8">
        <v>253120</v>
      </c>
      <c r="M92" s="58">
        <v>25312</v>
      </c>
      <c r="N92" s="57">
        <v>0</v>
      </c>
      <c r="O92" s="58">
        <v>278432</v>
      </c>
      <c r="P92" s="58">
        <v>278432</v>
      </c>
      <c r="Q92" s="57">
        <v>0</v>
      </c>
      <c r="R92" s="58">
        <v>303744</v>
      </c>
      <c r="S92" s="57">
        <v>0</v>
      </c>
      <c r="T92" s="58">
        <v>25312</v>
      </c>
      <c r="U92" s="57">
        <v>0</v>
      </c>
    </row>
    <row r="93" spans="2:21" x14ac:dyDescent="0.25">
      <c r="B93" s="53" t="s">
        <v>271</v>
      </c>
      <c r="C93" s="55">
        <v>0</v>
      </c>
      <c r="D93" s="55">
        <v>0</v>
      </c>
      <c r="E93" s="55">
        <v>0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4">
        <v>253120</v>
      </c>
      <c r="M93" s="54">
        <v>25312</v>
      </c>
      <c r="N93" s="55">
        <v>0</v>
      </c>
      <c r="O93" s="54">
        <v>278432</v>
      </c>
      <c r="P93" s="54">
        <v>278432</v>
      </c>
      <c r="Q93" s="55">
        <v>0</v>
      </c>
      <c r="R93" s="54">
        <v>303744</v>
      </c>
      <c r="S93" s="55">
        <v>0</v>
      </c>
      <c r="T93" s="54">
        <v>25312</v>
      </c>
      <c r="U93" s="55">
        <v>0</v>
      </c>
    </row>
    <row r="94" spans="2:21" x14ac:dyDescent="0.25">
      <c r="B94" s="56" t="s">
        <v>255</v>
      </c>
      <c r="C94" s="57">
        <v>0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7">
        <v>0</v>
      </c>
      <c r="P94" s="58">
        <v>291666.69</v>
      </c>
      <c r="Q94" s="58">
        <v>291666.69</v>
      </c>
      <c r="R94" s="58">
        <v>333333.36</v>
      </c>
      <c r="S94" s="58">
        <v>100</v>
      </c>
      <c r="T94" s="58">
        <v>41666.67</v>
      </c>
      <c r="U94" s="57">
        <v>0</v>
      </c>
    </row>
    <row r="95" spans="2:21" x14ac:dyDescent="0.25">
      <c r="B95" s="56" t="s">
        <v>256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8">
        <v>365240.23</v>
      </c>
      <c r="M95" s="58">
        <v>60873.37</v>
      </c>
      <c r="N95" s="57">
        <v>0</v>
      </c>
      <c r="O95" s="58">
        <v>426113.6</v>
      </c>
      <c r="P95" s="57">
        <v>0</v>
      </c>
      <c r="Q95" s="58">
        <v>-426113.6</v>
      </c>
      <c r="R95" s="57">
        <v>0</v>
      </c>
      <c r="S95" s="57">
        <v>0</v>
      </c>
      <c r="T95" s="57">
        <v>0</v>
      </c>
      <c r="U95" s="57">
        <v>0</v>
      </c>
    </row>
    <row r="96" spans="2:21" x14ac:dyDescent="0.25">
      <c r="B96" s="56" t="s">
        <v>540</v>
      </c>
      <c r="C96" s="57">
        <v>0</v>
      </c>
      <c r="D96" s="57">
        <v>0</v>
      </c>
      <c r="E96" s="57">
        <v>0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8">
        <v>98962</v>
      </c>
      <c r="M96" s="58">
        <v>49481</v>
      </c>
      <c r="N96" s="57">
        <v>0</v>
      </c>
      <c r="O96" s="58">
        <v>148443</v>
      </c>
      <c r="P96" s="57">
        <v>0</v>
      </c>
      <c r="Q96" s="58">
        <v>-148443</v>
      </c>
      <c r="R96" s="57">
        <v>0</v>
      </c>
      <c r="S96" s="57">
        <v>0</v>
      </c>
      <c r="T96" s="57">
        <v>0</v>
      </c>
      <c r="U96" s="57">
        <v>0</v>
      </c>
    </row>
    <row r="97" spans="2:21" x14ac:dyDescent="0.25">
      <c r="B97" s="53" t="s">
        <v>257</v>
      </c>
      <c r="C97" s="55">
        <v>0</v>
      </c>
      <c r="D97" s="55">
        <v>0</v>
      </c>
      <c r="E97" s="55">
        <v>0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4">
        <v>464202.23</v>
      </c>
      <c r="M97" s="54">
        <v>110354.37</v>
      </c>
      <c r="N97" s="55">
        <v>0</v>
      </c>
      <c r="O97" s="54">
        <v>574556.6</v>
      </c>
      <c r="P97" s="54">
        <v>291666.69</v>
      </c>
      <c r="Q97" s="54">
        <v>-282889.90999999997</v>
      </c>
      <c r="R97" s="54">
        <v>333333.36</v>
      </c>
      <c r="S97" s="54">
        <v>-96.990799999999993</v>
      </c>
      <c r="T97" s="54">
        <v>41666.67</v>
      </c>
      <c r="U97" s="55">
        <v>0</v>
      </c>
    </row>
    <row r="98" spans="2:21" x14ac:dyDescent="0.25">
      <c r="B98" s="53" t="s">
        <v>272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165972.6</v>
      </c>
      <c r="M98" s="54">
        <v>23480.53</v>
      </c>
      <c r="N98" s="55">
        <v>0</v>
      </c>
      <c r="O98" s="54">
        <v>189453.13</v>
      </c>
      <c r="P98" s="54">
        <v>136793.34</v>
      </c>
      <c r="Q98" s="54">
        <v>-52659.79</v>
      </c>
      <c r="R98" s="54">
        <v>149501.49</v>
      </c>
      <c r="S98" s="54">
        <v>-38.495899999999999</v>
      </c>
      <c r="T98" s="54">
        <v>12298.21</v>
      </c>
      <c r="U98" s="55">
        <v>0</v>
      </c>
    </row>
    <row r="99" spans="2:21" x14ac:dyDescent="0.25">
      <c r="B99" s="56" t="s">
        <v>273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8">
        <v>101001.31</v>
      </c>
      <c r="M99" s="58">
        <v>15373.65</v>
      </c>
      <c r="N99" s="57">
        <v>0</v>
      </c>
      <c r="O99" s="58">
        <v>116374.96</v>
      </c>
      <c r="P99" s="58">
        <v>49350.41</v>
      </c>
      <c r="Q99" s="58">
        <v>-67024.55</v>
      </c>
      <c r="R99" s="58">
        <v>53918.61</v>
      </c>
      <c r="S99" s="58">
        <v>-135.81360000000001</v>
      </c>
      <c r="T99" s="58">
        <v>4420.84</v>
      </c>
      <c r="U99" s="57">
        <v>0</v>
      </c>
    </row>
    <row r="100" spans="2:21" x14ac:dyDescent="0.25">
      <c r="B100" s="53" t="s">
        <v>274</v>
      </c>
      <c r="C100" s="55">
        <v>0</v>
      </c>
      <c r="D100" s="55">
        <v>0</v>
      </c>
      <c r="E100" s="55">
        <v>0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  <c r="K100" s="55">
        <v>0</v>
      </c>
      <c r="L100" s="54">
        <v>101001.31</v>
      </c>
      <c r="M100" s="54">
        <v>15373.65</v>
      </c>
      <c r="N100" s="55">
        <v>0</v>
      </c>
      <c r="O100" s="54">
        <v>116374.96</v>
      </c>
      <c r="P100" s="54">
        <v>49350.41</v>
      </c>
      <c r="Q100" s="54">
        <v>-67024.55</v>
      </c>
      <c r="R100" s="54">
        <v>53918.61</v>
      </c>
      <c r="S100" s="54">
        <v>-135.81360000000001</v>
      </c>
      <c r="T100" s="54">
        <v>4420.84</v>
      </c>
      <c r="U100" s="55">
        <v>0</v>
      </c>
    </row>
    <row r="101" spans="2:21" x14ac:dyDescent="0.25">
      <c r="B101" s="56" t="s">
        <v>275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8">
        <v>58167.69</v>
      </c>
      <c r="M101" s="58">
        <v>6492.37</v>
      </c>
      <c r="N101" s="57">
        <v>0</v>
      </c>
      <c r="O101" s="58">
        <v>64660.06</v>
      </c>
      <c r="P101" s="58">
        <v>74615.59</v>
      </c>
      <c r="Q101" s="58">
        <v>9955.5300000000007</v>
      </c>
      <c r="R101" s="58">
        <v>81564.98</v>
      </c>
      <c r="S101" s="58">
        <v>13.3424</v>
      </c>
      <c r="T101" s="58">
        <v>6725.21</v>
      </c>
      <c r="U101" s="57">
        <v>0</v>
      </c>
    </row>
    <row r="102" spans="2:21" x14ac:dyDescent="0.25">
      <c r="B102" s="53" t="s">
        <v>276</v>
      </c>
      <c r="C102" s="55">
        <v>0</v>
      </c>
      <c r="D102" s="55">
        <v>0</v>
      </c>
      <c r="E102" s="55">
        <v>0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4">
        <v>58167.69</v>
      </c>
      <c r="M102" s="54">
        <v>6492.37</v>
      </c>
      <c r="N102" s="55">
        <v>0</v>
      </c>
      <c r="O102" s="54">
        <v>64660.06</v>
      </c>
      <c r="P102" s="54">
        <v>74615.59</v>
      </c>
      <c r="Q102" s="54">
        <v>9955.5300000000007</v>
      </c>
      <c r="R102" s="54">
        <v>81564.98</v>
      </c>
      <c r="S102" s="54">
        <v>13.3424</v>
      </c>
      <c r="T102" s="54">
        <v>6725.21</v>
      </c>
      <c r="U102" s="55">
        <v>0</v>
      </c>
    </row>
    <row r="103" spans="2:21" x14ac:dyDescent="0.25">
      <c r="B103" s="56" t="s">
        <v>277</v>
      </c>
      <c r="C103" s="57">
        <v>0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8">
        <v>6803.6</v>
      </c>
      <c r="M103" s="58">
        <v>1614.51</v>
      </c>
      <c r="N103" s="57">
        <v>0</v>
      </c>
      <c r="O103" s="58">
        <v>8418.11</v>
      </c>
      <c r="P103" s="58">
        <v>12827.34</v>
      </c>
      <c r="Q103" s="58">
        <v>4409.2299999999996</v>
      </c>
      <c r="R103" s="58">
        <v>14017.9</v>
      </c>
      <c r="S103" s="58">
        <v>34.373699999999999</v>
      </c>
      <c r="T103" s="58">
        <v>1152.1600000000001</v>
      </c>
      <c r="U103" s="57">
        <v>0</v>
      </c>
    </row>
    <row r="104" spans="2:21" x14ac:dyDescent="0.25">
      <c r="B104" s="53" t="s">
        <v>278</v>
      </c>
      <c r="C104" s="55">
        <v>0</v>
      </c>
      <c r="D104" s="55">
        <v>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4">
        <v>6803.6</v>
      </c>
      <c r="M104" s="54">
        <v>1614.51</v>
      </c>
      <c r="N104" s="55">
        <v>0</v>
      </c>
      <c r="O104" s="54">
        <v>8418.11</v>
      </c>
      <c r="P104" s="54">
        <v>12827.34</v>
      </c>
      <c r="Q104" s="54">
        <v>4409.2299999999996</v>
      </c>
      <c r="R104" s="54">
        <v>14017.9</v>
      </c>
      <c r="S104" s="54">
        <v>34.373699999999999</v>
      </c>
      <c r="T104" s="54">
        <v>1152.1600000000001</v>
      </c>
      <c r="U104" s="55">
        <v>0</v>
      </c>
    </row>
    <row r="105" spans="2:21" x14ac:dyDescent="0.25">
      <c r="B105" s="53" t="s">
        <v>279</v>
      </c>
      <c r="C105" s="55">
        <v>0</v>
      </c>
      <c r="D105" s="55">
        <v>0</v>
      </c>
      <c r="E105" s="55">
        <v>0</v>
      </c>
      <c r="F105" s="55">
        <v>0</v>
      </c>
      <c r="G105" s="55">
        <v>0</v>
      </c>
      <c r="H105" s="55">
        <v>0</v>
      </c>
      <c r="I105" s="55">
        <v>0</v>
      </c>
      <c r="J105" s="55">
        <v>0</v>
      </c>
      <c r="K105" s="55">
        <v>0</v>
      </c>
      <c r="L105" s="54">
        <v>5479578.6799999997</v>
      </c>
      <c r="M105" s="54">
        <v>630488.31999999995</v>
      </c>
      <c r="N105" s="55">
        <v>0</v>
      </c>
      <c r="O105" s="54">
        <v>6110067</v>
      </c>
      <c r="P105" s="54">
        <v>5440048.1900000004</v>
      </c>
      <c r="Q105" s="54">
        <v>-670018.81000000006</v>
      </c>
      <c r="R105" s="54">
        <v>5903249.7300000004</v>
      </c>
      <c r="S105" s="54">
        <v>-12.3164</v>
      </c>
      <c r="T105" s="54">
        <v>440791.6</v>
      </c>
      <c r="U105" s="55">
        <v>0</v>
      </c>
    </row>
    <row r="106" spans="2:21" x14ac:dyDescent="0.25">
      <c r="B106" s="53" t="s">
        <v>280</v>
      </c>
      <c r="C106" s="55">
        <v>0</v>
      </c>
      <c r="D106" s="55">
        <v>0</v>
      </c>
      <c r="E106" s="55">
        <v>0</v>
      </c>
      <c r="F106" s="55">
        <v>0</v>
      </c>
      <c r="G106" s="55">
        <v>0</v>
      </c>
      <c r="H106" s="55">
        <v>0</v>
      </c>
      <c r="I106" s="55">
        <v>0</v>
      </c>
      <c r="J106" s="55">
        <v>0</v>
      </c>
      <c r="K106" s="55">
        <v>0</v>
      </c>
      <c r="L106" s="54">
        <v>-7023987.2800000003</v>
      </c>
      <c r="M106" s="54">
        <v>-492691.84</v>
      </c>
      <c r="N106" s="55">
        <v>0</v>
      </c>
      <c r="O106" s="54">
        <v>-7516679.1200000001</v>
      </c>
      <c r="P106" s="54">
        <v>-7103052.9100000001</v>
      </c>
      <c r="Q106" s="54">
        <v>413626.21</v>
      </c>
      <c r="R106" s="54">
        <v>-7686272.9000000004</v>
      </c>
      <c r="S106" s="54">
        <v>-5.8231999999999999</v>
      </c>
      <c r="T106" s="54">
        <v>-808446.23</v>
      </c>
      <c r="U106" s="55">
        <v>0</v>
      </c>
    </row>
    <row r="107" spans="2:21" x14ac:dyDescent="0.25">
      <c r="B107" s="56" t="s">
        <v>281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8">
        <v>1659408.52</v>
      </c>
      <c r="Q107" s="58">
        <v>1659408.52</v>
      </c>
      <c r="R107" s="58">
        <v>1810263.84</v>
      </c>
      <c r="S107" s="58">
        <v>100</v>
      </c>
      <c r="T107" s="58">
        <v>150855.32</v>
      </c>
      <c r="U107" s="57">
        <v>0</v>
      </c>
    </row>
    <row r="108" spans="2:21" x14ac:dyDescent="0.25">
      <c r="B108" s="56" t="s">
        <v>282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8">
        <v>1395791.91</v>
      </c>
      <c r="M108" s="58">
        <v>139579.19</v>
      </c>
      <c r="N108" s="57">
        <v>0</v>
      </c>
      <c r="O108" s="58">
        <v>1535371.1</v>
      </c>
      <c r="P108" s="57">
        <v>0</v>
      </c>
      <c r="Q108" s="58">
        <v>-1535371.1</v>
      </c>
      <c r="R108" s="57">
        <v>0</v>
      </c>
      <c r="S108" s="57">
        <v>0</v>
      </c>
      <c r="T108" s="57">
        <v>0</v>
      </c>
      <c r="U108" s="57">
        <v>0</v>
      </c>
    </row>
    <row r="109" spans="2:21" x14ac:dyDescent="0.25">
      <c r="B109" s="56" t="s">
        <v>283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200.84</v>
      </c>
      <c r="M109" s="58">
        <v>18.36</v>
      </c>
      <c r="N109" s="57">
        <v>0</v>
      </c>
      <c r="O109" s="58">
        <v>219.2</v>
      </c>
      <c r="P109" s="57">
        <v>0</v>
      </c>
      <c r="Q109" s="58">
        <v>-219.2</v>
      </c>
      <c r="R109" s="57">
        <v>0</v>
      </c>
      <c r="S109" s="57">
        <v>0</v>
      </c>
      <c r="T109" s="57">
        <v>0</v>
      </c>
      <c r="U109" s="57">
        <v>0</v>
      </c>
    </row>
    <row r="110" spans="2:21" x14ac:dyDescent="0.25">
      <c r="B110" s="56" t="s">
        <v>284</v>
      </c>
      <c r="C110" s="57">
        <v>0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8">
        <v>4317.08</v>
      </c>
      <c r="M110" s="58">
        <v>471.49</v>
      </c>
      <c r="N110" s="57">
        <v>0</v>
      </c>
      <c r="O110" s="58">
        <v>4788.57</v>
      </c>
      <c r="P110" s="57">
        <v>0</v>
      </c>
      <c r="Q110" s="58">
        <v>-4788.57</v>
      </c>
      <c r="R110" s="57">
        <v>0</v>
      </c>
      <c r="S110" s="57">
        <v>0</v>
      </c>
      <c r="T110" s="57">
        <v>0</v>
      </c>
      <c r="U110" s="57">
        <v>0</v>
      </c>
    </row>
    <row r="111" spans="2:21" x14ac:dyDescent="0.25">
      <c r="B111" s="56" t="s">
        <v>285</v>
      </c>
      <c r="C111" s="57">
        <v>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8">
        <v>1538.8</v>
      </c>
      <c r="M111" s="58">
        <v>151.93</v>
      </c>
      <c r="N111" s="57">
        <v>0</v>
      </c>
      <c r="O111" s="58">
        <v>1690.73</v>
      </c>
      <c r="P111" s="57">
        <v>0</v>
      </c>
      <c r="Q111" s="58">
        <v>-1690.73</v>
      </c>
      <c r="R111" s="57">
        <v>0</v>
      </c>
      <c r="S111" s="57">
        <v>0</v>
      </c>
      <c r="T111" s="57">
        <v>0</v>
      </c>
      <c r="U111" s="57">
        <v>0</v>
      </c>
    </row>
    <row r="112" spans="2:21" x14ac:dyDescent="0.25">
      <c r="B112" s="56" t="s">
        <v>286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8">
        <v>115449.59</v>
      </c>
      <c r="M112" s="58">
        <v>10050.85</v>
      </c>
      <c r="N112" s="57">
        <v>0</v>
      </c>
      <c r="O112" s="58">
        <v>125500.44</v>
      </c>
      <c r="P112" s="57">
        <v>0</v>
      </c>
      <c r="Q112" s="58">
        <v>-125500.44</v>
      </c>
      <c r="R112" s="57">
        <v>0</v>
      </c>
      <c r="S112" s="57">
        <v>0</v>
      </c>
      <c r="T112" s="57">
        <v>0</v>
      </c>
      <c r="U112" s="57">
        <v>0</v>
      </c>
    </row>
    <row r="113" spans="2:21" x14ac:dyDescent="0.25">
      <c r="B113" s="56" t="s">
        <v>287</v>
      </c>
      <c r="C113" s="57">
        <v>0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8">
        <v>3282.92</v>
      </c>
      <c r="M113" s="58">
        <v>328.29</v>
      </c>
      <c r="N113" s="57">
        <v>0</v>
      </c>
      <c r="O113" s="58">
        <v>3611.21</v>
      </c>
      <c r="P113" s="57">
        <v>0</v>
      </c>
      <c r="Q113" s="58">
        <v>-3611.21</v>
      </c>
      <c r="R113" s="57">
        <v>0</v>
      </c>
      <c r="S113" s="57">
        <v>0</v>
      </c>
      <c r="T113" s="57">
        <v>0</v>
      </c>
      <c r="U113" s="57">
        <v>0</v>
      </c>
    </row>
    <row r="114" spans="2:21" x14ac:dyDescent="0.25">
      <c r="B114" s="53" t="s">
        <v>288</v>
      </c>
      <c r="C114" s="55">
        <v>0</v>
      </c>
      <c r="D114" s="55">
        <v>0</v>
      </c>
      <c r="E114" s="55">
        <v>0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4">
        <v>1520581.14</v>
      </c>
      <c r="M114" s="54">
        <v>150600.10999999999</v>
      </c>
      <c r="N114" s="55">
        <v>0</v>
      </c>
      <c r="O114" s="54">
        <v>1671181.25</v>
      </c>
      <c r="P114" s="54">
        <v>1659408.52</v>
      </c>
      <c r="Q114" s="54">
        <v>-11772.73</v>
      </c>
      <c r="R114" s="54">
        <v>1810263.84</v>
      </c>
      <c r="S114" s="54">
        <v>-0.70950000000000002</v>
      </c>
      <c r="T114" s="54">
        <v>150855.32</v>
      </c>
      <c r="U114" s="55">
        <v>0</v>
      </c>
    </row>
    <row r="115" spans="2:21" x14ac:dyDescent="0.25">
      <c r="B115" s="53" t="s">
        <v>289</v>
      </c>
      <c r="C115" s="55">
        <v>0</v>
      </c>
      <c r="D115" s="55">
        <v>0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4">
        <v>8668.58</v>
      </c>
      <c r="M115" s="54">
        <v>970.1</v>
      </c>
      <c r="N115" s="55">
        <v>0</v>
      </c>
      <c r="O115" s="54">
        <v>9638.68</v>
      </c>
      <c r="P115" s="54">
        <v>19485.84</v>
      </c>
      <c r="Q115" s="54">
        <v>9847.16</v>
      </c>
      <c r="R115" s="54">
        <v>21257.279999999999</v>
      </c>
      <c r="S115" s="54">
        <v>50.534999999999997</v>
      </c>
      <c r="T115" s="54">
        <v>1771.44</v>
      </c>
      <c r="U115" s="55">
        <v>0</v>
      </c>
    </row>
    <row r="116" spans="2:21" x14ac:dyDescent="0.25">
      <c r="B116" s="56" t="s">
        <v>290</v>
      </c>
      <c r="C116" s="57">
        <v>0</v>
      </c>
      <c r="D116" s="57">
        <v>0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8">
        <v>19485.84</v>
      </c>
      <c r="Q116" s="58">
        <v>19485.84</v>
      </c>
      <c r="R116" s="58">
        <v>21257.279999999999</v>
      </c>
      <c r="S116" s="58">
        <v>100</v>
      </c>
      <c r="T116" s="58">
        <v>1771.44</v>
      </c>
      <c r="U116" s="57">
        <v>0</v>
      </c>
    </row>
    <row r="117" spans="2:21" x14ac:dyDescent="0.25">
      <c r="B117" s="56" t="s">
        <v>291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5">
      <c r="B118" s="56" t="s">
        <v>292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8">
        <v>4513.8100000000004</v>
      </c>
      <c r="M118" s="58">
        <v>970.1</v>
      </c>
      <c r="N118" s="57">
        <v>0</v>
      </c>
      <c r="O118" s="58">
        <v>5483.91</v>
      </c>
      <c r="P118" s="57">
        <v>0</v>
      </c>
      <c r="Q118" s="58">
        <v>-5483.91</v>
      </c>
      <c r="R118" s="57">
        <v>0</v>
      </c>
      <c r="S118" s="57">
        <v>0</v>
      </c>
      <c r="T118" s="57">
        <v>0</v>
      </c>
      <c r="U118" s="57">
        <v>0</v>
      </c>
    </row>
    <row r="119" spans="2:21" x14ac:dyDescent="0.25">
      <c r="B119" s="56" t="s">
        <v>293</v>
      </c>
      <c r="C119" s="57">
        <v>0</v>
      </c>
      <c r="D119" s="57">
        <v>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8">
        <v>1101.73</v>
      </c>
      <c r="M119" s="57">
        <v>0</v>
      </c>
      <c r="N119" s="57">
        <v>0</v>
      </c>
      <c r="O119" s="58">
        <v>1101.73</v>
      </c>
      <c r="P119" s="57">
        <v>0</v>
      </c>
      <c r="Q119" s="58">
        <v>-1101.73</v>
      </c>
      <c r="R119" s="57">
        <v>0</v>
      </c>
      <c r="S119" s="57">
        <v>0</v>
      </c>
      <c r="T119" s="57">
        <v>0</v>
      </c>
      <c r="U119" s="57">
        <v>0</v>
      </c>
    </row>
    <row r="120" spans="2:21" x14ac:dyDescent="0.25">
      <c r="B120" s="53" t="s">
        <v>294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4">
        <v>5615.54</v>
      </c>
      <c r="M120" s="54">
        <v>970.1</v>
      </c>
      <c r="N120" s="55">
        <v>0</v>
      </c>
      <c r="O120" s="54">
        <v>6585.64</v>
      </c>
      <c r="P120" s="54">
        <v>19485.84</v>
      </c>
      <c r="Q120" s="54">
        <v>12900.2</v>
      </c>
      <c r="R120" s="54">
        <v>21257.279999999999</v>
      </c>
      <c r="S120" s="54">
        <v>66.2029</v>
      </c>
      <c r="T120" s="54">
        <v>1771.44</v>
      </c>
      <c r="U120" s="55">
        <v>0</v>
      </c>
    </row>
    <row r="121" spans="2:21" x14ac:dyDescent="0.25">
      <c r="B121" s="56" t="s">
        <v>296</v>
      </c>
      <c r="C121" s="57">
        <v>0</v>
      </c>
      <c r="D121" s="57">
        <v>0</v>
      </c>
      <c r="E121" s="57">
        <v>0</v>
      </c>
      <c r="F121" s="57">
        <v>0</v>
      </c>
      <c r="G121" s="57">
        <v>0</v>
      </c>
      <c r="H121" s="57">
        <v>0</v>
      </c>
      <c r="I121" s="57">
        <v>0</v>
      </c>
      <c r="J121" s="57">
        <v>0</v>
      </c>
      <c r="K121" s="57">
        <v>0</v>
      </c>
      <c r="L121" s="58">
        <v>12.13</v>
      </c>
      <c r="M121" s="57">
        <v>0</v>
      </c>
      <c r="N121" s="57">
        <v>0</v>
      </c>
      <c r="O121" s="58">
        <v>12.13</v>
      </c>
      <c r="P121" s="57">
        <v>0</v>
      </c>
      <c r="Q121" s="58">
        <v>-12.13</v>
      </c>
      <c r="R121" s="57">
        <v>0</v>
      </c>
      <c r="S121" s="57">
        <v>0</v>
      </c>
      <c r="T121" s="57">
        <v>0</v>
      </c>
      <c r="U121" s="57">
        <v>0</v>
      </c>
    </row>
    <row r="122" spans="2:21" x14ac:dyDescent="0.25">
      <c r="B122" s="56" t="s">
        <v>298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8">
        <v>2912.23</v>
      </c>
      <c r="M122" s="57">
        <v>0</v>
      </c>
      <c r="N122" s="57">
        <v>0</v>
      </c>
      <c r="O122" s="58">
        <v>2912.23</v>
      </c>
      <c r="P122" s="57">
        <v>0</v>
      </c>
      <c r="Q122" s="58">
        <v>-2912.23</v>
      </c>
      <c r="R122" s="57">
        <v>0</v>
      </c>
      <c r="S122" s="57">
        <v>0</v>
      </c>
      <c r="T122" s="57">
        <v>0</v>
      </c>
      <c r="U122" s="57">
        <v>0</v>
      </c>
    </row>
    <row r="123" spans="2:21" x14ac:dyDescent="0.25">
      <c r="B123" s="53" t="s">
        <v>299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4">
        <v>2924.36</v>
      </c>
      <c r="M123" s="55">
        <v>0</v>
      </c>
      <c r="N123" s="55">
        <v>0</v>
      </c>
      <c r="O123" s="54">
        <v>2924.36</v>
      </c>
      <c r="P123" s="55">
        <v>0</v>
      </c>
      <c r="Q123" s="54">
        <v>-2924.36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5">
      <c r="B124" s="56" t="s">
        <v>300</v>
      </c>
      <c r="C124" s="57">
        <v>0</v>
      </c>
      <c r="D124" s="57">
        <v>0</v>
      </c>
      <c r="E124" s="57">
        <v>0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8">
        <v>128.68</v>
      </c>
      <c r="M124" s="57">
        <v>0</v>
      </c>
      <c r="N124" s="57">
        <v>0</v>
      </c>
      <c r="O124" s="58">
        <v>128.68</v>
      </c>
      <c r="P124" s="57">
        <v>0</v>
      </c>
      <c r="Q124" s="58">
        <v>-128.68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5">
      <c r="B125" s="53" t="s">
        <v>301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4">
        <v>128.68</v>
      </c>
      <c r="M125" s="55">
        <v>0</v>
      </c>
      <c r="N125" s="55">
        <v>0</v>
      </c>
      <c r="O125" s="54">
        <v>128.68</v>
      </c>
      <c r="P125" s="55">
        <v>0</v>
      </c>
      <c r="Q125" s="54">
        <v>-128.68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5">
      <c r="B126" s="53" t="s">
        <v>302</v>
      </c>
      <c r="C126" s="55">
        <v>0</v>
      </c>
      <c r="D126" s="55">
        <v>0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4">
        <v>-5494737.5599999996</v>
      </c>
      <c r="M126" s="54">
        <v>-341121.63</v>
      </c>
      <c r="N126" s="55">
        <v>0</v>
      </c>
      <c r="O126" s="54">
        <v>-5835859.1900000004</v>
      </c>
      <c r="P126" s="54">
        <v>-5424158.5499999998</v>
      </c>
      <c r="Q126" s="54">
        <v>411700.64</v>
      </c>
      <c r="R126" s="54">
        <v>-5854751.7800000003</v>
      </c>
      <c r="S126" s="54">
        <v>-7.5900999999999996</v>
      </c>
      <c r="T126" s="54">
        <v>-655819.47</v>
      </c>
      <c r="U126" s="55">
        <v>0</v>
      </c>
    </row>
    <row r="127" spans="2:21" x14ac:dyDescent="0.25">
      <c r="B127" s="53" t="s">
        <v>303</v>
      </c>
      <c r="C127" s="55">
        <v>0</v>
      </c>
      <c r="D127" s="55">
        <v>0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4">
        <v>451711.63</v>
      </c>
      <c r="M127" s="54">
        <v>54746.13</v>
      </c>
      <c r="N127" s="55">
        <v>0</v>
      </c>
      <c r="O127" s="54">
        <v>506457.76</v>
      </c>
      <c r="P127" s="54">
        <v>428171.6</v>
      </c>
      <c r="Q127" s="54">
        <v>-78286.16</v>
      </c>
      <c r="R127" s="54">
        <v>465735.58</v>
      </c>
      <c r="S127" s="54">
        <v>-18.283799999999999</v>
      </c>
      <c r="T127" s="54">
        <v>37563.980000000003</v>
      </c>
      <c r="U127" s="55">
        <v>0</v>
      </c>
    </row>
    <row r="128" spans="2:21" x14ac:dyDescent="0.25">
      <c r="B128" s="56" t="s">
        <v>207</v>
      </c>
      <c r="C128" s="57">
        <v>0</v>
      </c>
      <c r="D128" s="57">
        <v>0</v>
      </c>
      <c r="E128" s="57">
        <v>0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8">
        <v>244329.78</v>
      </c>
      <c r="M128" s="58">
        <v>33814.54</v>
      </c>
      <c r="N128" s="57">
        <v>0</v>
      </c>
      <c r="O128" s="58">
        <v>278144.32</v>
      </c>
      <c r="P128" s="58">
        <v>285174.68</v>
      </c>
      <c r="Q128" s="58">
        <v>7030.36</v>
      </c>
      <c r="R128" s="58">
        <v>309682.06</v>
      </c>
      <c r="S128" s="58">
        <v>2.4653</v>
      </c>
      <c r="T128" s="58">
        <v>24507.38</v>
      </c>
      <c r="U128" s="57">
        <v>0</v>
      </c>
    </row>
    <row r="129" spans="2:21" x14ac:dyDescent="0.25">
      <c r="B129" s="56" t="s">
        <v>208</v>
      </c>
      <c r="C129" s="57">
        <v>0</v>
      </c>
      <c r="D129" s="57">
        <v>0</v>
      </c>
      <c r="E129" s="57">
        <v>0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0</v>
      </c>
      <c r="L129" s="58">
        <v>7366.04</v>
      </c>
      <c r="M129" s="58">
        <v>881.24</v>
      </c>
      <c r="N129" s="57">
        <v>0</v>
      </c>
      <c r="O129" s="58">
        <v>8247.2800000000007</v>
      </c>
      <c r="P129" s="57">
        <v>0</v>
      </c>
      <c r="Q129" s="58">
        <v>-8247.2800000000007</v>
      </c>
      <c r="R129" s="57">
        <v>0</v>
      </c>
      <c r="S129" s="57">
        <v>0</v>
      </c>
      <c r="T129" s="57">
        <v>0</v>
      </c>
      <c r="U129" s="57">
        <v>0</v>
      </c>
    </row>
    <row r="130" spans="2:21" x14ac:dyDescent="0.25">
      <c r="B130" s="56" t="s">
        <v>211</v>
      </c>
      <c r="C130" s="57">
        <v>0</v>
      </c>
      <c r="D130" s="57">
        <v>0</v>
      </c>
      <c r="E130" s="57">
        <v>0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0</v>
      </c>
      <c r="L130" s="58">
        <v>21560.03</v>
      </c>
      <c r="M130" s="58">
        <v>1699.91</v>
      </c>
      <c r="N130" s="57">
        <v>0</v>
      </c>
      <c r="O130" s="58">
        <v>23259.94</v>
      </c>
      <c r="P130" s="57">
        <v>0</v>
      </c>
      <c r="Q130" s="58">
        <v>-23259.94</v>
      </c>
      <c r="R130" s="57">
        <v>0</v>
      </c>
      <c r="S130" s="57">
        <v>0</v>
      </c>
      <c r="T130" s="57">
        <v>0</v>
      </c>
      <c r="U130" s="57">
        <v>0</v>
      </c>
    </row>
    <row r="131" spans="2:21" x14ac:dyDescent="0.25">
      <c r="B131" s="56" t="s">
        <v>209</v>
      </c>
      <c r="C131" s="57">
        <v>0</v>
      </c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8">
        <v>20357.63</v>
      </c>
      <c r="M131" s="58">
        <v>492.68</v>
      </c>
      <c r="N131" s="57">
        <v>0</v>
      </c>
      <c r="O131" s="58">
        <v>20850.310000000001</v>
      </c>
      <c r="P131" s="57">
        <v>0</v>
      </c>
      <c r="Q131" s="58">
        <v>-20850.310000000001</v>
      </c>
      <c r="R131" s="57">
        <v>0</v>
      </c>
      <c r="S131" s="57">
        <v>0</v>
      </c>
      <c r="T131" s="57">
        <v>0</v>
      </c>
      <c r="U131" s="57">
        <v>0</v>
      </c>
    </row>
    <row r="132" spans="2:21" x14ac:dyDescent="0.25">
      <c r="B132" s="53" t="s">
        <v>304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5">
        <v>0</v>
      </c>
      <c r="L132" s="54">
        <v>293613.48</v>
      </c>
      <c r="M132" s="54">
        <v>36888.370000000003</v>
      </c>
      <c r="N132" s="55">
        <v>0</v>
      </c>
      <c r="O132" s="54">
        <v>330501.84999999998</v>
      </c>
      <c r="P132" s="54">
        <v>285174.68</v>
      </c>
      <c r="Q132" s="54">
        <v>-45327.17</v>
      </c>
      <c r="R132" s="54">
        <v>309682.06</v>
      </c>
      <c r="S132" s="54">
        <v>-15.894500000000001</v>
      </c>
      <c r="T132" s="54">
        <v>24507.38</v>
      </c>
      <c r="U132" s="55">
        <v>0</v>
      </c>
    </row>
    <row r="133" spans="2:21" x14ac:dyDescent="0.25">
      <c r="B133" s="56" t="s">
        <v>214</v>
      </c>
      <c r="C133" s="57">
        <v>0</v>
      </c>
      <c r="D133" s="57">
        <v>0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0</v>
      </c>
      <c r="L133" s="58">
        <v>47991.6</v>
      </c>
      <c r="M133" s="58">
        <v>6001.19</v>
      </c>
      <c r="N133" s="57">
        <v>0</v>
      </c>
      <c r="O133" s="58">
        <v>53992.79</v>
      </c>
      <c r="P133" s="58">
        <v>46644.07</v>
      </c>
      <c r="Q133" s="58">
        <v>-7348.72</v>
      </c>
      <c r="R133" s="58">
        <v>50884.44</v>
      </c>
      <c r="S133" s="58">
        <v>-15.754899999999999</v>
      </c>
      <c r="T133" s="58">
        <v>4240.37</v>
      </c>
      <c r="U133" s="57">
        <v>0</v>
      </c>
    </row>
    <row r="134" spans="2:21" x14ac:dyDescent="0.25">
      <c r="B134" s="53" t="s">
        <v>215</v>
      </c>
      <c r="C134" s="55">
        <v>0</v>
      </c>
      <c r="D134" s="55">
        <v>0</v>
      </c>
      <c r="E134" s="55">
        <v>0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4">
        <v>47991.6</v>
      </c>
      <c r="M134" s="54">
        <v>6001.19</v>
      </c>
      <c r="N134" s="55">
        <v>0</v>
      </c>
      <c r="O134" s="54">
        <v>53992.79</v>
      </c>
      <c r="P134" s="54">
        <v>46644.07</v>
      </c>
      <c r="Q134" s="54">
        <v>-7348.72</v>
      </c>
      <c r="R134" s="54">
        <v>50884.44</v>
      </c>
      <c r="S134" s="54">
        <v>-15.754899999999999</v>
      </c>
      <c r="T134" s="54">
        <v>4240.37</v>
      </c>
      <c r="U134" s="55">
        <v>0</v>
      </c>
    </row>
    <row r="135" spans="2:21" x14ac:dyDescent="0.25">
      <c r="B135" s="56" t="s">
        <v>216</v>
      </c>
      <c r="C135" s="57">
        <v>0</v>
      </c>
      <c r="D135" s="57">
        <v>0</v>
      </c>
      <c r="E135" s="57">
        <v>0</v>
      </c>
      <c r="F135" s="57">
        <v>0</v>
      </c>
      <c r="G135" s="57">
        <v>0</v>
      </c>
      <c r="H135" s="57">
        <v>0</v>
      </c>
      <c r="I135" s="57">
        <v>0</v>
      </c>
      <c r="J135" s="57">
        <v>0</v>
      </c>
      <c r="K135" s="57">
        <v>0</v>
      </c>
      <c r="L135" s="58">
        <v>26839.02</v>
      </c>
      <c r="M135" s="58">
        <v>3375.58</v>
      </c>
      <c r="N135" s="57">
        <v>0</v>
      </c>
      <c r="O135" s="58">
        <v>30214.6</v>
      </c>
      <c r="P135" s="58">
        <v>25487.11</v>
      </c>
      <c r="Q135" s="58">
        <v>-4727.49</v>
      </c>
      <c r="R135" s="58">
        <v>27804.12</v>
      </c>
      <c r="S135" s="58">
        <v>-18.5486</v>
      </c>
      <c r="T135" s="58">
        <v>2317.0100000000002</v>
      </c>
      <c r="U135" s="57">
        <v>0</v>
      </c>
    </row>
    <row r="136" spans="2:21" x14ac:dyDescent="0.25">
      <c r="B136" s="53" t="s">
        <v>217</v>
      </c>
      <c r="C136" s="55">
        <v>0</v>
      </c>
      <c r="D136" s="55">
        <v>0</v>
      </c>
      <c r="E136" s="55">
        <v>0</v>
      </c>
      <c r="F136" s="55">
        <v>0</v>
      </c>
      <c r="G136" s="55">
        <v>0</v>
      </c>
      <c r="H136" s="55">
        <v>0</v>
      </c>
      <c r="I136" s="55">
        <v>0</v>
      </c>
      <c r="J136" s="55">
        <v>0</v>
      </c>
      <c r="K136" s="55">
        <v>0</v>
      </c>
      <c r="L136" s="54">
        <v>26839.02</v>
      </c>
      <c r="M136" s="54">
        <v>3375.58</v>
      </c>
      <c r="N136" s="55">
        <v>0</v>
      </c>
      <c r="O136" s="54">
        <v>30214.6</v>
      </c>
      <c r="P136" s="54">
        <v>25487.11</v>
      </c>
      <c r="Q136" s="54">
        <v>-4727.49</v>
      </c>
      <c r="R136" s="54">
        <v>27804.12</v>
      </c>
      <c r="S136" s="54">
        <v>-18.5486</v>
      </c>
      <c r="T136" s="54">
        <v>2317.0100000000002</v>
      </c>
      <c r="U136" s="55">
        <v>0</v>
      </c>
    </row>
    <row r="137" spans="2:21" x14ac:dyDescent="0.25">
      <c r="B137" s="56" t="s">
        <v>218</v>
      </c>
      <c r="C137" s="57">
        <v>0</v>
      </c>
      <c r="D137" s="57">
        <v>0</v>
      </c>
      <c r="E137" s="57">
        <v>0</v>
      </c>
      <c r="F137" s="57">
        <v>0</v>
      </c>
      <c r="G137" s="57">
        <v>0</v>
      </c>
      <c r="H137" s="57">
        <v>0</v>
      </c>
      <c r="I137" s="57">
        <v>0</v>
      </c>
      <c r="J137" s="57">
        <v>0</v>
      </c>
      <c r="K137" s="57">
        <v>0</v>
      </c>
      <c r="L137" s="58">
        <v>18473.46</v>
      </c>
      <c r="M137" s="58">
        <v>2451.2800000000002</v>
      </c>
      <c r="N137" s="57">
        <v>0</v>
      </c>
      <c r="O137" s="58">
        <v>20924.740000000002</v>
      </c>
      <c r="P137" s="58">
        <v>18196.75</v>
      </c>
      <c r="Q137" s="58">
        <v>-2727.99</v>
      </c>
      <c r="R137" s="58">
        <v>19851</v>
      </c>
      <c r="S137" s="58">
        <v>-14.9916</v>
      </c>
      <c r="T137" s="58">
        <v>1654.25</v>
      </c>
      <c r="U137" s="57">
        <v>0</v>
      </c>
    </row>
    <row r="138" spans="2:21" x14ac:dyDescent="0.25">
      <c r="B138" s="53" t="s">
        <v>219</v>
      </c>
      <c r="C138" s="55">
        <v>0</v>
      </c>
      <c r="D138" s="55">
        <v>0</v>
      </c>
      <c r="E138" s="55">
        <v>0</v>
      </c>
      <c r="F138" s="55">
        <v>0</v>
      </c>
      <c r="G138" s="55">
        <v>0</v>
      </c>
      <c r="H138" s="55">
        <v>0</v>
      </c>
      <c r="I138" s="55">
        <v>0</v>
      </c>
      <c r="J138" s="55">
        <v>0</v>
      </c>
      <c r="K138" s="55">
        <v>0</v>
      </c>
      <c r="L138" s="54">
        <v>18473.46</v>
      </c>
      <c r="M138" s="54">
        <v>2451.2800000000002</v>
      </c>
      <c r="N138" s="55">
        <v>0</v>
      </c>
      <c r="O138" s="54">
        <v>20924.740000000002</v>
      </c>
      <c r="P138" s="54">
        <v>18196.75</v>
      </c>
      <c r="Q138" s="54">
        <v>-2727.99</v>
      </c>
      <c r="R138" s="54">
        <v>19851</v>
      </c>
      <c r="S138" s="54">
        <v>-14.9916</v>
      </c>
      <c r="T138" s="54">
        <v>1654.25</v>
      </c>
      <c r="U138" s="55">
        <v>0</v>
      </c>
    </row>
    <row r="139" spans="2:21" x14ac:dyDescent="0.25">
      <c r="B139" s="56" t="s">
        <v>220</v>
      </c>
      <c r="C139" s="57">
        <v>0</v>
      </c>
      <c r="D139" s="57">
        <v>0</v>
      </c>
      <c r="E139" s="57">
        <v>0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8">
        <v>1810.38</v>
      </c>
      <c r="M139" s="57">
        <v>0</v>
      </c>
      <c r="N139" s="57">
        <v>0</v>
      </c>
      <c r="O139" s="58">
        <v>1810.38</v>
      </c>
      <c r="P139" s="58">
        <v>5800.62</v>
      </c>
      <c r="Q139" s="58">
        <v>3990.24</v>
      </c>
      <c r="R139" s="58">
        <v>6354.88</v>
      </c>
      <c r="S139" s="58">
        <v>68.789900000000003</v>
      </c>
      <c r="T139" s="58">
        <v>554.26</v>
      </c>
      <c r="U139" s="57">
        <v>0</v>
      </c>
    </row>
    <row r="140" spans="2:21" x14ac:dyDescent="0.25">
      <c r="B140" s="56" t="s">
        <v>221</v>
      </c>
      <c r="C140" s="57">
        <v>0</v>
      </c>
      <c r="D140" s="57">
        <v>0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8">
        <v>7324.58</v>
      </c>
      <c r="M140" s="58">
        <v>999.75</v>
      </c>
      <c r="N140" s="57">
        <v>0</v>
      </c>
      <c r="O140" s="58">
        <v>8324.33</v>
      </c>
      <c r="P140" s="57">
        <v>0</v>
      </c>
      <c r="Q140" s="58">
        <v>-8324.33</v>
      </c>
      <c r="R140" s="57">
        <v>0</v>
      </c>
      <c r="S140" s="57">
        <v>0</v>
      </c>
      <c r="T140" s="57">
        <v>0</v>
      </c>
      <c r="U140" s="57">
        <v>0</v>
      </c>
    </row>
    <row r="141" spans="2:21" x14ac:dyDescent="0.25">
      <c r="B141" s="53" t="s">
        <v>223</v>
      </c>
      <c r="C141" s="55">
        <v>0</v>
      </c>
      <c r="D141" s="55">
        <v>0</v>
      </c>
      <c r="E141" s="55">
        <v>0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4">
        <v>9134.9599999999991</v>
      </c>
      <c r="M141" s="54">
        <v>999.75</v>
      </c>
      <c r="N141" s="55">
        <v>0</v>
      </c>
      <c r="O141" s="54">
        <v>10134.709999999999</v>
      </c>
      <c r="P141" s="54">
        <v>5800.62</v>
      </c>
      <c r="Q141" s="54">
        <v>-4334.09</v>
      </c>
      <c r="R141" s="54">
        <v>6354.88</v>
      </c>
      <c r="S141" s="54">
        <v>-74.717699999999994</v>
      </c>
      <c r="T141" s="54">
        <v>554.26</v>
      </c>
      <c r="U141" s="55">
        <v>0</v>
      </c>
    </row>
    <row r="142" spans="2:21" x14ac:dyDescent="0.25">
      <c r="B142" s="56" t="s">
        <v>226</v>
      </c>
      <c r="C142" s="57">
        <v>0</v>
      </c>
      <c r="D142" s="57">
        <v>0</v>
      </c>
      <c r="E142" s="57">
        <v>0</v>
      </c>
      <c r="F142" s="57">
        <v>0</v>
      </c>
      <c r="G142" s="57">
        <v>0</v>
      </c>
      <c r="H142" s="57">
        <v>0</v>
      </c>
      <c r="I142" s="57">
        <v>0</v>
      </c>
      <c r="J142" s="57">
        <v>0</v>
      </c>
      <c r="K142" s="57">
        <v>0</v>
      </c>
      <c r="L142" s="58">
        <v>9353.8799999999992</v>
      </c>
      <c r="M142" s="58">
        <v>34.18</v>
      </c>
      <c r="N142" s="57">
        <v>0</v>
      </c>
      <c r="O142" s="58">
        <v>9388.06</v>
      </c>
      <c r="P142" s="57">
        <v>0</v>
      </c>
      <c r="Q142" s="58">
        <v>-9388.06</v>
      </c>
      <c r="R142" s="57">
        <v>0</v>
      </c>
      <c r="S142" s="57">
        <v>0</v>
      </c>
      <c r="T142" s="57">
        <v>0</v>
      </c>
      <c r="U142" s="57">
        <v>0</v>
      </c>
    </row>
    <row r="143" spans="2:21" x14ac:dyDescent="0.25">
      <c r="B143" s="53" t="s">
        <v>227</v>
      </c>
      <c r="C143" s="55">
        <v>0</v>
      </c>
      <c r="D143" s="55">
        <v>0</v>
      </c>
      <c r="E143" s="55">
        <v>0</v>
      </c>
      <c r="F143" s="55">
        <v>0</v>
      </c>
      <c r="G143" s="55">
        <v>0</v>
      </c>
      <c r="H143" s="55">
        <v>0</v>
      </c>
      <c r="I143" s="55">
        <v>0</v>
      </c>
      <c r="J143" s="55">
        <v>0</v>
      </c>
      <c r="K143" s="55">
        <v>0</v>
      </c>
      <c r="L143" s="54">
        <v>9353.8799999999992</v>
      </c>
      <c r="M143" s="54">
        <v>34.18</v>
      </c>
      <c r="N143" s="55">
        <v>0</v>
      </c>
      <c r="O143" s="54">
        <v>9388.06</v>
      </c>
      <c r="P143" s="55">
        <v>0</v>
      </c>
      <c r="Q143" s="54">
        <v>-9388.06</v>
      </c>
      <c r="R143" s="55">
        <v>0</v>
      </c>
      <c r="S143" s="55">
        <v>0</v>
      </c>
      <c r="T143" s="55">
        <v>0</v>
      </c>
      <c r="U143" s="55">
        <v>0</v>
      </c>
    </row>
    <row r="144" spans="2:21" x14ac:dyDescent="0.25">
      <c r="B144" s="56" t="s">
        <v>232</v>
      </c>
      <c r="C144" s="57">
        <v>0</v>
      </c>
      <c r="D144" s="57">
        <v>0</v>
      </c>
      <c r="E144" s="57">
        <v>0</v>
      </c>
      <c r="F144" s="57">
        <v>0</v>
      </c>
      <c r="G144" s="57">
        <v>0</v>
      </c>
      <c r="H144" s="57">
        <v>0</v>
      </c>
      <c r="I144" s="57">
        <v>0</v>
      </c>
      <c r="J144" s="57">
        <v>0</v>
      </c>
      <c r="K144" s="57">
        <v>0</v>
      </c>
      <c r="L144" s="58">
        <v>7632.99</v>
      </c>
      <c r="M144" s="58">
        <v>273.56</v>
      </c>
      <c r="N144" s="57">
        <v>0</v>
      </c>
      <c r="O144" s="58">
        <v>7906.55</v>
      </c>
      <c r="P144" s="58">
        <v>46868.37</v>
      </c>
      <c r="Q144" s="58">
        <v>38961.82</v>
      </c>
      <c r="R144" s="58">
        <v>51159.08</v>
      </c>
      <c r="S144" s="58">
        <v>83.130300000000005</v>
      </c>
      <c r="T144" s="58">
        <v>4290.71</v>
      </c>
      <c r="U144" s="57">
        <v>0</v>
      </c>
    </row>
    <row r="145" spans="2:21" x14ac:dyDescent="0.25">
      <c r="B145" s="56" t="s">
        <v>224</v>
      </c>
      <c r="C145" s="57">
        <v>0</v>
      </c>
      <c r="D145" s="57">
        <v>0</v>
      </c>
      <c r="E145" s="57">
        <v>0</v>
      </c>
      <c r="F145" s="57">
        <v>0</v>
      </c>
      <c r="G145" s="57">
        <v>0</v>
      </c>
      <c r="H145" s="57">
        <v>0</v>
      </c>
      <c r="I145" s="57">
        <v>0</v>
      </c>
      <c r="J145" s="57">
        <v>0</v>
      </c>
      <c r="K145" s="57">
        <v>0</v>
      </c>
      <c r="L145" s="57">
        <v>0</v>
      </c>
      <c r="M145" s="58">
        <v>883.54</v>
      </c>
      <c r="N145" s="57">
        <v>0</v>
      </c>
      <c r="O145" s="58">
        <v>883.54</v>
      </c>
      <c r="P145" s="57">
        <v>0</v>
      </c>
      <c r="Q145" s="58">
        <v>-883.54</v>
      </c>
      <c r="R145" s="57">
        <v>0</v>
      </c>
      <c r="S145" s="57">
        <v>0</v>
      </c>
      <c r="T145" s="57">
        <v>0</v>
      </c>
      <c r="U145" s="57">
        <v>0</v>
      </c>
    </row>
    <row r="146" spans="2:21" x14ac:dyDescent="0.25">
      <c r="B146" s="56" t="s">
        <v>222</v>
      </c>
      <c r="C146" s="57">
        <v>0</v>
      </c>
      <c r="D146" s="57">
        <v>0</v>
      </c>
      <c r="E146" s="57">
        <v>0</v>
      </c>
      <c r="F146" s="57">
        <v>0</v>
      </c>
      <c r="G146" s="57">
        <v>0</v>
      </c>
      <c r="H146" s="57">
        <v>0</v>
      </c>
      <c r="I146" s="57">
        <v>0</v>
      </c>
      <c r="J146" s="57">
        <v>0</v>
      </c>
      <c r="K146" s="57">
        <v>0</v>
      </c>
      <c r="L146" s="58">
        <v>1432.15</v>
      </c>
      <c r="M146" s="58">
        <v>541.05999999999995</v>
      </c>
      <c r="N146" s="57">
        <v>0</v>
      </c>
      <c r="O146" s="58">
        <v>1973.21</v>
      </c>
      <c r="P146" s="57">
        <v>0</v>
      </c>
      <c r="Q146" s="58">
        <v>-1973.21</v>
      </c>
      <c r="R146" s="57">
        <v>0</v>
      </c>
      <c r="S146" s="57">
        <v>0</v>
      </c>
      <c r="T146" s="57">
        <v>0</v>
      </c>
      <c r="U146" s="57">
        <v>0</v>
      </c>
    </row>
    <row r="147" spans="2:21" x14ac:dyDescent="0.25">
      <c r="B147" s="56" t="s">
        <v>233</v>
      </c>
      <c r="C147" s="57">
        <v>0</v>
      </c>
      <c r="D147" s="57">
        <v>0</v>
      </c>
      <c r="E147" s="57">
        <v>0</v>
      </c>
      <c r="F147" s="57">
        <v>0</v>
      </c>
      <c r="G147" s="57">
        <v>0</v>
      </c>
      <c r="H147" s="57">
        <v>0</v>
      </c>
      <c r="I147" s="57">
        <v>0</v>
      </c>
      <c r="J147" s="57">
        <v>0</v>
      </c>
      <c r="K147" s="57">
        <v>0</v>
      </c>
      <c r="L147" s="58">
        <v>4678.59</v>
      </c>
      <c r="M147" s="58">
        <v>455.65</v>
      </c>
      <c r="N147" s="57">
        <v>0</v>
      </c>
      <c r="O147" s="58">
        <v>5134.24</v>
      </c>
      <c r="P147" s="57">
        <v>0</v>
      </c>
      <c r="Q147" s="58">
        <v>-5134.24</v>
      </c>
      <c r="R147" s="57">
        <v>0</v>
      </c>
      <c r="S147" s="57">
        <v>0</v>
      </c>
      <c r="T147" s="57">
        <v>0</v>
      </c>
      <c r="U147" s="57">
        <v>0</v>
      </c>
    </row>
    <row r="148" spans="2:21" x14ac:dyDescent="0.25">
      <c r="B148" s="56" t="s">
        <v>234</v>
      </c>
      <c r="C148" s="57">
        <v>0</v>
      </c>
      <c r="D148" s="57">
        <v>0</v>
      </c>
      <c r="E148" s="57">
        <v>0</v>
      </c>
      <c r="F148" s="57">
        <v>0</v>
      </c>
      <c r="G148" s="57">
        <v>0</v>
      </c>
      <c r="H148" s="57">
        <v>0</v>
      </c>
      <c r="I148" s="57">
        <v>0</v>
      </c>
      <c r="J148" s="57">
        <v>0</v>
      </c>
      <c r="K148" s="57">
        <v>0</v>
      </c>
      <c r="L148" s="58">
        <v>109.68</v>
      </c>
      <c r="M148" s="58">
        <v>26.65</v>
      </c>
      <c r="N148" s="57">
        <v>0</v>
      </c>
      <c r="O148" s="58">
        <v>136.33000000000001</v>
      </c>
      <c r="P148" s="57">
        <v>0</v>
      </c>
      <c r="Q148" s="58">
        <v>-136.33000000000001</v>
      </c>
      <c r="R148" s="57">
        <v>0</v>
      </c>
      <c r="S148" s="57">
        <v>0</v>
      </c>
      <c r="T148" s="57">
        <v>0</v>
      </c>
      <c r="U148" s="57">
        <v>0</v>
      </c>
    </row>
    <row r="149" spans="2:21" x14ac:dyDescent="0.25">
      <c r="B149" s="56" t="s">
        <v>235</v>
      </c>
      <c r="C149" s="57">
        <v>0</v>
      </c>
      <c r="D149" s="57">
        <v>0</v>
      </c>
      <c r="E149" s="57">
        <v>0</v>
      </c>
      <c r="F149" s="57">
        <v>0</v>
      </c>
      <c r="G149" s="57">
        <v>0</v>
      </c>
      <c r="H149" s="57">
        <v>0</v>
      </c>
      <c r="I149" s="57">
        <v>0</v>
      </c>
      <c r="J149" s="57">
        <v>0</v>
      </c>
      <c r="K149" s="57">
        <v>0</v>
      </c>
      <c r="L149" s="58">
        <v>32451.82</v>
      </c>
      <c r="M149" s="58">
        <v>2815.32</v>
      </c>
      <c r="N149" s="57">
        <v>0</v>
      </c>
      <c r="O149" s="58">
        <v>35267.14</v>
      </c>
      <c r="P149" s="57">
        <v>0</v>
      </c>
      <c r="Q149" s="58">
        <v>-35267.14</v>
      </c>
      <c r="R149" s="57">
        <v>0</v>
      </c>
      <c r="S149" s="57">
        <v>0</v>
      </c>
      <c r="T149" s="57">
        <v>0</v>
      </c>
      <c r="U149" s="57">
        <v>0</v>
      </c>
    </row>
    <row r="150" spans="2:21" x14ac:dyDescent="0.25">
      <c r="B150" s="56" t="s">
        <v>305</v>
      </c>
      <c r="C150" s="57">
        <v>0</v>
      </c>
      <c r="D150" s="57">
        <v>0</v>
      </c>
      <c r="E150" s="57">
        <v>0</v>
      </c>
      <c r="F150" s="57">
        <v>0</v>
      </c>
      <c r="G150" s="57">
        <v>0</v>
      </c>
      <c r="H150" s="57">
        <v>0</v>
      </c>
      <c r="I150" s="57">
        <v>0</v>
      </c>
      <c r="J150" s="57">
        <v>0</v>
      </c>
      <c r="K150" s="57">
        <v>0</v>
      </c>
      <c r="L150" s="57">
        <v>0</v>
      </c>
      <c r="M150" s="57">
        <v>0</v>
      </c>
      <c r="N150" s="57">
        <v>0</v>
      </c>
      <c r="O150" s="57">
        <v>0</v>
      </c>
      <c r="P150" s="57">
        <v>0</v>
      </c>
      <c r="Q150" s="57">
        <v>0</v>
      </c>
      <c r="R150" s="57">
        <v>0</v>
      </c>
      <c r="S150" s="57">
        <v>0</v>
      </c>
      <c r="T150" s="57">
        <v>0</v>
      </c>
      <c r="U150" s="57">
        <v>0</v>
      </c>
    </row>
    <row r="151" spans="2:21" x14ac:dyDescent="0.25">
      <c r="B151" s="53" t="s">
        <v>306</v>
      </c>
      <c r="C151" s="55">
        <v>0</v>
      </c>
      <c r="D151" s="55">
        <v>0</v>
      </c>
      <c r="E151" s="55">
        <v>0</v>
      </c>
      <c r="F151" s="55">
        <v>0</v>
      </c>
      <c r="G151" s="55">
        <v>0</v>
      </c>
      <c r="H151" s="55">
        <v>0</v>
      </c>
      <c r="I151" s="55">
        <v>0</v>
      </c>
      <c r="J151" s="55">
        <v>0</v>
      </c>
      <c r="K151" s="55">
        <v>0</v>
      </c>
      <c r="L151" s="54">
        <v>46305.23</v>
      </c>
      <c r="M151" s="54">
        <v>4995.78</v>
      </c>
      <c r="N151" s="55">
        <v>0</v>
      </c>
      <c r="O151" s="54">
        <v>51301.01</v>
      </c>
      <c r="P151" s="54">
        <v>46868.37</v>
      </c>
      <c r="Q151" s="54">
        <v>-4432.6400000000003</v>
      </c>
      <c r="R151" s="54">
        <v>51159.08</v>
      </c>
      <c r="S151" s="54">
        <v>-9.4575999999999993</v>
      </c>
      <c r="T151" s="54">
        <v>4290.71</v>
      </c>
      <c r="U151" s="55">
        <v>0</v>
      </c>
    </row>
    <row r="152" spans="2:21" x14ac:dyDescent="0.25">
      <c r="B152" s="53" t="s">
        <v>307</v>
      </c>
      <c r="C152" s="55">
        <v>0</v>
      </c>
      <c r="D152" s="55">
        <v>0</v>
      </c>
      <c r="E152" s="55">
        <v>0</v>
      </c>
      <c r="F152" s="55">
        <v>0</v>
      </c>
      <c r="G152" s="55">
        <v>0</v>
      </c>
      <c r="H152" s="55">
        <v>0</v>
      </c>
      <c r="I152" s="55">
        <v>0</v>
      </c>
      <c r="J152" s="55">
        <v>0</v>
      </c>
      <c r="K152" s="55">
        <v>0</v>
      </c>
      <c r="L152" s="54">
        <v>350821.12</v>
      </c>
      <c r="M152" s="54">
        <v>46919.03</v>
      </c>
      <c r="N152" s="55">
        <v>0</v>
      </c>
      <c r="O152" s="54">
        <v>397740.15</v>
      </c>
      <c r="P152" s="54">
        <v>246708.04</v>
      </c>
      <c r="Q152" s="54">
        <v>-151032.10999999999</v>
      </c>
      <c r="R152" s="54">
        <v>285569.68</v>
      </c>
      <c r="S152" s="54">
        <v>-61.219000000000001</v>
      </c>
      <c r="T152" s="54">
        <v>22311.64</v>
      </c>
      <c r="U152" s="55">
        <v>0</v>
      </c>
    </row>
    <row r="153" spans="2:21" x14ac:dyDescent="0.25">
      <c r="B153" s="56" t="s">
        <v>228</v>
      </c>
      <c r="C153" s="57">
        <v>0</v>
      </c>
      <c r="D153" s="57">
        <v>0</v>
      </c>
      <c r="E153" s="57">
        <v>0</v>
      </c>
      <c r="F153" s="57">
        <v>0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8">
        <v>4156</v>
      </c>
      <c r="M153" s="58">
        <v>62.26</v>
      </c>
      <c r="N153" s="57">
        <v>0</v>
      </c>
      <c r="O153" s="58">
        <v>4218.26</v>
      </c>
      <c r="P153" s="58">
        <v>3300</v>
      </c>
      <c r="Q153" s="58">
        <v>-918.26</v>
      </c>
      <c r="R153" s="58">
        <v>3600</v>
      </c>
      <c r="S153" s="58">
        <v>-27.8261</v>
      </c>
      <c r="T153" s="58">
        <v>300</v>
      </c>
      <c r="U153" s="57">
        <v>0</v>
      </c>
    </row>
    <row r="154" spans="2:21" x14ac:dyDescent="0.25">
      <c r="B154" s="56" t="s">
        <v>230</v>
      </c>
      <c r="C154" s="57">
        <v>0</v>
      </c>
      <c r="D154" s="57">
        <v>0</v>
      </c>
      <c r="E154" s="57">
        <v>0</v>
      </c>
      <c r="F154" s="57">
        <v>0</v>
      </c>
      <c r="G154" s="57">
        <v>0</v>
      </c>
      <c r="H154" s="57">
        <v>0</v>
      </c>
      <c r="I154" s="57">
        <v>0</v>
      </c>
      <c r="J154" s="57">
        <v>0</v>
      </c>
      <c r="K154" s="57">
        <v>0</v>
      </c>
      <c r="L154" s="58">
        <v>2007.79</v>
      </c>
      <c r="M154" s="57">
        <v>0</v>
      </c>
      <c r="N154" s="57">
        <v>0</v>
      </c>
      <c r="O154" s="58">
        <v>2007.79</v>
      </c>
      <c r="P154" s="57">
        <v>0</v>
      </c>
      <c r="Q154" s="58">
        <v>-2007.79</v>
      </c>
      <c r="R154" s="57">
        <v>0</v>
      </c>
      <c r="S154" s="57">
        <v>0</v>
      </c>
      <c r="T154" s="57">
        <v>0</v>
      </c>
      <c r="U154" s="57">
        <v>0</v>
      </c>
    </row>
    <row r="155" spans="2:21" x14ac:dyDescent="0.25">
      <c r="B155" s="56" t="s">
        <v>308</v>
      </c>
      <c r="C155" s="57">
        <v>0</v>
      </c>
      <c r="D155" s="57">
        <v>0</v>
      </c>
      <c r="E155" s="57">
        <v>0</v>
      </c>
      <c r="F155" s="57">
        <v>0</v>
      </c>
      <c r="G155" s="57">
        <v>0</v>
      </c>
      <c r="H155" s="57">
        <v>0</v>
      </c>
      <c r="I155" s="57">
        <v>0</v>
      </c>
      <c r="J155" s="57">
        <v>0</v>
      </c>
      <c r="K155" s="57">
        <v>0</v>
      </c>
      <c r="L155" s="58">
        <v>4053.82</v>
      </c>
      <c r="M155" s="57">
        <v>0</v>
      </c>
      <c r="N155" s="57">
        <v>0</v>
      </c>
      <c r="O155" s="58">
        <v>4053.82</v>
      </c>
      <c r="P155" s="57">
        <v>0</v>
      </c>
      <c r="Q155" s="58">
        <v>-4053.82</v>
      </c>
      <c r="R155" s="57">
        <v>0</v>
      </c>
      <c r="S155" s="57">
        <v>0</v>
      </c>
      <c r="T155" s="57">
        <v>0</v>
      </c>
      <c r="U155" s="57">
        <v>0</v>
      </c>
    </row>
    <row r="156" spans="2:21" x14ac:dyDescent="0.25">
      <c r="B156" s="53" t="s">
        <v>309</v>
      </c>
      <c r="C156" s="55">
        <v>0</v>
      </c>
      <c r="D156" s="55">
        <v>0</v>
      </c>
      <c r="E156" s="55">
        <v>0</v>
      </c>
      <c r="F156" s="55">
        <v>0</v>
      </c>
      <c r="G156" s="55">
        <v>0</v>
      </c>
      <c r="H156" s="55">
        <v>0</v>
      </c>
      <c r="I156" s="55">
        <v>0</v>
      </c>
      <c r="J156" s="55">
        <v>0</v>
      </c>
      <c r="K156" s="55">
        <v>0</v>
      </c>
      <c r="L156" s="54">
        <v>10217.61</v>
      </c>
      <c r="M156" s="54">
        <v>62.26</v>
      </c>
      <c r="N156" s="55">
        <v>0</v>
      </c>
      <c r="O156" s="54">
        <v>10279.870000000001</v>
      </c>
      <c r="P156" s="54">
        <v>3300</v>
      </c>
      <c r="Q156" s="54">
        <v>-6979.87</v>
      </c>
      <c r="R156" s="54">
        <v>3600</v>
      </c>
      <c r="S156" s="54">
        <v>-211.5112</v>
      </c>
      <c r="T156" s="54">
        <v>300</v>
      </c>
      <c r="U156" s="55">
        <v>0</v>
      </c>
    </row>
    <row r="157" spans="2:21" x14ac:dyDescent="0.25">
      <c r="B157" s="56" t="s">
        <v>263</v>
      </c>
      <c r="C157" s="57">
        <v>0</v>
      </c>
      <c r="D157" s="57">
        <v>0</v>
      </c>
      <c r="E157" s="57">
        <v>0</v>
      </c>
      <c r="F157" s="57">
        <v>0</v>
      </c>
      <c r="G157" s="57">
        <v>0</v>
      </c>
      <c r="H157" s="57">
        <v>0</v>
      </c>
      <c r="I157" s="57">
        <v>0</v>
      </c>
      <c r="J157" s="57">
        <v>0</v>
      </c>
      <c r="K157" s="57">
        <v>0</v>
      </c>
      <c r="L157" s="58">
        <v>2.14</v>
      </c>
      <c r="M157" s="57">
        <v>0</v>
      </c>
      <c r="N157" s="57">
        <v>0</v>
      </c>
      <c r="O157" s="58">
        <v>2.14</v>
      </c>
      <c r="P157" s="57">
        <v>0</v>
      </c>
      <c r="Q157" s="58">
        <v>-2.14</v>
      </c>
      <c r="R157" s="57">
        <v>0</v>
      </c>
      <c r="S157" s="57">
        <v>0</v>
      </c>
      <c r="T157" s="57">
        <v>0</v>
      </c>
      <c r="U157" s="57">
        <v>0</v>
      </c>
    </row>
    <row r="158" spans="2:21" x14ac:dyDescent="0.25">
      <c r="B158" s="56" t="s">
        <v>264</v>
      </c>
      <c r="C158" s="57">
        <v>0</v>
      </c>
      <c r="D158" s="57">
        <v>0</v>
      </c>
      <c r="E158" s="57">
        <v>0</v>
      </c>
      <c r="F158" s="57">
        <v>0</v>
      </c>
      <c r="G158" s="57">
        <v>0</v>
      </c>
      <c r="H158" s="57">
        <v>0</v>
      </c>
      <c r="I158" s="57">
        <v>0</v>
      </c>
      <c r="J158" s="57">
        <v>0</v>
      </c>
      <c r="K158" s="57">
        <v>0</v>
      </c>
      <c r="L158" s="58">
        <v>880.06</v>
      </c>
      <c r="M158" s="58">
        <v>640.30999999999995</v>
      </c>
      <c r="N158" s="57">
        <v>0</v>
      </c>
      <c r="O158" s="58">
        <v>1520.37</v>
      </c>
      <c r="P158" s="58">
        <v>6600</v>
      </c>
      <c r="Q158" s="58">
        <v>5079.63</v>
      </c>
      <c r="R158" s="58">
        <v>7200</v>
      </c>
      <c r="S158" s="58">
        <v>76.964100000000002</v>
      </c>
      <c r="T158" s="58">
        <v>600</v>
      </c>
      <c r="U158" s="57">
        <v>0</v>
      </c>
    </row>
    <row r="159" spans="2:21" x14ac:dyDescent="0.25">
      <c r="B159" s="56" t="s">
        <v>266</v>
      </c>
      <c r="C159" s="57">
        <v>0</v>
      </c>
      <c r="D159" s="57">
        <v>0</v>
      </c>
      <c r="E159" s="57">
        <v>0</v>
      </c>
      <c r="F159" s="57">
        <v>0</v>
      </c>
      <c r="G159" s="57">
        <v>0</v>
      </c>
      <c r="H159" s="57">
        <v>0</v>
      </c>
      <c r="I159" s="57">
        <v>0</v>
      </c>
      <c r="J159" s="57">
        <v>0</v>
      </c>
      <c r="K159" s="57">
        <v>0</v>
      </c>
      <c r="L159" s="58">
        <v>292.67</v>
      </c>
      <c r="M159" s="58">
        <v>31.37</v>
      </c>
      <c r="N159" s="57">
        <v>0</v>
      </c>
      <c r="O159" s="58">
        <v>324.04000000000002</v>
      </c>
      <c r="P159" s="57">
        <v>0</v>
      </c>
      <c r="Q159" s="58">
        <v>-324.04000000000002</v>
      </c>
      <c r="R159" s="57">
        <v>0</v>
      </c>
      <c r="S159" s="57">
        <v>0</v>
      </c>
      <c r="T159" s="57">
        <v>0</v>
      </c>
      <c r="U159" s="57">
        <v>0</v>
      </c>
    </row>
    <row r="160" spans="2:21" x14ac:dyDescent="0.25">
      <c r="B160" s="53" t="s">
        <v>310</v>
      </c>
      <c r="C160" s="55">
        <v>0</v>
      </c>
      <c r="D160" s="55">
        <v>0</v>
      </c>
      <c r="E160" s="55">
        <v>0</v>
      </c>
      <c r="F160" s="55">
        <v>0</v>
      </c>
      <c r="G160" s="55">
        <v>0</v>
      </c>
      <c r="H160" s="55">
        <v>0</v>
      </c>
      <c r="I160" s="55">
        <v>0</v>
      </c>
      <c r="J160" s="55">
        <v>0</v>
      </c>
      <c r="K160" s="55">
        <v>0</v>
      </c>
      <c r="L160" s="54">
        <v>1174.8699999999999</v>
      </c>
      <c r="M160" s="54">
        <v>671.68</v>
      </c>
      <c r="N160" s="55">
        <v>0</v>
      </c>
      <c r="O160" s="54">
        <v>1846.55</v>
      </c>
      <c r="P160" s="54">
        <v>6600</v>
      </c>
      <c r="Q160" s="54">
        <v>4753.45</v>
      </c>
      <c r="R160" s="54">
        <v>7200</v>
      </c>
      <c r="S160" s="54">
        <v>72.022000000000006</v>
      </c>
      <c r="T160" s="54">
        <v>600</v>
      </c>
      <c r="U160" s="55">
        <v>0</v>
      </c>
    </row>
    <row r="161" spans="2:21" x14ac:dyDescent="0.25">
      <c r="B161" s="56" t="s">
        <v>311</v>
      </c>
      <c r="C161" s="57">
        <v>0</v>
      </c>
      <c r="D161" s="57">
        <v>0</v>
      </c>
      <c r="E161" s="57">
        <v>0</v>
      </c>
      <c r="F161" s="57">
        <v>0</v>
      </c>
      <c r="G161" s="57">
        <v>0</v>
      </c>
      <c r="H161" s="57">
        <v>0</v>
      </c>
      <c r="I161" s="57">
        <v>0</v>
      </c>
      <c r="J161" s="57">
        <v>0</v>
      </c>
      <c r="K161" s="57">
        <v>0</v>
      </c>
      <c r="L161" s="58">
        <v>2160.4299999999998</v>
      </c>
      <c r="M161" s="58">
        <v>235.53</v>
      </c>
      <c r="N161" s="57">
        <v>0</v>
      </c>
      <c r="O161" s="58">
        <v>2395.96</v>
      </c>
      <c r="P161" s="58">
        <v>3241.37</v>
      </c>
      <c r="Q161" s="58">
        <v>845.41</v>
      </c>
      <c r="R161" s="58">
        <v>3536.04</v>
      </c>
      <c r="S161" s="58">
        <v>26.081900000000001</v>
      </c>
      <c r="T161" s="58">
        <v>294.67</v>
      </c>
      <c r="U161" s="57">
        <v>0</v>
      </c>
    </row>
    <row r="162" spans="2:21" x14ac:dyDescent="0.25">
      <c r="B162" s="53" t="s">
        <v>312</v>
      </c>
      <c r="C162" s="55">
        <v>0</v>
      </c>
      <c r="D162" s="55">
        <v>0</v>
      </c>
      <c r="E162" s="55">
        <v>0</v>
      </c>
      <c r="F162" s="55">
        <v>0</v>
      </c>
      <c r="G162" s="55">
        <v>0</v>
      </c>
      <c r="H162" s="55">
        <v>0</v>
      </c>
      <c r="I162" s="55">
        <v>0</v>
      </c>
      <c r="J162" s="55">
        <v>0</v>
      </c>
      <c r="K162" s="55">
        <v>0</v>
      </c>
      <c r="L162" s="54">
        <v>2160.4299999999998</v>
      </c>
      <c r="M162" s="54">
        <v>235.53</v>
      </c>
      <c r="N162" s="55">
        <v>0</v>
      </c>
      <c r="O162" s="54">
        <v>2395.96</v>
      </c>
      <c r="P162" s="54">
        <v>3241.37</v>
      </c>
      <c r="Q162" s="54">
        <v>845.41</v>
      </c>
      <c r="R162" s="54">
        <v>3536.04</v>
      </c>
      <c r="S162" s="54">
        <v>26.081900000000001</v>
      </c>
      <c r="T162" s="54">
        <v>294.67</v>
      </c>
      <c r="U162" s="55">
        <v>0</v>
      </c>
    </row>
    <row r="163" spans="2:21" x14ac:dyDescent="0.25">
      <c r="B163" s="56" t="s">
        <v>191</v>
      </c>
      <c r="C163" s="57">
        <v>0</v>
      </c>
      <c r="D163" s="57">
        <v>0</v>
      </c>
      <c r="E163" s="57">
        <v>0</v>
      </c>
      <c r="F163" s="57">
        <v>0</v>
      </c>
      <c r="G163" s="57">
        <v>0</v>
      </c>
      <c r="H163" s="57">
        <v>0</v>
      </c>
      <c r="I163" s="57">
        <v>0</v>
      </c>
      <c r="J163" s="57">
        <v>0</v>
      </c>
      <c r="K163" s="57">
        <v>0</v>
      </c>
      <c r="L163" s="58">
        <v>83333.3</v>
      </c>
      <c r="M163" s="58">
        <v>8333.33</v>
      </c>
      <c r="N163" s="57">
        <v>0</v>
      </c>
      <c r="O163" s="58">
        <v>91666.63</v>
      </c>
      <c r="P163" s="57">
        <v>0</v>
      </c>
      <c r="Q163" s="58">
        <v>-91666.63</v>
      </c>
      <c r="R163" s="57">
        <v>0</v>
      </c>
      <c r="S163" s="57">
        <v>0</v>
      </c>
      <c r="T163" s="57">
        <v>0</v>
      </c>
      <c r="U163" s="57">
        <v>0</v>
      </c>
    </row>
    <row r="164" spans="2:21" x14ac:dyDescent="0.25">
      <c r="B164" s="56" t="s">
        <v>295</v>
      </c>
      <c r="C164" s="57">
        <v>0</v>
      </c>
      <c r="D164" s="57">
        <v>0</v>
      </c>
      <c r="E164" s="57">
        <v>0</v>
      </c>
      <c r="F164" s="57">
        <v>0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8">
        <v>1623.81</v>
      </c>
      <c r="M164" s="57">
        <v>0</v>
      </c>
      <c r="N164" s="57">
        <v>0</v>
      </c>
      <c r="O164" s="58">
        <v>1623.81</v>
      </c>
      <c r="P164" s="58">
        <v>136216.63</v>
      </c>
      <c r="Q164" s="58">
        <v>134592.82</v>
      </c>
      <c r="R164" s="58">
        <v>165249.96</v>
      </c>
      <c r="S164" s="58">
        <v>98.807900000000004</v>
      </c>
      <c r="T164" s="58">
        <v>12383.33</v>
      </c>
      <c r="U164" s="57">
        <v>0</v>
      </c>
    </row>
    <row r="165" spans="2:21" x14ac:dyDescent="0.25">
      <c r="B165" s="56" t="s">
        <v>296</v>
      </c>
      <c r="C165" s="57">
        <v>0</v>
      </c>
      <c r="D165" s="57">
        <v>0</v>
      </c>
      <c r="E165" s="57">
        <v>0</v>
      </c>
      <c r="F165" s="57">
        <v>0</v>
      </c>
      <c r="G165" s="57">
        <v>0</v>
      </c>
      <c r="H165" s="57">
        <v>0</v>
      </c>
      <c r="I165" s="57">
        <v>0</v>
      </c>
      <c r="J165" s="57">
        <v>0</v>
      </c>
      <c r="K165" s="57">
        <v>0</v>
      </c>
      <c r="L165" s="58">
        <v>1357.29</v>
      </c>
      <c r="M165" s="58">
        <v>28.44</v>
      </c>
      <c r="N165" s="57">
        <v>0</v>
      </c>
      <c r="O165" s="58">
        <v>1385.73</v>
      </c>
      <c r="P165" s="57">
        <v>0</v>
      </c>
      <c r="Q165" s="58">
        <v>-1385.73</v>
      </c>
      <c r="R165" s="57">
        <v>0</v>
      </c>
      <c r="S165" s="57">
        <v>0</v>
      </c>
      <c r="T165" s="57">
        <v>0</v>
      </c>
      <c r="U165" s="57">
        <v>0</v>
      </c>
    </row>
    <row r="166" spans="2:21" x14ac:dyDescent="0.25">
      <c r="B166" s="56" t="s">
        <v>297</v>
      </c>
      <c r="C166" s="57">
        <v>0</v>
      </c>
      <c r="D166" s="57">
        <v>0</v>
      </c>
      <c r="E166" s="57">
        <v>0</v>
      </c>
      <c r="F166" s="57">
        <v>0</v>
      </c>
      <c r="G166" s="57">
        <v>0</v>
      </c>
      <c r="H166" s="57">
        <v>0</v>
      </c>
      <c r="I166" s="57">
        <v>0</v>
      </c>
      <c r="J166" s="57">
        <v>0</v>
      </c>
      <c r="K166" s="57">
        <v>0</v>
      </c>
      <c r="L166" s="58">
        <v>4448.6499999999996</v>
      </c>
      <c r="M166" s="58">
        <v>1944.59</v>
      </c>
      <c r="N166" s="57">
        <v>0</v>
      </c>
      <c r="O166" s="58">
        <v>6393.24</v>
      </c>
      <c r="P166" s="57">
        <v>0</v>
      </c>
      <c r="Q166" s="58">
        <v>-6393.24</v>
      </c>
      <c r="R166" s="57">
        <v>0</v>
      </c>
      <c r="S166" s="57">
        <v>0</v>
      </c>
      <c r="T166" s="57">
        <v>0</v>
      </c>
      <c r="U166" s="57">
        <v>0</v>
      </c>
    </row>
    <row r="167" spans="2:21" x14ac:dyDescent="0.25">
      <c r="B167" s="56" t="s">
        <v>313</v>
      </c>
      <c r="C167" s="57">
        <v>0</v>
      </c>
      <c r="D167" s="57">
        <v>0</v>
      </c>
      <c r="E167" s="57">
        <v>0</v>
      </c>
      <c r="F167" s="57">
        <v>0</v>
      </c>
      <c r="G167" s="57">
        <v>0</v>
      </c>
      <c r="H167" s="57">
        <v>0</v>
      </c>
      <c r="I167" s="57">
        <v>0</v>
      </c>
      <c r="J167" s="57">
        <v>0</v>
      </c>
      <c r="K167" s="57">
        <v>0</v>
      </c>
      <c r="L167" s="58">
        <v>149.76</v>
      </c>
      <c r="M167" s="57">
        <v>0</v>
      </c>
      <c r="N167" s="57">
        <v>0</v>
      </c>
      <c r="O167" s="58">
        <v>149.76</v>
      </c>
      <c r="P167" s="57">
        <v>0</v>
      </c>
      <c r="Q167" s="58">
        <v>-149.76</v>
      </c>
      <c r="R167" s="57">
        <v>0</v>
      </c>
      <c r="S167" s="57">
        <v>0</v>
      </c>
      <c r="T167" s="57">
        <v>0</v>
      </c>
      <c r="U167" s="57">
        <v>0</v>
      </c>
    </row>
    <row r="168" spans="2:21" x14ac:dyDescent="0.25">
      <c r="B168" s="56" t="s">
        <v>298</v>
      </c>
      <c r="C168" s="57">
        <v>0</v>
      </c>
      <c r="D168" s="57">
        <v>0</v>
      </c>
      <c r="E168" s="57">
        <v>0</v>
      </c>
      <c r="F168" s="57">
        <v>0</v>
      </c>
      <c r="G168" s="57">
        <v>0</v>
      </c>
      <c r="H168" s="57">
        <v>0</v>
      </c>
      <c r="I168" s="57">
        <v>0</v>
      </c>
      <c r="J168" s="57">
        <v>0</v>
      </c>
      <c r="K168" s="57">
        <v>0</v>
      </c>
      <c r="L168" s="58">
        <v>110296.53</v>
      </c>
      <c r="M168" s="58">
        <v>8207.44</v>
      </c>
      <c r="N168" s="57">
        <v>0</v>
      </c>
      <c r="O168" s="58">
        <v>118503.97</v>
      </c>
      <c r="P168" s="57">
        <v>0</v>
      </c>
      <c r="Q168" s="58">
        <v>-118503.97</v>
      </c>
      <c r="R168" s="57">
        <v>0</v>
      </c>
      <c r="S168" s="57">
        <v>0</v>
      </c>
      <c r="T168" s="57">
        <v>0</v>
      </c>
      <c r="U168" s="57">
        <v>0</v>
      </c>
    </row>
    <row r="169" spans="2:21" x14ac:dyDescent="0.25">
      <c r="B169" s="53" t="s">
        <v>314</v>
      </c>
      <c r="C169" s="55">
        <v>0</v>
      </c>
      <c r="D169" s="55">
        <v>0</v>
      </c>
      <c r="E169" s="55">
        <v>0</v>
      </c>
      <c r="F169" s="55">
        <v>0</v>
      </c>
      <c r="G169" s="55">
        <v>0</v>
      </c>
      <c r="H169" s="55">
        <v>0</v>
      </c>
      <c r="I169" s="55">
        <v>0</v>
      </c>
      <c r="J169" s="55">
        <v>0</v>
      </c>
      <c r="K169" s="55">
        <v>0</v>
      </c>
      <c r="L169" s="54">
        <v>201209.34</v>
      </c>
      <c r="M169" s="54">
        <v>18513.8</v>
      </c>
      <c r="N169" s="55">
        <v>0</v>
      </c>
      <c r="O169" s="54">
        <v>219723.14</v>
      </c>
      <c r="P169" s="54">
        <v>136216.63</v>
      </c>
      <c r="Q169" s="54">
        <v>-83506.509999999995</v>
      </c>
      <c r="R169" s="54">
        <v>165249.96</v>
      </c>
      <c r="S169" s="54">
        <v>-61.304200000000002</v>
      </c>
      <c r="T169" s="54">
        <v>12383.33</v>
      </c>
      <c r="U169" s="55">
        <v>0</v>
      </c>
    </row>
    <row r="170" spans="2:21" x14ac:dyDescent="0.25">
      <c r="B170" s="56" t="s">
        <v>243</v>
      </c>
      <c r="C170" s="57">
        <v>0</v>
      </c>
      <c r="D170" s="57">
        <v>0</v>
      </c>
      <c r="E170" s="57">
        <v>0</v>
      </c>
      <c r="F170" s="57">
        <v>0</v>
      </c>
      <c r="G170" s="57">
        <v>0</v>
      </c>
      <c r="H170" s="57">
        <v>0</v>
      </c>
      <c r="I170" s="57">
        <v>0</v>
      </c>
      <c r="J170" s="57">
        <v>0</v>
      </c>
      <c r="K170" s="57">
        <v>0</v>
      </c>
      <c r="L170" s="58">
        <v>27899.17</v>
      </c>
      <c r="M170" s="58">
        <v>15568.27</v>
      </c>
      <c r="N170" s="57">
        <v>0</v>
      </c>
      <c r="O170" s="58">
        <v>43467.44</v>
      </c>
      <c r="P170" s="58">
        <v>39600</v>
      </c>
      <c r="Q170" s="58">
        <v>-3867.44</v>
      </c>
      <c r="R170" s="58">
        <v>43200</v>
      </c>
      <c r="S170" s="58">
        <v>-9.7662999999999993</v>
      </c>
      <c r="T170" s="58">
        <v>3600</v>
      </c>
      <c r="U170" s="57">
        <v>0</v>
      </c>
    </row>
    <row r="171" spans="2:21" x14ac:dyDescent="0.25">
      <c r="B171" s="56" t="s">
        <v>253</v>
      </c>
      <c r="C171" s="57">
        <v>0</v>
      </c>
      <c r="D171" s="57">
        <v>0</v>
      </c>
      <c r="E171" s="57">
        <v>0</v>
      </c>
      <c r="F171" s="57">
        <v>0</v>
      </c>
      <c r="G171" s="57">
        <v>0</v>
      </c>
      <c r="H171" s="57">
        <v>0</v>
      </c>
      <c r="I171" s="57">
        <v>0</v>
      </c>
      <c r="J171" s="57">
        <v>0</v>
      </c>
      <c r="K171" s="57">
        <v>0</v>
      </c>
      <c r="L171" s="58">
        <v>4836.68</v>
      </c>
      <c r="M171" s="57">
        <v>0</v>
      </c>
      <c r="N171" s="57">
        <v>0</v>
      </c>
      <c r="O171" s="58">
        <v>4836.68</v>
      </c>
      <c r="P171" s="57">
        <v>0</v>
      </c>
      <c r="Q171" s="58">
        <v>-4836.68</v>
      </c>
      <c r="R171" s="57">
        <v>0</v>
      </c>
      <c r="S171" s="57">
        <v>0</v>
      </c>
      <c r="T171" s="57">
        <v>0</v>
      </c>
      <c r="U171" s="57">
        <v>0</v>
      </c>
    </row>
    <row r="172" spans="2:21" x14ac:dyDescent="0.25">
      <c r="B172" s="56" t="s">
        <v>315</v>
      </c>
      <c r="C172" s="57">
        <v>0</v>
      </c>
      <c r="D172" s="57">
        <v>0</v>
      </c>
      <c r="E172" s="57">
        <v>0</v>
      </c>
      <c r="F172" s="57">
        <v>0</v>
      </c>
      <c r="G172" s="57">
        <v>0</v>
      </c>
      <c r="H172" s="57">
        <v>0</v>
      </c>
      <c r="I172" s="57">
        <v>0</v>
      </c>
      <c r="J172" s="57">
        <v>0</v>
      </c>
      <c r="K172" s="57">
        <v>0</v>
      </c>
      <c r="L172" s="58">
        <v>28000</v>
      </c>
      <c r="M172" s="58">
        <v>2800</v>
      </c>
      <c r="N172" s="57">
        <v>0</v>
      </c>
      <c r="O172" s="58">
        <v>30800</v>
      </c>
      <c r="P172" s="57">
        <v>0</v>
      </c>
      <c r="Q172" s="58">
        <v>-30800</v>
      </c>
      <c r="R172" s="57">
        <v>0</v>
      </c>
      <c r="S172" s="57">
        <v>0</v>
      </c>
      <c r="T172" s="57">
        <v>0</v>
      </c>
      <c r="U172" s="57">
        <v>0</v>
      </c>
    </row>
    <row r="173" spans="2:21" x14ac:dyDescent="0.25">
      <c r="B173" s="56" t="s">
        <v>252</v>
      </c>
      <c r="C173" s="57">
        <v>0</v>
      </c>
      <c r="D173" s="57">
        <v>0</v>
      </c>
      <c r="E173" s="57">
        <v>0</v>
      </c>
      <c r="F173" s="57">
        <v>0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8">
        <v>2505.4899999999998</v>
      </c>
      <c r="M173" s="58">
        <v>176.19</v>
      </c>
      <c r="N173" s="57">
        <v>0</v>
      </c>
      <c r="O173" s="58">
        <v>2681.68</v>
      </c>
      <c r="P173" s="57">
        <v>0</v>
      </c>
      <c r="Q173" s="58">
        <v>-2681.68</v>
      </c>
      <c r="R173" s="57">
        <v>0</v>
      </c>
      <c r="S173" s="57">
        <v>0</v>
      </c>
      <c r="T173" s="57">
        <v>0</v>
      </c>
      <c r="U173" s="57">
        <v>0</v>
      </c>
    </row>
    <row r="174" spans="2:21" x14ac:dyDescent="0.25">
      <c r="B174" s="53" t="s">
        <v>316</v>
      </c>
      <c r="C174" s="55">
        <v>0</v>
      </c>
      <c r="D174" s="55">
        <v>0</v>
      </c>
      <c r="E174" s="55">
        <v>0</v>
      </c>
      <c r="F174" s="55">
        <v>0</v>
      </c>
      <c r="G174" s="55">
        <v>0</v>
      </c>
      <c r="H174" s="55">
        <v>0</v>
      </c>
      <c r="I174" s="55">
        <v>0</v>
      </c>
      <c r="J174" s="55">
        <v>0</v>
      </c>
      <c r="K174" s="55">
        <v>0</v>
      </c>
      <c r="L174" s="54">
        <v>63241.34</v>
      </c>
      <c r="M174" s="54">
        <v>18544.46</v>
      </c>
      <c r="N174" s="55">
        <v>0</v>
      </c>
      <c r="O174" s="54">
        <v>81785.8</v>
      </c>
      <c r="P174" s="54">
        <v>39600</v>
      </c>
      <c r="Q174" s="54">
        <v>-42185.8</v>
      </c>
      <c r="R174" s="54">
        <v>43200</v>
      </c>
      <c r="S174" s="54">
        <v>-106.52979999999999</v>
      </c>
      <c r="T174" s="54">
        <v>3600</v>
      </c>
      <c r="U174" s="55">
        <v>0</v>
      </c>
    </row>
    <row r="175" spans="2:21" x14ac:dyDescent="0.25">
      <c r="B175" s="56" t="s">
        <v>261</v>
      </c>
      <c r="C175" s="57">
        <v>0</v>
      </c>
      <c r="D175" s="57">
        <v>0</v>
      </c>
      <c r="E175" s="57">
        <v>0</v>
      </c>
      <c r="F175" s="57">
        <v>0</v>
      </c>
      <c r="G175" s="57">
        <v>0</v>
      </c>
      <c r="H175" s="57">
        <v>0</v>
      </c>
      <c r="I175" s="57">
        <v>0</v>
      </c>
      <c r="J175" s="57">
        <v>0</v>
      </c>
      <c r="K175" s="57">
        <v>0</v>
      </c>
      <c r="L175" s="58">
        <v>385.64</v>
      </c>
      <c r="M175" s="57">
        <v>0</v>
      </c>
      <c r="N175" s="57">
        <v>0</v>
      </c>
      <c r="O175" s="58">
        <v>385.64</v>
      </c>
      <c r="P175" s="57">
        <v>0</v>
      </c>
      <c r="Q175" s="58">
        <v>-385.64</v>
      </c>
      <c r="R175" s="57">
        <v>0</v>
      </c>
      <c r="S175" s="57">
        <v>0</v>
      </c>
      <c r="T175" s="57">
        <v>0</v>
      </c>
      <c r="U175" s="57">
        <v>0</v>
      </c>
    </row>
    <row r="176" spans="2:21" x14ac:dyDescent="0.25">
      <c r="B176" s="53" t="s">
        <v>262</v>
      </c>
      <c r="C176" s="55">
        <v>0</v>
      </c>
      <c r="D176" s="55">
        <v>0</v>
      </c>
      <c r="E176" s="55">
        <v>0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4">
        <v>385.64</v>
      </c>
      <c r="M176" s="55">
        <v>0</v>
      </c>
      <c r="N176" s="55">
        <v>0</v>
      </c>
      <c r="O176" s="54">
        <v>385.64</v>
      </c>
      <c r="P176" s="55">
        <v>0</v>
      </c>
      <c r="Q176" s="54">
        <v>-385.64</v>
      </c>
      <c r="R176" s="55">
        <v>0</v>
      </c>
      <c r="S176" s="55">
        <v>0</v>
      </c>
      <c r="T176" s="55">
        <v>0</v>
      </c>
      <c r="U176" s="55">
        <v>0</v>
      </c>
    </row>
    <row r="177" spans="2:21" x14ac:dyDescent="0.25">
      <c r="B177" s="56" t="s">
        <v>317</v>
      </c>
      <c r="C177" s="57">
        <v>0</v>
      </c>
      <c r="D177" s="57">
        <v>0</v>
      </c>
      <c r="E177" s="57">
        <v>0</v>
      </c>
      <c r="F177" s="57">
        <v>0</v>
      </c>
      <c r="G177" s="57">
        <v>0</v>
      </c>
      <c r="H177" s="57">
        <v>0</v>
      </c>
      <c r="I177" s="57">
        <v>0</v>
      </c>
      <c r="J177" s="57">
        <v>0</v>
      </c>
      <c r="K177" s="57">
        <v>0</v>
      </c>
      <c r="L177" s="58">
        <v>271494.86</v>
      </c>
      <c r="M177" s="58">
        <v>28123.48</v>
      </c>
      <c r="N177" s="57">
        <v>0</v>
      </c>
      <c r="O177" s="58">
        <v>299618.34000000003</v>
      </c>
      <c r="P177" s="58">
        <v>278432</v>
      </c>
      <c r="Q177" s="58">
        <v>-21186.34</v>
      </c>
      <c r="R177" s="58">
        <v>303744</v>
      </c>
      <c r="S177" s="58">
        <v>-7.6092000000000004</v>
      </c>
      <c r="T177" s="58">
        <v>25312</v>
      </c>
      <c r="U177" s="57">
        <v>0</v>
      </c>
    </row>
    <row r="178" spans="2:21" x14ac:dyDescent="0.25">
      <c r="B178" s="53" t="s">
        <v>318</v>
      </c>
      <c r="C178" s="55">
        <v>0</v>
      </c>
      <c r="D178" s="55">
        <v>0</v>
      </c>
      <c r="E178" s="55">
        <v>0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4">
        <v>271494.86</v>
      </c>
      <c r="M178" s="54">
        <v>28123.48</v>
      </c>
      <c r="N178" s="55">
        <v>0</v>
      </c>
      <c r="O178" s="54">
        <v>299618.34000000003</v>
      </c>
      <c r="P178" s="54">
        <v>278432</v>
      </c>
      <c r="Q178" s="54">
        <v>-21186.34</v>
      </c>
      <c r="R178" s="54">
        <v>303744</v>
      </c>
      <c r="S178" s="54">
        <v>-7.6092000000000004</v>
      </c>
      <c r="T178" s="54">
        <v>25312</v>
      </c>
      <c r="U178" s="55">
        <v>0</v>
      </c>
    </row>
    <row r="179" spans="2:21" x14ac:dyDescent="0.25">
      <c r="B179" s="56" t="s">
        <v>319</v>
      </c>
      <c r="C179" s="57">
        <v>0</v>
      </c>
      <c r="D179" s="57">
        <v>0</v>
      </c>
      <c r="E179" s="57">
        <v>0</v>
      </c>
      <c r="F179" s="57">
        <v>0</v>
      </c>
      <c r="G179" s="57">
        <v>0</v>
      </c>
      <c r="H179" s="57">
        <v>0</v>
      </c>
      <c r="I179" s="57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0</v>
      </c>
      <c r="O179" s="57">
        <v>0</v>
      </c>
      <c r="P179" s="58">
        <v>550</v>
      </c>
      <c r="Q179" s="58">
        <v>550</v>
      </c>
      <c r="R179" s="58">
        <v>600</v>
      </c>
      <c r="S179" s="58">
        <v>100</v>
      </c>
      <c r="T179" s="58">
        <v>50</v>
      </c>
      <c r="U179" s="57">
        <v>0</v>
      </c>
    </row>
    <row r="180" spans="2:21" x14ac:dyDescent="0.25">
      <c r="B180" s="56" t="s">
        <v>320</v>
      </c>
      <c r="C180" s="57">
        <v>0</v>
      </c>
      <c r="D180" s="57">
        <v>0</v>
      </c>
      <c r="E180" s="57">
        <v>0</v>
      </c>
      <c r="F180" s="57">
        <v>0</v>
      </c>
      <c r="G180" s="57">
        <v>0</v>
      </c>
      <c r="H180" s="57">
        <v>0</v>
      </c>
      <c r="I180" s="57">
        <v>0</v>
      </c>
      <c r="J180" s="57">
        <v>0</v>
      </c>
      <c r="K180" s="57">
        <v>0</v>
      </c>
      <c r="L180" s="58">
        <v>559.57000000000005</v>
      </c>
      <c r="M180" s="57">
        <v>0</v>
      </c>
      <c r="N180" s="57">
        <v>0</v>
      </c>
      <c r="O180" s="58">
        <v>559.57000000000005</v>
      </c>
      <c r="P180" s="57">
        <v>0</v>
      </c>
      <c r="Q180" s="58">
        <v>-559.57000000000005</v>
      </c>
      <c r="R180" s="57">
        <v>0</v>
      </c>
      <c r="S180" s="57">
        <v>0</v>
      </c>
      <c r="T180" s="57">
        <v>0</v>
      </c>
      <c r="U180" s="57">
        <v>0</v>
      </c>
    </row>
    <row r="181" spans="2:21" x14ac:dyDescent="0.25">
      <c r="B181" s="53" t="s">
        <v>321</v>
      </c>
      <c r="C181" s="55">
        <v>0</v>
      </c>
      <c r="D181" s="55">
        <v>0</v>
      </c>
      <c r="E181" s="55">
        <v>0</v>
      </c>
      <c r="F181" s="55">
        <v>0</v>
      </c>
      <c r="G181" s="55">
        <v>0</v>
      </c>
      <c r="H181" s="55">
        <v>0</v>
      </c>
      <c r="I181" s="55">
        <v>0</v>
      </c>
      <c r="J181" s="55">
        <v>0</v>
      </c>
      <c r="K181" s="55">
        <v>0</v>
      </c>
      <c r="L181" s="54">
        <v>559.57000000000005</v>
      </c>
      <c r="M181" s="55">
        <v>0</v>
      </c>
      <c r="N181" s="55">
        <v>0</v>
      </c>
      <c r="O181" s="54">
        <v>559.57000000000005</v>
      </c>
      <c r="P181" s="54">
        <v>550</v>
      </c>
      <c r="Q181" s="54">
        <v>-9.57</v>
      </c>
      <c r="R181" s="54">
        <v>600</v>
      </c>
      <c r="S181" s="54">
        <v>-1.74</v>
      </c>
      <c r="T181" s="54">
        <v>50</v>
      </c>
      <c r="U181" s="55">
        <v>0</v>
      </c>
    </row>
    <row r="182" spans="2:21" x14ac:dyDescent="0.25">
      <c r="B182" s="56" t="s">
        <v>277</v>
      </c>
      <c r="C182" s="57">
        <v>0</v>
      </c>
      <c r="D182" s="57">
        <v>0</v>
      </c>
      <c r="E182" s="57">
        <v>0</v>
      </c>
      <c r="F182" s="57">
        <v>0</v>
      </c>
      <c r="G182" s="57">
        <v>0</v>
      </c>
      <c r="H182" s="57">
        <v>0</v>
      </c>
      <c r="I182" s="57">
        <v>0</v>
      </c>
      <c r="J182" s="57">
        <v>0</v>
      </c>
      <c r="K182" s="57">
        <v>0</v>
      </c>
      <c r="L182" s="58">
        <v>283.04000000000002</v>
      </c>
      <c r="M182" s="57">
        <v>0</v>
      </c>
      <c r="N182" s="57">
        <v>0</v>
      </c>
      <c r="O182" s="58">
        <v>283.04000000000002</v>
      </c>
      <c r="P182" s="58">
        <v>660</v>
      </c>
      <c r="Q182" s="58">
        <v>376.96</v>
      </c>
      <c r="R182" s="58">
        <v>720</v>
      </c>
      <c r="S182" s="58">
        <v>57.115200000000002</v>
      </c>
      <c r="T182" s="58">
        <v>60</v>
      </c>
      <c r="U182" s="57">
        <v>0</v>
      </c>
    </row>
    <row r="183" spans="2:21" x14ac:dyDescent="0.25">
      <c r="B183" s="53" t="s">
        <v>322</v>
      </c>
      <c r="C183" s="55">
        <v>0</v>
      </c>
      <c r="D183" s="55">
        <v>0</v>
      </c>
      <c r="E183" s="55">
        <v>0</v>
      </c>
      <c r="F183" s="55">
        <v>0</v>
      </c>
      <c r="G183" s="55">
        <v>0</v>
      </c>
      <c r="H183" s="55">
        <v>0</v>
      </c>
      <c r="I183" s="55">
        <v>0</v>
      </c>
      <c r="J183" s="55">
        <v>0</v>
      </c>
      <c r="K183" s="55">
        <v>0</v>
      </c>
      <c r="L183" s="54">
        <v>283.04000000000002</v>
      </c>
      <c r="M183" s="55">
        <v>0</v>
      </c>
      <c r="N183" s="55">
        <v>0</v>
      </c>
      <c r="O183" s="54">
        <v>283.04000000000002</v>
      </c>
      <c r="P183" s="54">
        <v>660</v>
      </c>
      <c r="Q183" s="54">
        <v>376.96</v>
      </c>
      <c r="R183" s="54">
        <v>720</v>
      </c>
      <c r="S183" s="54">
        <v>57.115200000000002</v>
      </c>
      <c r="T183" s="54">
        <v>60</v>
      </c>
      <c r="U183" s="55">
        <v>0</v>
      </c>
    </row>
    <row r="184" spans="2:21" x14ac:dyDescent="0.25">
      <c r="B184" s="56" t="s">
        <v>323</v>
      </c>
      <c r="C184" s="57">
        <v>0</v>
      </c>
      <c r="D184" s="57">
        <v>0</v>
      </c>
      <c r="E184" s="57">
        <v>0</v>
      </c>
      <c r="F184" s="57">
        <v>0</v>
      </c>
      <c r="G184" s="57">
        <v>0</v>
      </c>
      <c r="H184" s="57">
        <v>0</v>
      </c>
      <c r="I184" s="57">
        <v>0</v>
      </c>
      <c r="J184" s="57">
        <v>0</v>
      </c>
      <c r="K184" s="57">
        <v>0</v>
      </c>
      <c r="L184" s="58">
        <v>6681.47</v>
      </c>
      <c r="M184" s="57">
        <v>0</v>
      </c>
      <c r="N184" s="57">
        <v>0</v>
      </c>
      <c r="O184" s="58">
        <v>6681.47</v>
      </c>
      <c r="P184" s="58">
        <v>16500</v>
      </c>
      <c r="Q184" s="58">
        <v>9818.5300000000007</v>
      </c>
      <c r="R184" s="58">
        <v>18000</v>
      </c>
      <c r="S184" s="58">
        <v>59.5062</v>
      </c>
      <c r="T184" s="58">
        <v>1500</v>
      </c>
      <c r="U184" s="57">
        <v>0</v>
      </c>
    </row>
    <row r="185" spans="2:21" x14ac:dyDescent="0.25">
      <c r="B185" s="56" t="s">
        <v>324</v>
      </c>
      <c r="C185" s="57">
        <v>0</v>
      </c>
      <c r="D185" s="57">
        <v>0</v>
      </c>
      <c r="E185" s="57">
        <v>0</v>
      </c>
      <c r="F185" s="57">
        <v>0</v>
      </c>
      <c r="G185" s="57">
        <v>0</v>
      </c>
      <c r="H185" s="57">
        <v>0</v>
      </c>
      <c r="I185" s="57">
        <v>0</v>
      </c>
      <c r="J185" s="57">
        <v>0</v>
      </c>
      <c r="K185" s="57">
        <v>0</v>
      </c>
      <c r="L185" s="58">
        <v>10039.51</v>
      </c>
      <c r="M185" s="58">
        <v>702.46</v>
      </c>
      <c r="N185" s="57">
        <v>0</v>
      </c>
      <c r="O185" s="58">
        <v>10741.97</v>
      </c>
      <c r="P185" s="57">
        <v>0</v>
      </c>
      <c r="Q185" s="58">
        <v>-10741.97</v>
      </c>
      <c r="R185" s="57">
        <v>0</v>
      </c>
      <c r="S185" s="57">
        <v>0</v>
      </c>
      <c r="T185" s="57">
        <v>0</v>
      </c>
      <c r="U185" s="57">
        <v>0</v>
      </c>
    </row>
    <row r="186" spans="2:21" x14ac:dyDescent="0.25">
      <c r="B186" s="53" t="s">
        <v>325</v>
      </c>
      <c r="C186" s="55">
        <v>0</v>
      </c>
      <c r="D186" s="55">
        <v>0</v>
      </c>
      <c r="E186" s="55">
        <v>0</v>
      </c>
      <c r="F186" s="55">
        <v>0</v>
      </c>
      <c r="G186" s="55">
        <v>0</v>
      </c>
      <c r="H186" s="55">
        <v>0</v>
      </c>
      <c r="I186" s="55">
        <v>0</v>
      </c>
      <c r="J186" s="55">
        <v>0</v>
      </c>
      <c r="K186" s="55">
        <v>0</v>
      </c>
      <c r="L186" s="54">
        <v>16720.98</v>
      </c>
      <c r="M186" s="54">
        <v>702.46</v>
      </c>
      <c r="N186" s="55">
        <v>0</v>
      </c>
      <c r="O186" s="54">
        <v>17423.439999999999</v>
      </c>
      <c r="P186" s="54">
        <v>16500</v>
      </c>
      <c r="Q186" s="54">
        <v>-923.44</v>
      </c>
      <c r="R186" s="54">
        <v>18000</v>
      </c>
      <c r="S186" s="54">
        <v>-5.5965999999999996</v>
      </c>
      <c r="T186" s="54">
        <v>1500</v>
      </c>
      <c r="U186" s="55">
        <v>0</v>
      </c>
    </row>
    <row r="187" spans="2:21" x14ac:dyDescent="0.25">
      <c r="B187" s="56" t="s">
        <v>290</v>
      </c>
      <c r="C187" s="57">
        <v>0</v>
      </c>
      <c r="D187" s="57">
        <v>0</v>
      </c>
      <c r="E187" s="57">
        <v>0</v>
      </c>
      <c r="F187" s="57">
        <v>0</v>
      </c>
      <c r="G187" s="57">
        <v>0</v>
      </c>
      <c r="H187" s="57">
        <v>0</v>
      </c>
      <c r="I187" s="57">
        <v>0</v>
      </c>
      <c r="J187" s="57">
        <v>0</v>
      </c>
      <c r="K187" s="57">
        <v>0</v>
      </c>
      <c r="L187" s="57">
        <v>0</v>
      </c>
      <c r="M187" s="57">
        <v>0</v>
      </c>
      <c r="N187" s="57">
        <v>0</v>
      </c>
      <c r="O187" s="57">
        <v>0</v>
      </c>
      <c r="P187" s="58">
        <v>23104.11</v>
      </c>
      <c r="Q187" s="58">
        <v>23104.11</v>
      </c>
      <c r="R187" s="58">
        <v>24988.12</v>
      </c>
      <c r="S187" s="58">
        <v>100</v>
      </c>
      <c r="T187" s="58">
        <v>1984.01</v>
      </c>
      <c r="U187" s="57">
        <v>0</v>
      </c>
    </row>
    <row r="188" spans="2:21" x14ac:dyDescent="0.25">
      <c r="B188" s="56" t="s">
        <v>265</v>
      </c>
      <c r="C188" s="57">
        <v>0</v>
      </c>
      <c r="D188" s="57">
        <v>0</v>
      </c>
      <c r="E188" s="57">
        <v>0</v>
      </c>
      <c r="F188" s="57">
        <v>0</v>
      </c>
      <c r="G188" s="57">
        <v>0</v>
      </c>
      <c r="H188" s="57">
        <v>0</v>
      </c>
      <c r="I188" s="57">
        <v>0</v>
      </c>
      <c r="J188" s="57">
        <v>0</v>
      </c>
      <c r="K188" s="57">
        <v>0</v>
      </c>
      <c r="L188" s="58">
        <v>2624.3</v>
      </c>
      <c r="M188" s="58">
        <v>306.44</v>
      </c>
      <c r="N188" s="57">
        <v>0</v>
      </c>
      <c r="O188" s="58">
        <v>2930.74</v>
      </c>
      <c r="P188" s="57">
        <v>0</v>
      </c>
      <c r="Q188" s="58">
        <v>-2930.74</v>
      </c>
      <c r="R188" s="57">
        <v>0</v>
      </c>
      <c r="S188" s="57">
        <v>0</v>
      </c>
      <c r="T188" s="57">
        <v>0</v>
      </c>
      <c r="U188" s="57">
        <v>0</v>
      </c>
    </row>
    <row r="189" spans="2:21" x14ac:dyDescent="0.25">
      <c r="B189" s="56" t="s">
        <v>291</v>
      </c>
      <c r="C189" s="57">
        <v>0</v>
      </c>
      <c r="D189" s="57">
        <v>0</v>
      </c>
      <c r="E189" s="57">
        <v>0</v>
      </c>
      <c r="F189" s="57">
        <v>0</v>
      </c>
      <c r="G189" s="57">
        <v>0</v>
      </c>
      <c r="H189" s="57">
        <v>0</v>
      </c>
      <c r="I189" s="57">
        <v>0</v>
      </c>
      <c r="J189" s="57">
        <v>0</v>
      </c>
      <c r="K189" s="57">
        <v>0</v>
      </c>
      <c r="L189" s="58">
        <v>10084.299999999999</v>
      </c>
      <c r="M189" s="58">
        <v>3020.62</v>
      </c>
      <c r="N189" s="57">
        <v>0</v>
      </c>
      <c r="O189" s="58">
        <v>13104.92</v>
      </c>
      <c r="P189" s="57">
        <v>0</v>
      </c>
      <c r="Q189" s="58">
        <v>-13104.92</v>
      </c>
      <c r="R189" s="57">
        <v>0</v>
      </c>
      <c r="S189" s="57">
        <v>0</v>
      </c>
      <c r="T189" s="57">
        <v>0</v>
      </c>
      <c r="U189" s="57">
        <v>0</v>
      </c>
    </row>
    <row r="190" spans="2:21" x14ac:dyDescent="0.25">
      <c r="B190" s="56" t="s">
        <v>293</v>
      </c>
      <c r="C190" s="57">
        <v>0</v>
      </c>
      <c r="D190" s="57">
        <v>0</v>
      </c>
      <c r="E190" s="57">
        <v>0</v>
      </c>
      <c r="F190" s="57">
        <v>0</v>
      </c>
      <c r="G190" s="57">
        <v>0</v>
      </c>
      <c r="H190" s="57">
        <v>0</v>
      </c>
      <c r="I190" s="57">
        <v>0</v>
      </c>
      <c r="J190" s="57">
        <v>0</v>
      </c>
      <c r="K190" s="57">
        <v>0</v>
      </c>
      <c r="L190" s="58">
        <v>3914.62</v>
      </c>
      <c r="M190" s="58">
        <v>242.75</v>
      </c>
      <c r="N190" s="57">
        <v>0</v>
      </c>
      <c r="O190" s="58">
        <v>4157.37</v>
      </c>
      <c r="P190" s="57">
        <v>0</v>
      </c>
      <c r="Q190" s="58">
        <v>-4157.37</v>
      </c>
      <c r="R190" s="57">
        <v>0</v>
      </c>
      <c r="S190" s="57">
        <v>0</v>
      </c>
      <c r="T190" s="57">
        <v>0</v>
      </c>
      <c r="U190" s="57">
        <v>0</v>
      </c>
    </row>
    <row r="191" spans="2:21" x14ac:dyDescent="0.25">
      <c r="B191" s="53" t="s">
        <v>326</v>
      </c>
      <c r="C191" s="55">
        <v>0</v>
      </c>
      <c r="D191" s="55">
        <v>0</v>
      </c>
      <c r="E191" s="55">
        <v>0</v>
      </c>
      <c r="F191" s="55">
        <v>0</v>
      </c>
      <c r="G191" s="55">
        <v>0</v>
      </c>
      <c r="H191" s="55">
        <v>0</v>
      </c>
      <c r="I191" s="55">
        <v>0</v>
      </c>
      <c r="J191" s="55">
        <v>0</v>
      </c>
      <c r="K191" s="55">
        <v>0</v>
      </c>
      <c r="L191" s="54">
        <v>16623.22</v>
      </c>
      <c r="M191" s="54">
        <v>3569.81</v>
      </c>
      <c r="N191" s="55">
        <v>0</v>
      </c>
      <c r="O191" s="54">
        <v>20193.03</v>
      </c>
      <c r="P191" s="54">
        <v>23104.11</v>
      </c>
      <c r="Q191" s="54">
        <v>2911.08</v>
      </c>
      <c r="R191" s="54">
        <v>24988.12</v>
      </c>
      <c r="S191" s="54">
        <v>12.5998</v>
      </c>
      <c r="T191" s="54">
        <v>1984.01</v>
      </c>
      <c r="U191" s="55">
        <v>0</v>
      </c>
    </row>
    <row r="192" spans="2:21" x14ac:dyDescent="0.25">
      <c r="B192" s="56" t="s">
        <v>300</v>
      </c>
      <c r="C192" s="57">
        <v>0</v>
      </c>
      <c r="D192" s="57">
        <v>0</v>
      </c>
      <c r="E192" s="57">
        <v>0</v>
      </c>
      <c r="F192" s="57">
        <v>0</v>
      </c>
      <c r="G192" s="57">
        <v>0</v>
      </c>
      <c r="H192" s="57">
        <v>0</v>
      </c>
      <c r="I192" s="57">
        <v>0</v>
      </c>
      <c r="J192" s="57">
        <v>0</v>
      </c>
      <c r="K192" s="57">
        <v>0</v>
      </c>
      <c r="L192" s="58">
        <v>1033.08</v>
      </c>
      <c r="M192" s="58">
        <v>257.18</v>
      </c>
      <c r="N192" s="57">
        <v>0</v>
      </c>
      <c r="O192" s="58">
        <v>1290.26</v>
      </c>
      <c r="P192" s="58">
        <v>825</v>
      </c>
      <c r="Q192" s="58">
        <v>-465.26</v>
      </c>
      <c r="R192" s="58">
        <v>900</v>
      </c>
      <c r="S192" s="58">
        <v>-56.395200000000003</v>
      </c>
      <c r="T192" s="58">
        <v>75</v>
      </c>
      <c r="U192" s="57">
        <v>0</v>
      </c>
    </row>
    <row r="193" spans="2:21" x14ac:dyDescent="0.25">
      <c r="B193" s="53" t="s">
        <v>327</v>
      </c>
      <c r="C193" s="55">
        <v>0</v>
      </c>
      <c r="D193" s="55">
        <v>0</v>
      </c>
      <c r="E193" s="55">
        <v>0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  <c r="K193" s="55">
        <v>0</v>
      </c>
      <c r="L193" s="54">
        <v>1033.08</v>
      </c>
      <c r="M193" s="54">
        <v>257.18</v>
      </c>
      <c r="N193" s="55">
        <v>0</v>
      </c>
      <c r="O193" s="54">
        <v>1290.26</v>
      </c>
      <c r="P193" s="54">
        <v>825</v>
      </c>
      <c r="Q193" s="54">
        <v>-465.26</v>
      </c>
      <c r="R193" s="54">
        <v>900</v>
      </c>
      <c r="S193" s="54">
        <v>-56.395200000000003</v>
      </c>
      <c r="T193" s="54">
        <v>75</v>
      </c>
      <c r="U193" s="55">
        <v>0</v>
      </c>
    </row>
    <row r="194" spans="2:21" x14ac:dyDescent="0.25">
      <c r="B194" s="56" t="s">
        <v>328</v>
      </c>
      <c r="C194" s="57">
        <v>0</v>
      </c>
      <c r="D194" s="57">
        <v>0</v>
      </c>
      <c r="E194" s="57">
        <v>0</v>
      </c>
      <c r="F194" s="57">
        <v>0</v>
      </c>
      <c r="G194" s="57">
        <v>0</v>
      </c>
      <c r="H194" s="57">
        <v>0</v>
      </c>
      <c r="I194" s="57">
        <v>0</v>
      </c>
      <c r="J194" s="57">
        <v>0</v>
      </c>
      <c r="K194" s="57">
        <v>0</v>
      </c>
      <c r="L194" s="58">
        <v>3491.88</v>
      </c>
      <c r="M194" s="57">
        <v>0</v>
      </c>
      <c r="N194" s="57">
        <v>0</v>
      </c>
      <c r="O194" s="58">
        <v>3491.88</v>
      </c>
      <c r="P194" s="58">
        <v>12100</v>
      </c>
      <c r="Q194" s="58">
        <v>8608.1200000000008</v>
      </c>
      <c r="R194" s="58">
        <v>13200</v>
      </c>
      <c r="S194" s="58">
        <v>71.141499999999994</v>
      </c>
      <c r="T194" s="58">
        <v>1100</v>
      </c>
      <c r="U194" s="57">
        <v>0</v>
      </c>
    </row>
    <row r="195" spans="2:21" x14ac:dyDescent="0.25">
      <c r="B195" s="56" t="s">
        <v>329</v>
      </c>
      <c r="C195" s="57">
        <v>0</v>
      </c>
      <c r="D195" s="57">
        <v>0</v>
      </c>
      <c r="E195" s="57">
        <v>0</v>
      </c>
      <c r="F195" s="57">
        <v>0</v>
      </c>
      <c r="G195" s="57">
        <v>0</v>
      </c>
      <c r="H195" s="57">
        <v>0</v>
      </c>
      <c r="I195" s="57">
        <v>0</v>
      </c>
      <c r="J195" s="57">
        <v>0</v>
      </c>
      <c r="K195" s="57">
        <v>0</v>
      </c>
      <c r="L195" s="58">
        <v>10513.45</v>
      </c>
      <c r="M195" s="58">
        <v>1063.3599999999999</v>
      </c>
      <c r="N195" s="57">
        <v>0</v>
      </c>
      <c r="O195" s="58">
        <v>11576.81</v>
      </c>
      <c r="P195" s="57">
        <v>0</v>
      </c>
      <c r="Q195" s="58">
        <v>-11576.81</v>
      </c>
      <c r="R195" s="57">
        <v>0</v>
      </c>
      <c r="S195" s="57">
        <v>0</v>
      </c>
      <c r="T195" s="57">
        <v>0</v>
      </c>
      <c r="U195" s="57">
        <v>0</v>
      </c>
    </row>
    <row r="196" spans="2:21" x14ac:dyDescent="0.25">
      <c r="B196" s="53" t="s">
        <v>330</v>
      </c>
      <c r="C196" s="55">
        <v>0</v>
      </c>
      <c r="D196" s="55">
        <v>0</v>
      </c>
      <c r="E196" s="55">
        <v>0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  <c r="K196" s="55">
        <v>0</v>
      </c>
      <c r="L196" s="54">
        <v>14005.33</v>
      </c>
      <c r="M196" s="54">
        <v>1063.3599999999999</v>
      </c>
      <c r="N196" s="55">
        <v>0</v>
      </c>
      <c r="O196" s="54">
        <v>15068.69</v>
      </c>
      <c r="P196" s="54">
        <v>12100</v>
      </c>
      <c r="Q196" s="54">
        <v>-2968.69</v>
      </c>
      <c r="R196" s="54">
        <v>13200</v>
      </c>
      <c r="S196" s="54">
        <v>-24.534600000000001</v>
      </c>
      <c r="T196" s="54">
        <v>1100</v>
      </c>
      <c r="U196" s="55">
        <v>0</v>
      </c>
    </row>
    <row r="197" spans="2:21" x14ac:dyDescent="0.25">
      <c r="B197" s="56" t="s">
        <v>331</v>
      </c>
      <c r="C197" s="57">
        <v>0</v>
      </c>
      <c r="D197" s="57">
        <v>0</v>
      </c>
      <c r="E197" s="57">
        <v>0</v>
      </c>
      <c r="F197" s="57">
        <v>0</v>
      </c>
      <c r="G197" s="57">
        <v>0</v>
      </c>
      <c r="H197" s="57">
        <v>0</v>
      </c>
      <c r="I197" s="57">
        <v>0</v>
      </c>
      <c r="J197" s="57">
        <v>0</v>
      </c>
      <c r="K197" s="57">
        <v>0</v>
      </c>
      <c r="L197" s="57">
        <v>0</v>
      </c>
      <c r="M197" s="57">
        <v>0</v>
      </c>
      <c r="N197" s="57">
        <v>0</v>
      </c>
      <c r="O197" s="57">
        <v>0</v>
      </c>
      <c r="P197" s="58">
        <v>4010.93</v>
      </c>
      <c r="Q197" s="58">
        <v>4010.93</v>
      </c>
      <c r="R197" s="58">
        <v>4375.5600000000004</v>
      </c>
      <c r="S197" s="58">
        <v>100</v>
      </c>
      <c r="T197" s="58">
        <v>364.63</v>
      </c>
      <c r="U197" s="57">
        <v>0</v>
      </c>
    </row>
    <row r="198" spans="2:21" x14ac:dyDescent="0.25">
      <c r="B198" s="56" t="s">
        <v>332</v>
      </c>
      <c r="C198" s="57">
        <v>0</v>
      </c>
      <c r="D198" s="57">
        <v>0</v>
      </c>
      <c r="E198" s="57">
        <v>0</v>
      </c>
      <c r="F198" s="57">
        <v>0</v>
      </c>
      <c r="G198" s="57">
        <v>0</v>
      </c>
      <c r="H198" s="57">
        <v>0</v>
      </c>
      <c r="I198" s="57">
        <v>0</v>
      </c>
      <c r="J198" s="57">
        <v>0</v>
      </c>
      <c r="K198" s="57">
        <v>0</v>
      </c>
      <c r="L198" s="58">
        <v>305.58999999999997</v>
      </c>
      <c r="M198" s="58">
        <v>30.56</v>
      </c>
      <c r="N198" s="57">
        <v>0</v>
      </c>
      <c r="O198" s="58">
        <v>336.15</v>
      </c>
      <c r="P198" s="57">
        <v>0</v>
      </c>
      <c r="Q198" s="58">
        <v>-336.15</v>
      </c>
      <c r="R198" s="57">
        <v>0</v>
      </c>
      <c r="S198" s="57">
        <v>0</v>
      </c>
      <c r="T198" s="57">
        <v>0</v>
      </c>
      <c r="U198" s="57">
        <v>0</v>
      </c>
    </row>
    <row r="199" spans="2:21" x14ac:dyDescent="0.25">
      <c r="B199" s="56" t="s">
        <v>283</v>
      </c>
      <c r="C199" s="57">
        <v>0</v>
      </c>
      <c r="D199" s="57">
        <v>0</v>
      </c>
      <c r="E199" s="57">
        <v>0</v>
      </c>
      <c r="F199" s="57">
        <v>0</v>
      </c>
      <c r="G199" s="57">
        <v>0</v>
      </c>
      <c r="H199" s="57">
        <v>0</v>
      </c>
      <c r="I199" s="57">
        <v>0</v>
      </c>
      <c r="J199" s="57">
        <v>0</v>
      </c>
      <c r="K199" s="57">
        <v>0</v>
      </c>
      <c r="L199" s="58">
        <v>135.75</v>
      </c>
      <c r="M199" s="57">
        <v>0</v>
      </c>
      <c r="N199" s="57">
        <v>0</v>
      </c>
      <c r="O199" s="58">
        <v>135.75</v>
      </c>
      <c r="P199" s="57">
        <v>0</v>
      </c>
      <c r="Q199" s="58">
        <v>-135.75</v>
      </c>
      <c r="R199" s="57">
        <v>0</v>
      </c>
      <c r="S199" s="57">
        <v>0</v>
      </c>
      <c r="T199" s="57">
        <v>0</v>
      </c>
      <c r="U199" s="57">
        <v>0</v>
      </c>
    </row>
    <row r="200" spans="2:21" x14ac:dyDescent="0.25">
      <c r="B200" s="56" t="s">
        <v>284</v>
      </c>
      <c r="C200" s="57">
        <v>0</v>
      </c>
      <c r="D200" s="57">
        <v>0</v>
      </c>
      <c r="E200" s="57">
        <v>0</v>
      </c>
      <c r="F200" s="57">
        <v>0</v>
      </c>
      <c r="G200" s="57">
        <v>0</v>
      </c>
      <c r="H200" s="57">
        <v>0</v>
      </c>
      <c r="I200" s="57">
        <v>0</v>
      </c>
      <c r="J200" s="57">
        <v>0</v>
      </c>
      <c r="K200" s="57">
        <v>0</v>
      </c>
      <c r="L200" s="58">
        <v>3192.63</v>
      </c>
      <c r="M200" s="58">
        <v>350.4</v>
      </c>
      <c r="N200" s="57">
        <v>0</v>
      </c>
      <c r="O200" s="58">
        <v>3543.03</v>
      </c>
      <c r="P200" s="57">
        <v>0</v>
      </c>
      <c r="Q200" s="58">
        <v>-3543.03</v>
      </c>
      <c r="R200" s="57">
        <v>0</v>
      </c>
      <c r="S200" s="57">
        <v>0</v>
      </c>
      <c r="T200" s="57">
        <v>0</v>
      </c>
      <c r="U200" s="57">
        <v>0</v>
      </c>
    </row>
    <row r="201" spans="2:21" x14ac:dyDescent="0.25">
      <c r="B201" s="56" t="s">
        <v>285</v>
      </c>
      <c r="C201" s="57">
        <v>0</v>
      </c>
      <c r="D201" s="57">
        <v>0</v>
      </c>
      <c r="E201" s="57">
        <v>0</v>
      </c>
      <c r="F201" s="57">
        <v>0</v>
      </c>
      <c r="G201" s="57">
        <v>0</v>
      </c>
      <c r="H201" s="57">
        <v>0</v>
      </c>
      <c r="I201" s="57">
        <v>0</v>
      </c>
      <c r="J201" s="57">
        <v>0</v>
      </c>
      <c r="K201" s="57">
        <v>0</v>
      </c>
      <c r="L201" s="58">
        <v>449.61</v>
      </c>
      <c r="M201" s="58">
        <v>44.96</v>
      </c>
      <c r="N201" s="57">
        <v>0</v>
      </c>
      <c r="O201" s="58">
        <v>494.57</v>
      </c>
      <c r="P201" s="57">
        <v>0</v>
      </c>
      <c r="Q201" s="58">
        <v>-494.57</v>
      </c>
      <c r="R201" s="57">
        <v>0</v>
      </c>
      <c r="S201" s="57">
        <v>0</v>
      </c>
      <c r="T201" s="57">
        <v>0</v>
      </c>
      <c r="U201" s="57">
        <v>0</v>
      </c>
    </row>
    <row r="202" spans="2:21" x14ac:dyDescent="0.25">
      <c r="B202" s="56" t="s">
        <v>286</v>
      </c>
      <c r="C202" s="57">
        <v>0</v>
      </c>
      <c r="D202" s="57">
        <v>0</v>
      </c>
      <c r="E202" s="57">
        <v>0</v>
      </c>
      <c r="F202" s="57">
        <v>0</v>
      </c>
      <c r="G202" s="57">
        <v>0</v>
      </c>
      <c r="H202" s="57">
        <v>0</v>
      </c>
      <c r="I202" s="57">
        <v>0</v>
      </c>
      <c r="J202" s="57">
        <v>0</v>
      </c>
      <c r="K202" s="57">
        <v>0</v>
      </c>
      <c r="L202" s="58">
        <v>676.56</v>
      </c>
      <c r="M202" s="58">
        <v>53.92</v>
      </c>
      <c r="N202" s="57">
        <v>0</v>
      </c>
      <c r="O202" s="58">
        <v>730.48</v>
      </c>
      <c r="P202" s="57">
        <v>0</v>
      </c>
      <c r="Q202" s="58">
        <v>-730.48</v>
      </c>
      <c r="R202" s="57">
        <v>0</v>
      </c>
      <c r="S202" s="57">
        <v>0</v>
      </c>
      <c r="T202" s="57">
        <v>0</v>
      </c>
      <c r="U202" s="57">
        <v>0</v>
      </c>
    </row>
    <row r="203" spans="2:21" x14ac:dyDescent="0.25">
      <c r="B203" s="56" t="s">
        <v>287</v>
      </c>
      <c r="C203" s="57">
        <v>0</v>
      </c>
      <c r="D203" s="57">
        <v>0</v>
      </c>
      <c r="E203" s="57">
        <v>0</v>
      </c>
      <c r="F203" s="57">
        <v>0</v>
      </c>
      <c r="G203" s="57">
        <v>0</v>
      </c>
      <c r="H203" s="57">
        <v>0</v>
      </c>
      <c r="I203" s="57">
        <v>0</v>
      </c>
      <c r="J203" s="57">
        <v>0</v>
      </c>
      <c r="K203" s="57">
        <v>0</v>
      </c>
      <c r="L203" s="58">
        <v>71.67</v>
      </c>
      <c r="M203" s="58">
        <v>7.17</v>
      </c>
      <c r="N203" s="57">
        <v>0</v>
      </c>
      <c r="O203" s="58">
        <v>78.84</v>
      </c>
      <c r="P203" s="57">
        <v>0</v>
      </c>
      <c r="Q203" s="58">
        <v>-78.84</v>
      </c>
      <c r="R203" s="57">
        <v>0</v>
      </c>
      <c r="S203" s="57">
        <v>0</v>
      </c>
      <c r="T203" s="57">
        <v>0</v>
      </c>
      <c r="U203" s="57">
        <v>0</v>
      </c>
    </row>
    <row r="204" spans="2:21" x14ac:dyDescent="0.25">
      <c r="B204" s="53" t="s">
        <v>333</v>
      </c>
      <c r="C204" s="55">
        <v>0</v>
      </c>
      <c r="D204" s="55">
        <v>0</v>
      </c>
      <c r="E204" s="55">
        <v>0</v>
      </c>
      <c r="F204" s="55">
        <v>0</v>
      </c>
      <c r="G204" s="55">
        <v>0</v>
      </c>
      <c r="H204" s="55">
        <v>0</v>
      </c>
      <c r="I204" s="55">
        <v>0</v>
      </c>
      <c r="J204" s="55">
        <v>0</v>
      </c>
      <c r="K204" s="55">
        <v>0</v>
      </c>
      <c r="L204" s="54">
        <v>4831.8100000000004</v>
      </c>
      <c r="M204" s="54">
        <v>487.01</v>
      </c>
      <c r="N204" s="55">
        <v>0</v>
      </c>
      <c r="O204" s="54">
        <v>5318.82</v>
      </c>
      <c r="P204" s="54">
        <v>4010.93</v>
      </c>
      <c r="Q204" s="54">
        <v>-1307.8900000000001</v>
      </c>
      <c r="R204" s="54">
        <v>4375.5600000000004</v>
      </c>
      <c r="S204" s="54">
        <v>-32.6081</v>
      </c>
      <c r="T204" s="54">
        <v>364.63</v>
      </c>
      <c r="U204" s="55">
        <v>0</v>
      </c>
    </row>
    <row r="205" spans="2:21" x14ac:dyDescent="0.25">
      <c r="B205" s="53" t="s">
        <v>334</v>
      </c>
      <c r="C205" s="55">
        <v>0</v>
      </c>
      <c r="D205" s="55">
        <v>0</v>
      </c>
      <c r="E205" s="55">
        <v>0</v>
      </c>
      <c r="F205" s="55">
        <v>0</v>
      </c>
      <c r="G205" s="55">
        <v>0</v>
      </c>
      <c r="H205" s="55">
        <v>0</v>
      </c>
      <c r="I205" s="55">
        <v>0</v>
      </c>
      <c r="J205" s="55">
        <v>0</v>
      </c>
      <c r="K205" s="55">
        <v>0</v>
      </c>
      <c r="L205" s="54">
        <v>-253120</v>
      </c>
      <c r="M205" s="54">
        <v>-25312</v>
      </c>
      <c r="N205" s="55">
        <v>0</v>
      </c>
      <c r="O205" s="54">
        <v>-278432</v>
      </c>
      <c r="P205" s="54">
        <v>-278432</v>
      </c>
      <c r="Q205" s="55">
        <v>0</v>
      </c>
      <c r="R205" s="54">
        <v>-303744</v>
      </c>
      <c r="S205" s="55">
        <v>0</v>
      </c>
      <c r="T205" s="54">
        <v>-25312</v>
      </c>
      <c r="U205" s="55">
        <v>0</v>
      </c>
    </row>
    <row r="206" spans="2:21" x14ac:dyDescent="0.25">
      <c r="B206" s="56" t="s">
        <v>335</v>
      </c>
      <c r="C206" s="57">
        <v>0</v>
      </c>
      <c r="D206" s="57">
        <v>0</v>
      </c>
      <c r="E206" s="57">
        <v>0</v>
      </c>
      <c r="F206" s="57">
        <v>0</v>
      </c>
      <c r="G206" s="57">
        <v>0</v>
      </c>
      <c r="H206" s="57">
        <v>0</v>
      </c>
      <c r="I206" s="57">
        <v>0</v>
      </c>
      <c r="J206" s="57">
        <v>0</v>
      </c>
      <c r="K206" s="57">
        <v>0</v>
      </c>
      <c r="L206" s="58">
        <v>-253120</v>
      </c>
      <c r="M206" s="58">
        <v>-25312</v>
      </c>
      <c r="N206" s="57">
        <v>0</v>
      </c>
      <c r="O206" s="58">
        <v>-278432</v>
      </c>
      <c r="P206" s="58">
        <v>-278432</v>
      </c>
      <c r="Q206" s="57">
        <v>0</v>
      </c>
      <c r="R206" s="58">
        <v>-303744</v>
      </c>
      <c r="S206" s="57">
        <v>0</v>
      </c>
      <c r="T206" s="58">
        <v>-25312</v>
      </c>
      <c r="U206" s="57">
        <v>0</v>
      </c>
    </row>
    <row r="207" spans="2:21" x14ac:dyDescent="0.25">
      <c r="B207" s="53" t="s">
        <v>336</v>
      </c>
      <c r="C207" s="55">
        <v>0</v>
      </c>
      <c r="D207" s="55">
        <v>0</v>
      </c>
      <c r="E207" s="55">
        <v>0</v>
      </c>
      <c r="F207" s="55">
        <v>0</v>
      </c>
      <c r="G207" s="55">
        <v>0</v>
      </c>
      <c r="H207" s="55">
        <v>0</v>
      </c>
      <c r="I207" s="55">
        <v>0</v>
      </c>
      <c r="J207" s="55">
        <v>0</v>
      </c>
      <c r="K207" s="55">
        <v>0</v>
      </c>
      <c r="L207" s="54">
        <v>-4692204.8099999996</v>
      </c>
      <c r="M207" s="54">
        <v>-239456.47</v>
      </c>
      <c r="N207" s="55">
        <v>0</v>
      </c>
      <c r="O207" s="54">
        <v>-4931661.28</v>
      </c>
      <c r="P207" s="54">
        <v>-4749278.91</v>
      </c>
      <c r="Q207" s="54">
        <v>182382.37</v>
      </c>
      <c r="R207" s="54">
        <v>-5103446.5199999996</v>
      </c>
      <c r="S207" s="54">
        <v>-3.8401999999999998</v>
      </c>
      <c r="T207" s="54">
        <v>-595943.85</v>
      </c>
      <c r="U207" s="55">
        <v>0</v>
      </c>
    </row>
    <row r="208" spans="2:21" x14ac:dyDescent="0.25">
      <c r="B208" s="53" t="s">
        <v>337</v>
      </c>
      <c r="C208" s="55">
        <v>0</v>
      </c>
      <c r="D208" s="55">
        <v>0</v>
      </c>
      <c r="E208" s="55">
        <v>0</v>
      </c>
      <c r="F208" s="55">
        <v>0</v>
      </c>
      <c r="G208" s="55">
        <v>0</v>
      </c>
      <c r="H208" s="55">
        <v>0</v>
      </c>
      <c r="I208" s="55">
        <v>0</v>
      </c>
      <c r="J208" s="55">
        <v>0</v>
      </c>
      <c r="K208" s="55">
        <v>0</v>
      </c>
      <c r="L208" s="54">
        <v>235084.98</v>
      </c>
      <c r="M208" s="54">
        <v>5006.22</v>
      </c>
      <c r="N208" s="55">
        <v>0</v>
      </c>
      <c r="O208" s="54">
        <v>240091.2</v>
      </c>
      <c r="P208" s="54">
        <v>146210.96</v>
      </c>
      <c r="Q208" s="54">
        <v>-93880.24</v>
      </c>
      <c r="R208" s="54">
        <v>205868.08</v>
      </c>
      <c r="S208" s="54">
        <v>-64.208799999999997</v>
      </c>
      <c r="T208" s="54">
        <v>3365.77</v>
      </c>
      <c r="U208" s="55">
        <v>0</v>
      </c>
    </row>
    <row r="209" spans="2:21" x14ac:dyDescent="0.25">
      <c r="B209" s="56" t="s">
        <v>338</v>
      </c>
      <c r="C209" s="57">
        <v>0</v>
      </c>
      <c r="D209" s="57">
        <v>0</v>
      </c>
      <c r="E209" s="57">
        <v>0</v>
      </c>
      <c r="F209" s="57">
        <v>0</v>
      </c>
      <c r="G209" s="57">
        <v>0</v>
      </c>
      <c r="H209" s="57">
        <v>0</v>
      </c>
      <c r="I209" s="57">
        <v>0</v>
      </c>
      <c r="J209" s="57">
        <v>0</v>
      </c>
      <c r="K209" s="57">
        <v>0</v>
      </c>
      <c r="L209" s="58">
        <v>-90470.36</v>
      </c>
      <c r="M209" s="58">
        <v>-15681.04</v>
      </c>
      <c r="N209" s="57">
        <v>0</v>
      </c>
      <c r="O209" s="58">
        <v>-106151.4</v>
      </c>
      <c r="P209" s="58">
        <v>-204583.06</v>
      </c>
      <c r="Q209" s="58">
        <v>-98431.66</v>
      </c>
      <c r="R209" s="58">
        <v>-223181.52</v>
      </c>
      <c r="S209" s="58">
        <v>48.113300000000002</v>
      </c>
      <c r="T209" s="58">
        <v>-18598.46</v>
      </c>
      <c r="U209" s="57">
        <v>0</v>
      </c>
    </row>
    <row r="210" spans="2:21" x14ac:dyDescent="0.25">
      <c r="B210" s="53" t="s">
        <v>339</v>
      </c>
      <c r="C210" s="55">
        <v>0</v>
      </c>
      <c r="D210" s="55">
        <v>0</v>
      </c>
      <c r="E210" s="55">
        <v>0</v>
      </c>
      <c r="F210" s="55">
        <v>0</v>
      </c>
      <c r="G210" s="55">
        <v>0</v>
      </c>
      <c r="H210" s="55">
        <v>0</v>
      </c>
      <c r="I210" s="55">
        <v>0</v>
      </c>
      <c r="J210" s="55">
        <v>0</v>
      </c>
      <c r="K210" s="55">
        <v>0</v>
      </c>
      <c r="L210" s="54">
        <v>-90470.36</v>
      </c>
      <c r="M210" s="54">
        <v>-15681.04</v>
      </c>
      <c r="N210" s="55">
        <v>0</v>
      </c>
      <c r="O210" s="54">
        <v>-106151.4</v>
      </c>
      <c r="P210" s="54">
        <v>-204583.06</v>
      </c>
      <c r="Q210" s="54">
        <v>-98431.66</v>
      </c>
      <c r="R210" s="54">
        <v>-223181.52</v>
      </c>
      <c r="S210" s="54">
        <v>48.113300000000002</v>
      </c>
      <c r="T210" s="54">
        <v>-18598.46</v>
      </c>
      <c r="U210" s="55">
        <v>0</v>
      </c>
    </row>
    <row r="211" spans="2:21" x14ac:dyDescent="0.25">
      <c r="B211" s="56" t="s">
        <v>340</v>
      </c>
      <c r="C211" s="57">
        <v>0</v>
      </c>
      <c r="D211" s="57">
        <v>0</v>
      </c>
      <c r="E211" s="57">
        <v>0</v>
      </c>
      <c r="F211" s="57">
        <v>0</v>
      </c>
      <c r="G211" s="57">
        <v>0</v>
      </c>
      <c r="H211" s="57">
        <v>0</v>
      </c>
      <c r="I211" s="57">
        <v>0</v>
      </c>
      <c r="J211" s="57">
        <v>0</v>
      </c>
      <c r="K211" s="57">
        <v>0</v>
      </c>
      <c r="L211" s="58">
        <v>7149.26</v>
      </c>
      <c r="M211" s="58">
        <v>1160.6600000000001</v>
      </c>
      <c r="N211" s="57">
        <v>0</v>
      </c>
      <c r="O211" s="58">
        <v>8309.92</v>
      </c>
      <c r="P211" s="57">
        <v>0</v>
      </c>
      <c r="Q211" s="58">
        <v>-8309.92</v>
      </c>
      <c r="R211" s="57">
        <v>0</v>
      </c>
      <c r="S211" s="57">
        <v>0</v>
      </c>
      <c r="T211" s="57">
        <v>0</v>
      </c>
      <c r="U211" s="57">
        <v>0</v>
      </c>
    </row>
    <row r="212" spans="2:21" x14ac:dyDescent="0.25">
      <c r="B212" s="56" t="s">
        <v>341</v>
      </c>
      <c r="C212" s="57">
        <v>0</v>
      </c>
      <c r="D212" s="57">
        <v>0</v>
      </c>
      <c r="E212" s="57">
        <v>0</v>
      </c>
      <c r="F212" s="57">
        <v>0</v>
      </c>
      <c r="G212" s="57">
        <v>0</v>
      </c>
      <c r="H212" s="57">
        <v>0</v>
      </c>
      <c r="I212" s="57">
        <v>0</v>
      </c>
      <c r="J212" s="57">
        <v>0</v>
      </c>
      <c r="K212" s="57">
        <v>0</v>
      </c>
      <c r="L212" s="57">
        <v>0</v>
      </c>
      <c r="M212" s="57">
        <v>0</v>
      </c>
      <c r="N212" s="57">
        <v>0</v>
      </c>
      <c r="O212" s="57">
        <v>0</v>
      </c>
      <c r="P212" s="58">
        <v>305735.09000000003</v>
      </c>
      <c r="Q212" s="58">
        <v>305735.09000000003</v>
      </c>
      <c r="R212" s="58">
        <v>340090.67</v>
      </c>
      <c r="S212" s="58">
        <v>100</v>
      </c>
      <c r="T212" s="58">
        <v>23364.23</v>
      </c>
      <c r="U212" s="57">
        <v>0</v>
      </c>
    </row>
    <row r="213" spans="2:21" x14ac:dyDescent="0.25">
      <c r="B213" s="56" t="s">
        <v>342</v>
      </c>
      <c r="C213" s="57">
        <v>0</v>
      </c>
      <c r="D213" s="57">
        <v>0</v>
      </c>
      <c r="E213" s="57">
        <v>0</v>
      </c>
      <c r="F213" s="57">
        <v>0</v>
      </c>
      <c r="G213" s="57">
        <v>0</v>
      </c>
      <c r="H213" s="57">
        <v>0</v>
      </c>
      <c r="I213" s="57">
        <v>0</v>
      </c>
      <c r="J213" s="57">
        <v>0</v>
      </c>
      <c r="K213" s="57">
        <v>0</v>
      </c>
      <c r="L213" s="58">
        <v>251385.69</v>
      </c>
      <c r="M213" s="58">
        <v>19643.14</v>
      </c>
      <c r="N213" s="57">
        <v>0</v>
      </c>
      <c r="O213" s="58">
        <v>271028.83</v>
      </c>
      <c r="P213" s="57">
        <v>0</v>
      </c>
      <c r="Q213" s="58">
        <v>-271028.83</v>
      </c>
      <c r="R213" s="57">
        <v>0</v>
      </c>
      <c r="S213" s="57">
        <v>0</v>
      </c>
      <c r="T213" s="57">
        <v>0</v>
      </c>
      <c r="U213" s="57">
        <v>0</v>
      </c>
    </row>
    <row r="214" spans="2:21" x14ac:dyDescent="0.25">
      <c r="B214" s="56" t="s">
        <v>343</v>
      </c>
      <c r="C214" s="57">
        <v>0</v>
      </c>
      <c r="D214" s="57">
        <v>0</v>
      </c>
      <c r="E214" s="57">
        <v>0</v>
      </c>
      <c r="F214" s="57">
        <v>0</v>
      </c>
      <c r="G214" s="57">
        <v>0</v>
      </c>
      <c r="H214" s="57">
        <v>0</v>
      </c>
      <c r="I214" s="57">
        <v>0</v>
      </c>
      <c r="J214" s="57">
        <v>0</v>
      </c>
      <c r="K214" s="57">
        <v>0</v>
      </c>
      <c r="L214" s="58">
        <v>1903.76</v>
      </c>
      <c r="M214" s="58">
        <v>333.8</v>
      </c>
      <c r="N214" s="57">
        <v>0</v>
      </c>
      <c r="O214" s="58">
        <v>2237.56</v>
      </c>
      <c r="P214" s="57">
        <v>0</v>
      </c>
      <c r="Q214" s="58">
        <v>-2237.56</v>
      </c>
      <c r="R214" s="57">
        <v>0</v>
      </c>
      <c r="S214" s="57">
        <v>0</v>
      </c>
      <c r="T214" s="57">
        <v>0</v>
      </c>
      <c r="U214" s="57">
        <v>0</v>
      </c>
    </row>
    <row r="215" spans="2:21" x14ac:dyDescent="0.25">
      <c r="B215" s="53" t="s">
        <v>344</v>
      </c>
      <c r="C215" s="55">
        <v>0</v>
      </c>
      <c r="D215" s="55">
        <v>0</v>
      </c>
      <c r="E215" s="55">
        <v>0</v>
      </c>
      <c r="F215" s="55">
        <v>0</v>
      </c>
      <c r="G215" s="55">
        <v>0</v>
      </c>
      <c r="H215" s="55">
        <v>0</v>
      </c>
      <c r="I215" s="55">
        <v>0</v>
      </c>
      <c r="J215" s="55">
        <v>0</v>
      </c>
      <c r="K215" s="55">
        <v>0</v>
      </c>
      <c r="L215" s="54">
        <v>260438.71</v>
      </c>
      <c r="M215" s="54">
        <v>21137.599999999999</v>
      </c>
      <c r="N215" s="55">
        <v>0</v>
      </c>
      <c r="O215" s="54">
        <v>281576.31</v>
      </c>
      <c r="P215" s="54">
        <v>305735.09000000003</v>
      </c>
      <c r="Q215" s="54">
        <v>24158.78</v>
      </c>
      <c r="R215" s="54">
        <v>340090.67</v>
      </c>
      <c r="S215" s="54">
        <v>7.9019000000000004</v>
      </c>
      <c r="T215" s="54">
        <v>23364.23</v>
      </c>
      <c r="U215" s="55">
        <v>0</v>
      </c>
    </row>
    <row r="216" spans="2:21" x14ac:dyDescent="0.25">
      <c r="B216" s="56" t="s">
        <v>345</v>
      </c>
      <c r="C216" s="57">
        <v>0</v>
      </c>
      <c r="D216" s="57">
        <v>0</v>
      </c>
      <c r="E216" s="57">
        <v>0</v>
      </c>
      <c r="F216" s="57">
        <v>0</v>
      </c>
      <c r="G216" s="57">
        <v>0</v>
      </c>
      <c r="H216" s="57">
        <v>0</v>
      </c>
      <c r="I216" s="57">
        <v>0</v>
      </c>
      <c r="J216" s="57">
        <v>0</v>
      </c>
      <c r="K216" s="57">
        <v>0</v>
      </c>
      <c r="L216" s="58">
        <v>2866.24</v>
      </c>
      <c r="M216" s="57">
        <v>0</v>
      </c>
      <c r="N216" s="57">
        <v>0</v>
      </c>
      <c r="O216" s="58">
        <v>2866.24</v>
      </c>
      <c r="P216" s="57">
        <v>0</v>
      </c>
      <c r="Q216" s="58">
        <v>-2866.24</v>
      </c>
      <c r="R216" s="57">
        <v>0</v>
      </c>
      <c r="S216" s="57">
        <v>0</v>
      </c>
      <c r="T216" s="57">
        <v>0</v>
      </c>
      <c r="U216" s="57">
        <v>0</v>
      </c>
    </row>
    <row r="217" spans="2:21" x14ac:dyDescent="0.25">
      <c r="B217" s="56" t="s">
        <v>346</v>
      </c>
      <c r="C217" s="57">
        <v>0</v>
      </c>
      <c r="D217" s="57">
        <v>0</v>
      </c>
      <c r="E217" s="57">
        <v>0</v>
      </c>
      <c r="F217" s="57">
        <v>0</v>
      </c>
      <c r="G217" s="57">
        <v>0</v>
      </c>
      <c r="H217" s="57">
        <v>0</v>
      </c>
      <c r="I217" s="57">
        <v>0</v>
      </c>
      <c r="J217" s="57">
        <v>0</v>
      </c>
      <c r="K217" s="57">
        <v>0</v>
      </c>
      <c r="L217" s="58">
        <v>32.340000000000003</v>
      </c>
      <c r="M217" s="58">
        <v>0.25</v>
      </c>
      <c r="N217" s="57">
        <v>0</v>
      </c>
      <c r="O217" s="58">
        <v>32.590000000000003</v>
      </c>
      <c r="P217" s="57">
        <v>0</v>
      </c>
      <c r="Q217" s="58">
        <v>-32.590000000000003</v>
      </c>
      <c r="R217" s="57">
        <v>0</v>
      </c>
      <c r="S217" s="57">
        <v>0</v>
      </c>
      <c r="T217" s="57">
        <v>0</v>
      </c>
      <c r="U217" s="57">
        <v>0</v>
      </c>
    </row>
    <row r="218" spans="2:21" x14ac:dyDescent="0.25">
      <c r="B218" s="56" t="s">
        <v>347</v>
      </c>
      <c r="C218" s="57">
        <v>0</v>
      </c>
      <c r="D218" s="57">
        <v>0</v>
      </c>
      <c r="E218" s="57">
        <v>0</v>
      </c>
      <c r="F218" s="57">
        <v>0</v>
      </c>
      <c r="G218" s="57">
        <v>0</v>
      </c>
      <c r="H218" s="57">
        <v>0</v>
      </c>
      <c r="I218" s="57">
        <v>0</v>
      </c>
      <c r="J218" s="57">
        <v>0</v>
      </c>
      <c r="K218" s="57">
        <v>0</v>
      </c>
      <c r="L218" s="58">
        <v>13912.36</v>
      </c>
      <c r="M218" s="57">
        <v>0</v>
      </c>
      <c r="N218" s="57">
        <v>0</v>
      </c>
      <c r="O218" s="58">
        <v>13912.36</v>
      </c>
      <c r="P218" s="57">
        <v>0</v>
      </c>
      <c r="Q218" s="58">
        <v>-13912.36</v>
      </c>
      <c r="R218" s="57">
        <v>0</v>
      </c>
      <c r="S218" s="57">
        <v>0</v>
      </c>
      <c r="T218" s="57">
        <v>0</v>
      </c>
      <c r="U218" s="57">
        <v>0</v>
      </c>
    </row>
    <row r="219" spans="2:21" x14ac:dyDescent="0.25">
      <c r="B219" s="56" t="s">
        <v>348</v>
      </c>
      <c r="C219" s="57">
        <v>0</v>
      </c>
      <c r="D219" s="57">
        <v>0</v>
      </c>
      <c r="E219" s="57">
        <v>0</v>
      </c>
      <c r="F219" s="57">
        <v>0</v>
      </c>
      <c r="G219" s="57">
        <v>0</v>
      </c>
      <c r="H219" s="57">
        <v>0</v>
      </c>
      <c r="I219" s="57">
        <v>0</v>
      </c>
      <c r="J219" s="57">
        <v>0</v>
      </c>
      <c r="K219" s="57">
        <v>0</v>
      </c>
      <c r="L219" s="58">
        <v>58606.54</v>
      </c>
      <c r="M219" s="57">
        <v>0</v>
      </c>
      <c r="N219" s="57">
        <v>0</v>
      </c>
      <c r="O219" s="58">
        <v>58606.54</v>
      </c>
      <c r="P219" s="58">
        <v>67058.929999999993</v>
      </c>
      <c r="Q219" s="58">
        <v>8452.39</v>
      </c>
      <c r="R219" s="58">
        <v>112958.93</v>
      </c>
      <c r="S219" s="58">
        <v>12.6044</v>
      </c>
      <c r="T219" s="58">
        <v>600</v>
      </c>
      <c r="U219" s="57">
        <v>0</v>
      </c>
    </row>
    <row r="220" spans="2:21" x14ac:dyDescent="0.25">
      <c r="B220" s="56" t="s">
        <v>349</v>
      </c>
      <c r="C220" s="57">
        <v>0</v>
      </c>
      <c r="D220" s="57">
        <v>0</v>
      </c>
      <c r="E220" s="57">
        <v>0</v>
      </c>
      <c r="F220" s="57">
        <v>0</v>
      </c>
      <c r="G220" s="57">
        <v>0</v>
      </c>
      <c r="H220" s="57">
        <v>0</v>
      </c>
      <c r="I220" s="57">
        <v>0</v>
      </c>
      <c r="J220" s="57">
        <v>0</v>
      </c>
      <c r="K220" s="57">
        <v>0</v>
      </c>
      <c r="L220" s="58">
        <v>565.05999999999995</v>
      </c>
      <c r="M220" s="57">
        <v>0</v>
      </c>
      <c r="N220" s="57">
        <v>0</v>
      </c>
      <c r="O220" s="58">
        <v>565.05999999999995</v>
      </c>
      <c r="P220" s="57">
        <v>0</v>
      </c>
      <c r="Q220" s="58">
        <v>-565.05999999999995</v>
      </c>
      <c r="R220" s="57">
        <v>0</v>
      </c>
      <c r="S220" s="57">
        <v>0</v>
      </c>
      <c r="T220" s="57">
        <v>0</v>
      </c>
      <c r="U220" s="57">
        <v>0</v>
      </c>
    </row>
    <row r="221" spans="2:21" x14ac:dyDescent="0.25">
      <c r="B221" s="56" t="s">
        <v>350</v>
      </c>
      <c r="C221" s="57">
        <v>0</v>
      </c>
      <c r="D221" s="57">
        <v>0</v>
      </c>
      <c r="E221" s="57">
        <v>0</v>
      </c>
      <c r="F221" s="57">
        <v>0</v>
      </c>
      <c r="G221" s="57">
        <v>0</v>
      </c>
      <c r="H221" s="57">
        <v>0</v>
      </c>
      <c r="I221" s="57">
        <v>0</v>
      </c>
      <c r="J221" s="57">
        <v>0</v>
      </c>
      <c r="K221" s="57">
        <v>0</v>
      </c>
      <c r="L221" s="58">
        <v>-1.71</v>
      </c>
      <c r="M221" s="58">
        <v>-0.15</v>
      </c>
      <c r="N221" s="57">
        <v>0</v>
      </c>
      <c r="O221" s="58">
        <v>-1.86</v>
      </c>
      <c r="P221" s="57">
        <v>0</v>
      </c>
      <c r="Q221" s="58">
        <v>1.86</v>
      </c>
      <c r="R221" s="57">
        <v>0</v>
      </c>
      <c r="S221" s="57">
        <v>0</v>
      </c>
      <c r="T221" s="57">
        <v>0</v>
      </c>
      <c r="U221" s="57">
        <v>0</v>
      </c>
    </row>
    <row r="222" spans="2:21" x14ac:dyDescent="0.25">
      <c r="B222" s="56" t="s">
        <v>351</v>
      </c>
      <c r="C222" s="57">
        <v>0</v>
      </c>
      <c r="D222" s="57">
        <v>0</v>
      </c>
      <c r="E222" s="57">
        <v>0</v>
      </c>
      <c r="F222" s="57">
        <v>0</v>
      </c>
      <c r="G222" s="57">
        <v>0</v>
      </c>
      <c r="H222" s="57">
        <v>0</v>
      </c>
      <c r="I222" s="57">
        <v>0</v>
      </c>
      <c r="J222" s="57">
        <v>0</v>
      </c>
      <c r="K222" s="57">
        <v>0</v>
      </c>
      <c r="L222" s="58">
        <v>-6317.84</v>
      </c>
      <c r="M222" s="57">
        <v>0</v>
      </c>
      <c r="N222" s="57">
        <v>0</v>
      </c>
      <c r="O222" s="58">
        <v>-6317.84</v>
      </c>
      <c r="P222" s="57">
        <v>0</v>
      </c>
      <c r="Q222" s="58">
        <v>6317.84</v>
      </c>
      <c r="R222" s="57">
        <v>0</v>
      </c>
      <c r="S222" s="57">
        <v>0</v>
      </c>
      <c r="T222" s="57">
        <v>0</v>
      </c>
      <c r="U222" s="57">
        <v>0</v>
      </c>
    </row>
    <row r="223" spans="2:21" x14ac:dyDescent="0.25">
      <c r="B223" s="56" t="s">
        <v>529</v>
      </c>
      <c r="C223" s="57">
        <v>0</v>
      </c>
      <c r="D223" s="57">
        <v>0</v>
      </c>
      <c r="E223" s="57">
        <v>0</v>
      </c>
      <c r="F223" s="57">
        <v>0</v>
      </c>
      <c r="G223" s="57">
        <v>0</v>
      </c>
      <c r="H223" s="57">
        <v>0</v>
      </c>
      <c r="I223" s="57">
        <v>0</v>
      </c>
      <c r="J223" s="57">
        <v>0</v>
      </c>
      <c r="K223" s="57">
        <v>0</v>
      </c>
      <c r="L223" s="57">
        <v>0</v>
      </c>
      <c r="M223" s="57">
        <v>0</v>
      </c>
      <c r="N223" s="57">
        <v>0</v>
      </c>
      <c r="O223" s="57">
        <v>0</v>
      </c>
      <c r="P223" s="57">
        <v>0</v>
      </c>
      <c r="Q223" s="57">
        <v>0</v>
      </c>
      <c r="R223" s="57">
        <v>0</v>
      </c>
      <c r="S223" s="57">
        <v>0</v>
      </c>
      <c r="T223" s="57">
        <v>0</v>
      </c>
      <c r="U223" s="57">
        <v>0</v>
      </c>
    </row>
    <row r="224" spans="2:21" x14ac:dyDescent="0.25">
      <c r="B224" s="53" t="s">
        <v>352</v>
      </c>
      <c r="C224" s="55">
        <v>0</v>
      </c>
      <c r="D224" s="55">
        <v>0</v>
      </c>
      <c r="E224" s="55">
        <v>0</v>
      </c>
      <c r="F224" s="55">
        <v>0</v>
      </c>
      <c r="G224" s="55">
        <v>0</v>
      </c>
      <c r="H224" s="55">
        <v>0</v>
      </c>
      <c r="I224" s="55">
        <v>0</v>
      </c>
      <c r="J224" s="55">
        <v>0</v>
      </c>
      <c r="K224" s="55">
        <v>0</v>
      </c>
      <c r="L224" s="54">
        <v>69662.990000000005</v>
      </c>
      <c r="M224" s="54">
        <v>0.1</v>
      </c>
      <c r="N224" s="55">
        <v>0</v>
      </c>
      <c r="O224" s="54">
        <v>69663.09</v>
      </c>
      <c r="P224" s="54">
        <v>67058.929999999993</v>
      </c>
      <c r="Q224" s="54">
        <v>-2604.16</v>
      </c>
      <c r="R224" s="54">
        <v>112958.93</v>
      </c>
      <c r="S224" s="54">
        <v>-3.8834</v>
      </c>
      <c r="T224" s="54">
        <v>600</v>
      </c>
      <c r="U224" s="55">
        <v>0</v>
      </c>
    </row>
    <row r="225" spans="2:21" x14ac:dyDescent="0.25">
      <c r="B225" s="56" t="s">
        <v>353</v>
      </c>
      <c r="C225" s="57">
        <v>0</v>
      </c>
      <c r="D225" s="57">
        <v>0</v>
      </c>
      <c r="E225" s="57">
        <v>0</v>
      </c>
      <c r="F225" s="57">
        <v>0</v>
      </c>
      <c r="G225" s="57">
        <v>0</v>
      </c>
      <c r="H225" s="57">
        <v>0</v>
      </c>
      <c r="I225" s="57">
        <v>0</v>
      </c>
      <c r="J225" s="57">
        <v>0</v>
      </c>
      <c r="K225" s="57">
        <v>0</v>
      </c>
      <c r="L225" s="58">
        <v>-401108.28</v>
      </c>
      <c r="M225" s="58">
        <v>-93029.8</v>
      </c>
      <c r="N225" s="57">
        <v>0</v>
      </c>
      <c r="O225" s="58">
        <v>-494138.08</v>
      </c>
      <c r="P225" s="58">
        <v>-22000</v>
      </c>
      <c r="Q225" s="58">
        <v>472138.08</v>
      </c>
      <c r="R225" s="58">
        <v>-24000</v>
      </c>
      <c r="S225" s="58">
        <v>-2146.0821999999998</v>
      </c>
      <c r="T225" s="58">
        <v>-2000</v>
      </c>
      <c r="U225" s="57">
        <v>0</v>
      </c>
    </row>
    <row r="226" spans="2:21" x14ac:dyDescent="0.25">
      <c r="B226" s="56" t="s">
        <v>354</v>
      </c>
      <c r="C226" s="57">
        <v>0</v>
      </c>
      <c r="D226" s="57">
        <v>0</v>
      </c>
      <c r="E226" s="57">
        <v>0</v>
      </c>
      <c r="F226" s="57">
        <v>0</v>
      </c>
      <c r="G226" s="57">
        <v>0</v>
      </c>
      <c r="H226" s="57">
        <v>0</v>
      </c>
      <c r="I226" s="57">
        <v>0</v>
      </c>
      <c r="J226" s="57">
        <v>0</v>
      </c>
      <c r="K226" s="57">
        <v>0</v>
      </c>
      <c r="L226" s="58">
        <v>398112.68</v>
      </c>
      <c r="M226" s="58">
        <v>93575.89</v>
      </c>
      <c r="N226" s="57">
        <v>0</v>
      </c>
      <c r="O226" s="58">
        <v>491688.57</v>
      </c>
      <c r="P226" s="57">
        <v>0</v>
      </c>
      <c r="Q226" s="58">
        <v>-491688.57</v>
      </c>
      <c r="R226" s="57">
        <v>0</v>
      </c>
      <c r="S226" s="57">
        <v>0</v>
      </c>
      <c r="T226" s="57">
        <v>0</v>
      </c>
      <c r="U226" s="57">
        <v>0</v>
      </c>
    </row>
    <row r="227" spans="2:21" x14ac:dyDescent="0.25">
      <c r="B227" s="56" t="s">
        <v>355</v>
      </c>
      <c r="C227" s="57">
        <v>0</v>
      </c>
      <c r="D227" s="57">
        <v>0</v>
      </c>
      <c r="E227" s="57">
        <v>0</v>
      </c>
      <c r="F227" s="57">
        <v>0</v>
      </c>
      <c r="G227" s="57">
        <v>0</v>
      </c>
      <c r="H227" s="57">
        <v>0</v>
      </c>
      <c r="I227" s="57">
        <v>0</v>
      </c>
      <c r="J227" s="57">
        <v>0</v>
      </c>
      <c r="K227" s="57">
        <v>0</v>
      </c>
      <c r="L227" s="58">
        <v>-70764.070000000007</v>
      </c>
      <c r="M227" s="58">
        <v>-6628.69</v>
      </c>
      <c r="N227" s="57">
        <v>0</v>
      </c>
      <c r="O227" s="58">
        <v>-77392.759999999995</v>
      </c>
      <c r="P227" s="57">
        <v>0</v>
      </c>
      <c r="Q227" s="58">
        <v>77392.759999999995</v>
      </c>
      <c r="R227" s="57">
        <v>0</v>
      </c>
      <c r="S227" s="57">
        <v>0</v>
      </c>
      <c r="T227" s="57">
        <v>0</v>
      </c>
      <c r="U227" s="57">
        <v>0</v>
      </c>
    </row>
    <row r="228" spans="2:21" x14ac:dyDescent="0.25">
      <c r="B228" s="56" t="s">
        <v>356</v>
      </c>
      <c r="C228" s="57">
        <v>0</v>
      </c>
      <c r="D228" s="57">
        <v>0</v>
      </c>
      <c r="E228" s="57">
        <v>0</v>
      </c>
      <c r="F228" s="57">
        <v>0</v>
      </c>
      <c r="G228" s="57">
        <v>0</v>
      </c>
      <c r="H228" s="57">
        <v>0</v>
      </c>
      <c r="I228" s="57">
        <v>0</v>
      </c>
      <c r="J228" s="57">
        <v>0</v>
      </c>
      <c r="K228" s="57">
        <v>0</v>
      </c>
      <c r="L228" s="58">
        <v>-3161.01</v>
      </c>
      <c r="M228" s="57">
        <v>0</v>
      </c>
      <c r="N228" s="57">
        <v>0</v>
      </c>
      <c r="O228" s="58">
        <v>-3161.01</v>
      </c>
      <c r="P228" s="57">
        <v>0</v>
      </c>
      <c r="Q228" s="58">
        <v>3161.01</v>
      </c>
      <c r="R228" s="57">
        <v>0</v>
      </c>
      <c r="S228" s="57">
        <v>0</v>
      </c>
      <c r="T228" s="57">
        <v>0</v>
      </c>
      <c r="U228" s="57">
        <v>0</v>
      </c>
    </row>
    <row r="229" spans="2:21" x14ac:dyDescent="0.25">
      <c r="B229" s="56" t="s">
        <v>357</v>
      </c>
      <c r="C229" s="57">
        <v>0</v>
      </c>
      <c r="D229" s="57">
        <v>0</v>
      </c>
      <c r="E229" s="57">
        <v>0</v>
      </c>
      <c r="F229" s="57">
        <v>0</v>
      </c>
      <c r="G229" s="57">
        <v>0</v>
      </c>
      <c r="H229" s="57">
        <v>0</v>
      </c>
      <c r="I229" s="57">
        <v>0</v>
      </c>
      <c r="J229" s="57">
        <v>0</v>
      </c>
      <c r="K229" s="57">
        <v>0</v>
      </c>
      <c r="L229" s="58">
        <v>72762.179999999993</v>
      </c>
      <c r="M229" s="58">
        <v>5493.75</v>
      </c>
      <c r="N229" s="57">
        <v>0</v>
      </c>
      <c r="O229" s="58">
        <v>78255.929999999993</v>
      </c>
      <c r="P229" s="57">
        <v>0</v>
      </c>
      <c r="Q229" s="58">
        <v>-78255.929999999993</v>
      </c>
      <c r="R229" s="57">
        <v>0</v>
      </c>
      <c r="S229" s="57">
        <v>0</v>
      </c>
      <c r="T229" s="57">
        <v>0</v>
      </c>
      <c r="U229" s="57">
        <v>0</v>
      </c>
    </row>
    <row r="230" spans="2:21" x14ac:dyDescent="0.25">
      <c r="B230" s="56" t="s">
        <v>358</v>
      </c>
      <c r="C230" s="57">
        <v>0</v>
      </c>
      <c r="D230" s="57">
        <v>0</v>
      </c>
      <c r="E230" s="57">
        <v>0</v>
      </c>
      <c r="F230" s="57">
        <v>0</v>
      </c>
      <c r="G230" s="57">
        <v>0</v>
      </c>
      <c r="H230" s="57">
        <v>0</v>
      </c>
      <c r="I230" s="57">
        <v>0</v>
      </c>
      <c r="J230" s="57">
        <v>0</v>
      </c>
      <c r="K230" s="57">
        <v>0</v>
      </c>
      <c r="L230" s="58">
        <v>-387.86</v>
      </c>
      <c r="M230" s="58">
        <v>138.41</v>
      </c>
      <c r="N230" s="57">
        <v>0</v>
      </c>
      <c r="O230" s="58">
        <v>-249.45</v>
      </c>
      <c r="P230" s="57">
        <v>0</v>
      </c>
      <c r="Q230" s="58">
        <v>249.45</v>
      </c>
      <c r="R230" s="57">
        <v>0</v>
      </c>
      <c r="S230" s="57">
        <v>0</v>
      </c>
      <c r="T230" s="57">
        <v>0</v>
      </c>
      <c r="U230" s="57">
        <v>0</v>
      </c>
    </row>
    <row r="231" spans="2:21" x14ac:dyDescent="0.25">
      <c r="B231" s="53" t="s">
        <v>359</v>
      </c>
      <c r="C231" s="55">
        <v>0</v>
      </c>
      <c r="D231" s="55">
        <v>0</v>
      </c>
      <c r="E231" s="55">
        <v>0</v>
      </c>
      <c r="F231" s="55">
        <v>0</v>
      </c>
      <c r="G231" s="55">
        <v>0</v>
      </c>
      <c r="H231" s="55">
        <v>0</v>
      </c>
      <c r="I231" s="55">
        <v>0</v>
      </c>
      <c r="J231" s="55">
        <v>0</v>
      </c>
      <c r="K231" s="55">
        <v>0</v>
      </c>
      <c r="L231" s="54">
        <v>-4546.3599999999997</v>
      </c>
      <c r="M231" s="54">
        <v>-450.44</v>
      </c>
      <c r="N231" s="55">
        <v>0</v>
      </c>
      <c r="O231" s="54">
        <v>-4996.8</v>
      </c>
      <c r="P231" s="54">
        <v>-22000</v>
      </c>
      <c r="Q231" s="54">
        <v>-17003.2</v>
      </c>
      <c r="R231" s="54">
        <v>-24000</v>
      </c>
      <c r="S231" s="54">
        <v>77.287300000000002</v>
      </c>
      <c r="T231" s="54">
        <v>-2000</v>
      </c>
      <c r="U231" s="55">
        <v>0</v>
      </c>
    </row>
    <row r="232" spans="2:21" x14ac:dyDescent="0.25">
      <c r="B232" s="59" t="s">
        <v>360</v>
      </c>
      <c r="C232" s="61">
        <v>0</v>
      </c>
      <c r="D232" s="61">
        <v>0</v>
      </c>
      <c r="E232" s="61">
        <v>0</v>
      </c>
      <c r="F232" s="61">
        <v>0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0">
        <v>-4457119.83</v>
      </c>
      <c r="M232" s="60">
        <v>-234450.25</v>
      </c>
      <c r="N232" s="61">
        <v>0</v>
      </c>
      <c r="O232" s="60">
        <v>-4691570.08</v>
      </c>
      <c r="P232" s="60">
        <v>-4603067.95</v>
      </c>
      <c r="Q232" s="60">
        <v>88502.13</v>
      </c>
      <c r="R232" s="60">
        <v>-4897578.4400000004</v>
      </c>
      <c r="S232" s="60">
        <v>-1.9227000000000001</v>
      </c>
      <c r="T232" s="60">
        <v>-592578.07999999996</v>
      </c>
      <c r="U232" s="61">
        <v>0</v>
      </c>
    </row>
    <row r="233" spans="2:21" x14ac:dyDescent="0.25">
      <c r="B233" s="53" t="s">
        <v>361</v>
      </c>
      <c r="C233" s="55">
        <v>0</v>
      </c>
      <c r="D233" s="55">
        <v>0</v>
      </c>
      <c r="E233" s="55">
        <v>0</v>
      </c>
      <c r="F233" s="55">
        <v>0</v>
      </c>
      <c r="G233" s="55">
        <v>0</v>
      </c>
      <c r="H233" s="55">
        <v>0</v>
      </c>
      <c r="I233" s="55">
        <v>0</v>
      </c>
      <c r="J233" s="55">
        <v>0</v>
      </c>
      <c r="K233" s="55">
        <v>0</v>
      </c>
      <c r="L233" s="55">
        <v>0</v>
      </c>
      <c r="M233" s="55">
        <v>0</v>
      </c>
      <c r="N233" s="55">
        <v>0</v>
      </c>
      <c r="O233" s="55">
        <v>0</v>
      </c>
      <c r="P233" s="54">
        <v>19660.033100000001</v>
      </c>
      <c r="Q233" s="54">
        <v>19660.033100000001</v>
      </c>
      <c r="R233" s="54">
        <v>19413.603800000001</v>
      </c>
      <c r="S233" s="54">
        <v>100</v>
      </c>
      <c r="T233" s="54">
        <v>20820.630499999999</v>
      </c>
      <c r="U233" s="55">
        <v>0</v>
      </c>
    </row>
    <row r="234" spans="2:21" x14ac:dyDescent="0.25">
      <c r="B234" s="53" t="s">
        <v>362</v>
      </c>
      <c r="C234" s="55">
        <v>0</v>
      </c>
      <c r="D234" s="55">
        <v>0</v>
      </c>
      <c r="E234" s="55">
        <v>0</v>
      </c>
      <c r="F234" s="55">
        <v>0</v>
      </c>
      <c r="G234" s="55">
        <v>0</v>
      </c>
      <c r="H234" s="55">
        <v>0</v>
      </c>
      <c r="I234" s="55">
        <v>0</v>
      </c>
      <c r="J234" s="55">
        <v>0</v>
      </c>
      <c r="K234" s="55">
        <v>0</v>
      </c>
      <c r="L234" s="55">
        <v>0</v>
      </c>
      <c r="M234" s="55">
        <v>0</v>
      </c>
      <c r="N234" s="55">
        <v>0</v>
      </c>
      <c r="O234" s="55">
        <v>0</v>
      </c>
      <c r="P234" s="54">
        <v>-8143.7847000000002</v>
      </c>
      <c r="Q234" s="54">
        <v>-8143.7847000000002</v>
      </c>
      <c r="R234" s="54">
        <v>-8086.6435000000001</v>
      </c>
      <c r="S234" s="54">
        <v>100</v>
      </c>
      <c r="T234" s="54">
        <v>-7346.5267000000003</v>
      </c>
      <c r="U234" s="55">
        <v>0</v>
      </c>
    </row>
    <row r="235" spans="2:21" x14ac:dyDescent="0.25">
      <c r="B235" s="53" t="s">
        <v>363</v>
      </c>
      <c r="C235" s="55">
        <v>0</v>
      </c>
      <c r="D235" s="55">
        <v>0</v>
      </c>
      <c r="E235" s="55">
        <v>0</v>
      </c>
      <c r="F235" s="55">
        <v>0</v>
      </c>
      <c r="G235" s="55">
        <v>0</v>
      </c>
      <c r="H235" s="55">
        <v>0</v>
      </c>
      <c r="I235" s="55">
        <v>0</v>
      </c>
      <c r="J235" s="55">
        <v>0</v>
      </c>
      <c r="K235" s="55">
        <v>0</v>
      </c>
      <c r="L235" s="55">
        <v>0</v>
      </c>
      <c r="M235" s="55">
        <v>0</v>
      </c>
      <c r="N235" s="55">
        <v>0</v>
      </c>
      <c r="O235" s="55">
        <v>0</v>
      </c>
      <c r="P235" s="54">
        <v>-7707.1579000000002</v>
      </c>
      <c r="Q235" s="54">
        <v>-7707.1579000000002</v>
      </c>
      <c r="R235" s="54">
        <v>-7630.0223999999998</v>
      </c>
      <c r="S235" s="54">
        <v>100</v>
      </c>
      <c r="T235" s="54">
        <v>-6652.0821999999998</v>
      </c>
      <c r="U235" s="55">
        <v>0</v>
      </c>
    </row>
    <row r="236" spans="2:21" x14ac:dyDescent="0.25">
      <c r="B236" s="53" t="s">
        <v>364</v>
      </c>
      <c r="C236" s="55">
        <v>0</v>
      </c>
      <c r="D236" s="55">
        <v>0</v>
      </c>
      <c r="E236" s="55">
        <v>0</v>
      </c>
      <c r="F236" s="55">
        <v>0</v>
      </c>
      <c r="G236" s="55">
        <v>0</v>
      </c>
      <c r="H236" s="55">
        <v>0</v>
      </c>
      <c r="I236" s="55">
        <v>0</v>
      </c>
      <c r="J236" s="55">
        <v>0</v>
      </c>
      <c r="K236" s="55">
        <v>0</v>
      </c>
      <c r="L236" s="55">
        <v>0</v>
      </c>
      <c r="M236" s="55">
        <v>0</v>
      </c>
      <c r="N236" s="55">
        <v>0</v>
      </c>
      <c r="O236" s="55">
        <v>0</v>
      </c>
      <c r="P236" s="54">
        <v>8119.9978000000001</v>
      </c>
      <c r="Q236" s="54">
        <v>8119.9978000000001</v>
      </c>
      <c r="R236" s="54">
        <v>8020.2079000000003</v>
      </c>
      <c r="S236" s="54">
        <v>100</v>
      </c>
      <c r="T236" s="54">
        <v>10930.324500000001</v>
      </c>
      <c r="U236" s="55">
        <v>0</v>
      </c>
    </row>
    <row r="237" spans="2:21" x14ac:dyDescent="0.25">
      <c r="B237" s="56" t="s">
        <v>365</v>
      </c>
      <c r="C237" s="57">
        <v>0</v>
      </c>
      <c r="D237" s="57">
        <v>0</v>
      </c>
      <c r="E237" s="57">
        <v>0</v>
      </c>
      <c r="F237" s="57">
        <v>0</v>
      </c>
      <c r="G237" s="57">
        <v>0</v>
      </c>
      <c r="H237" s="57">
        <v>0</v>
      </c>
      <c r="I237" s="57">
        <v>0</v>
      </c>
      <c r="J237" s="57">
        <v>0</v>
      </c>
      <c r="K237" s="57">
        <v>0</v>
      </c>
      <c r="L237" s="57">
        <v>0</v>
      </c>
      <c r="M237" s="57">
        <v>0</v>
      </c>
      <c r="N237" s="57">
        <v>0</v>
      </c>
      <c r="O237" s="57">
        <v>0</v>
      </c>
      <c r="P237" s="58">
        <v>-638</v>
      </c>
      <c r="Q237" s="58">
        <v>-638</v>
      </c>
      <c r="R237" s="58">
        <v>-700</v>
      </c>
      <c r="S237" s="58">
        <v>100</v>
      </c>
      <c r="T237" s="58">
        <v>-60</v>
      </c>
      <c r="U237" s="57">
        <v>0</v>
      </c>
    </row>
    <row r="238" spans="2:21" x14ac:dyDescent="0.25">
      <c r="B238" s="56" t="s">
        <v>366</v>
      </c>
      <c r="C238" s="57">
        <v>0</v>
      </c>
      <c r="D238" s="57">
        <v>0</v>
      </c>
      <c r="E238" s="57">
        <v>0</v>
      </c>
      <c r="F238" s="57">
        <v>0</v>
      </c>
      <c r="G238" s="57">
        <v>0</v>
      </c>
      <c r="H238" s="57">
        <v>0</v>
      </c>
      <c r="I238" s="57">
        <v>0</v>
      </c>
      <c r="J238" s="57">
        <v>0</v>
      </c>
      <c r="K238" s="57">
        <v>0</v>
      </c>
      <c r="L238" s="57">
        <v>0</v>
      </c>
      <c r="M238" s="57">
        <v>0</v>
      </c>
      <c r="N238" s="57">
        <v>0</v>
      </c>
      <c r="O238" s="57">
        <v>0</v>
      </c>
      <c r="P238" s="58">
        <v>-668</v>
      </c>
      <c r="Q238" s="58">
        <v>-668</v>
      </c>
      <c r="R238" s="58">
        <v>-730</v>
      </c>
      <c r="S238" s="58">
        <v>100</v>
      </c>
      <c r="T238" s="58">
        <v>-60</v>
      </c>
      <c r="U238" s="57">
        <v>0</v>
      </c>
    </row>
    <row r="239" spans="2:21" x14ac:dyDescent="0.25">
      <c r="B239" s="56" t="s">
        <v>367</v>
      </c>
      <c r="C239" s="57">
        <v>0</v>
      </c>
      <c r="D239" s="57">
        <v>0</v>
      </c>
      <c r="E239" s="57">
        <v>0</v>
      </c>
      <c r="F239" s="57">
        <v>0</v>
      </c>
      <c r="G239" s="57">
        <v>0</v>
      </c>
      <c r="H239" s="57">
        <v>0</v>
      </c>
      <c r="I239" s="57">
        <v>0</v>
      </c>
      <c r="J239" s="57">
        <v>0</v>
      </c>
      <c r="K239" s="57">
        <v>0</v>
      </c>
      <c r="L239" s="57">
        <v>0</v>
      </c>
      <c r="M239" s="57">
        <v>0</v>
      </c>
      <c r="N239" s="57">
        <v>0</v>
      </c>
      <c r="O239" s="57">
        <v>0</v>
      </c>
      <c r="P239" s="57">
        <v>0</v>
      </c>
      <c r="Q239" s="57">
        <v>0</v>
      </c>
      <c r="R239" s="57">
        <v>0</v>
      </c>
      <c r="S239" s="57">
        <v>0</v>
      </c>
      <c r="T239" s="57">
        <v>0</v>
      </c>
      <c r="U239" s="57">
        <v>0</v>
      </c>
    </row>
    <row r="240" spans="2:21" x14ac:dyDescent="0.25">
      <c r="B240" s="59" t="s">
        <v>368</v>
      </c>
      <c r="C240" s="61">
        <v>0</v>
      </c>
      <c r="D240" s="61">
        <v>0</v>
      </c>
      <c r="E240" s="61">
        <v>0</v>
      </c>
      <c r="F240" s="61">
        <v>0</v>
      </c>
      <c r="G240" s="61">
        <v>0</v>
      </c>
      <c r="H240" s="61">
        <v>0</v>
      </c>
      <c r="I240" s="61">
        <v>0</v>
      </c>
      <c r="J240" s="61">
        <v>0</v>
      </c>
      <c r="K240" s="61">
        <v>0</v>
      </c>
      <c r="L240" s="60">
        <v>-6681819.9900000002</v>
      </c>
      <c r="M240" s="60">
        <v>-500897.96</v>
      </c>
      <c r="N240" s="61">
        <v>0</v>
      </c>
      <c r="O240" s="60">
        <v>-7182717.9500000002</v>
      </c>
      <c r="P240" s="60">
        <v>-6704365.0499999998</v>
      </c>
      <c r="Q240" s="60">
        <v>478352.9</v>
      </c>
      <c r="R240" s="60">
        <v>-7251419.2800000003</v>
      </c>
      <c r="S240" s="60">
        <v>-7.1349</v>
      </c>
      <c r="T240" s="60">
        <v>-788830.47</v>
      </c>
      <c r="U240" s="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3DFC-A3A4-4C34-B520-9650B46D01F4}">
  <sheetPr codeName="Hoja2">
    <tabColor theme="0" tint="-0.14999847407452621"/>
    <outlinePr summaryBelow="0"/>
    <pageSetUpPr fitToPage="1"/>
  </sheetPr>
  <dimension ref="A1:HW128"/>
  <sheetViews>
    <sheetView showGridLines="0" zoomScale="75" zoomScaleNormal="75" workbookViewId="0">
      <pane xSplit="3" ySplit="6" topLeftCell="D46" activePane="bottomRight" state="frozen"/>
      <selection activeCell="B1" sqref="B1:B65536"/>
      <selection pane="topRight" activeCell="B1" sqref="B1:B65536"/>
      <selection pane="bottomLeft" activeCell="B1" sqref="B1:B65536"/>
      <selection pane="bottomRight" activeCell="D8" sqref="D8:X114"/>
    </sheetView>
  </sheetViews>
  <sheetFormatPr baseColWidth="10" defaultColWidth="11.44140625" defaultRowHeight="13.8" outlineLevelRow="1" x14ac:dyDescent="0.25"/>
  <cols>
    <col min="1" max="1" width="47.109375" style="21" hidden="1" customWidth="1"/>
    <col min="2" max="2" width="35.77734375" style="4" customWidth="1"/>
    <col min="3" max="3" width="0.6640625" style="21" customWidth="1"/>
    <col min="4" max="8" width="11.77734375" style="21" customWidth="1"/>
    <col min="9" max="15" width="5.44140625" style="21" customWidth="1"/>
    <col min="16" max="16" width="0.6640625" style="21" customWidth="1"/>
    <col min="17" max="18" width="11.109375" style="21" customWidth="1"/>
    <col min="19" max="19" width="12.33203125" style="21" bestFit="1" customWidth="1"/>
    <col min="20" max="20" width="5.109375" style="21" customWidth="1"/>
    <col min="21" max="21" width="0.6640625" style="21" customWidth="1"/>
    <col min="22" max="22" width="11.6640625" style="21" bestFit="1" customWidth="1"/>
    <col min="23" max="23" width="0.6640625" style="21" customWidth="1"/>
    <col min="24" max="24" width="12.44140625" style="21" bestFit="1" customWidth="1"/>
    <col min="25" max="16384" width="11.44140625" style="21"/>
  </cols>
  <sheetData>
    <row r="1" spans="1:26" ht="14.4" customHeight="1" x14ac:dyDescent="0.25">
      <c r="B1" s="20"/>
      <c r="Z1" s="21">
        <f>+PETRAL!Z1</f>
        <v>5</v>
      </c>
    </row>
    <row r="2" spans="1:26" s="7" customFormat="1" ht="14.4" customHeight="1" x14ac:dyDescent="0.25">
      <c r="B2" s="7" t="s">
        <v>0</v>
      </c>
      <c r="X2" s="7" t="s">
        <v>1</v>
      </c>
    </row>
    <row r="3" spans="1:26" s="7" customFormat="1" ht="14.4" customHeight="1" x14ac:dyDescent="0.25">
      <c r="B3" s="8">
        <f>+PETRAL!B3</f>
        <v>46143</v>
      </c>
      <c r="D3" s="67" t="s">
        <v>105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X3" s="7" t="s">
        <v>1</v>
      </c>
    </row>
    <row r="4" spans="1:26" s="22" customFormat="1" ht="1.95" customHeight="1" x14ac:dyDescent="0.25">
      <c r="B4" s="7"/>
    </row>
    <row r="5" spans="1:26" s="7" customFormat="1" x14ac:dyDescent="0.25">
      <c r="B5" s="9"/>
      <c r="D5" s="10"/>
      <c r="E5" s="10"/>
      <c r="F5" s="10"/>
      <c r="G5" s="10"/>
      <c r="H5" s="10"/>
      <c r="I5" s="1"/>
      <c r="J5" s="10"/>
      <c r="K5" s="10"/>
      <c r="L5" s="10"/>
      <c r="M5" s="10"/>
      <c r="N5" s="10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26" ht="12.75" customHeight="1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+PETRAL!X6</f>
        <v>45778</v>
      </c>
    </row>
    <row r="7" spans="1:26" ht="4.2" customHeight="1" x14ac:dyDescent="0.25">
      <c r="B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4" customFormat="1" x14ac:dyDescent="0.25">
      <c r="B8" s="3" t="s">
        <v>24</v>
      </c>
      <c r="D8" s="2">
        <v>551026.33000000007</v>
      </c>
      <c r="E8" s="2">
        <v>1155412.98</v>
      </c>
      <c r="F8" s="2">
        <v>1436461.64</v>
      </c>
      <c r="G8" s="2">
        <v>865657.45</v>
      </c>
      <c r="H8" s="2">
        <v>1314549.9099999999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5323108.3099999996</v>
      </c>
      <c r="R8" s="2">
        <v>4461285</v>
      </c>
      <c r="S8" s="2">
        <v>861823.30999999959</v>
      </c>
      <c r="T8" s="2">
        <v>19.317826814471605</v>
      </c>
      <c r="V8" s="2">
        <v>11408070</v>
      </c>
      <c r="X8" s="2">
        <v>3443429.8900000006</v>
      </c>
    </row>
    <row r="9" spans="1:26" x14ac:dyDescent="0.25">
      <c r="A9" s="53" t="s">
        <v>371</v>
      </c>
      <c r="B9" s="16" t="s">
        <v>25</v>
      </c>
      <c r="D9" s="26">
        <v>197159.69</v>
      </c>
      <c r="E9" s="26">
        <v>1018421.92</v>
      </c>
      <c r="F9" s="26">
        <v>1132813.45</v>
      </c>
      <c r="G9" s="26">
        <v>547915.66</v>
      </c>
      <c r="H9" s="26">
        <v>1220211.67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Q9" s="26">
        <v>4116522.39</v>
      </c>
      <c r="R9" s="26">
        <v>3684285</v>
      </c>
      <c r="S9" s="16">
        <v>432237.39000000013</v>
      </c>
      <c r="T9" s="16">
        <v>11.731920576176929</v>
      </c>
      <c r="V9" s="26">
        <v>9558070</v>
      </c>
      <c r="X9" s="16">
        <v>2472155.7200000002</v>
      </c>
    </row>
    <row r="10" spans="1:26" x14ac:dyDescent="0.25">
      <c r="A10" s="53"/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Q10" s="26">
        <v>0</v>
      </c>
      <c r="R10" s="26">
        <v>0</v>
      </c>
      <c r="S10" s="16">
        <v>0</v>
      </c>
      <c r="T10" s="16">
        <v>0</v>
      </c>
      <c r="V10" s="26">
        <v>0</v>
      </c>
      <c r="X10" s="16">
        <v>0</v>
      </c>
    </row>
    <row r="11" spans="1:26" x14ac:dyDescent="0.25">
      <c r="A11" s="53" t="s">
        <v>374</v>
      </c>
      <c r="B11" s="16" t="s">
        <v>27</v>
      </c>
      <c r="D11" s="26">
        <v>331565.33</v>
      </c>
      <c r="E11" s="26">
        <v>130225.35</v>
      </c>
      <c r="F11" s="26">
        <v>226211.46</v>
      </c>
      <c r="G11" s="26">
        <v>296523.81</v>
      </c>
      <c r="H11" s="26">
        <v>61681.01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Q11" s="26">
        <v>1046206.96</v>
      </c>
      <c r="R11" s="26">
        <v>710000</v>
      </c>
      <c r="S11" s="16">
        <v>336206.95999999996</v>
      </c>
      <c r="T11" s="16">
        <v>47.353092957746476</v>
      </c>
      <c r="V11" s="26">
        <v>1710000</v>
      </c>
      <c r="X11" s="16">
        <v>873246.01</v>
      </c>
    </row>
    <row r="12" spans="1:26" x14ac:dyDescent="0.25">
      <c r="A12" s="53" t="s">
        <v>375</v>
      </c>
      <c r="B12" s="16" t="s">
        <v>28</v>
      </c>
      <c r="D12" s="26">
        <v>22301.31</v>
      </c>
      <c r="E12" s="26">
        <v>6765.71</v>
      </c>
      <c r="F12" s="26">
        <v>77436.73</v>
      </c>
      <c r="G12" s="26">
        <v>21217.98</v>
      </c>
      <c r="H12" s="26">
        <v>32657.23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Q12" s="26">
        <v>160378.96</v>
      </c>
      <c r="R12" s="26">
        <v>67000</v>
      </c>
      <c r="S12" s="16">
        <v>93378.959999999992</v>
      </c>
      <c r="T12" s="16">
        <v>139.37158208955222</v>
      </c>
      <c r="V12" s="26">
        <v>140000</v>
      </c>
      <c r="X12" s="16">
        <v>98028.160000000003</v>
      </c>
    </row>
    <row r="13" spans="1:26" x14ac:dyDescent="0.25">
      <c r="A13" s="53" t="s">
        <v>376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Q13" s="26">
        <v>0</v>
      </c>
      <c r="R13" s="26">
        <v>0</v>
      </c>
      <c r="S13" s="16">
        <v>0</v>
      </c>
      <c r="T13" s="16">
        <v>0</v>
      </c>
      <c r="V13" s="26">
        <v>0</v>
      </c>
      <c r="X13" s="16">
        <v>0</v>
      </c>
    </row>
    <row r="14" spans="1:26" ht="3.6" customHeight="1" x14ac:dyDescent="0.25"/>
    <row r="15" spans="1:26" s="4" customFormat="1" x14ac:dyDescent="0.25">
      <c r="B15" s="27" t="s">
        <v>30</v>
      </c>
      <c r="D15" s="28">
        <v>-113464.26000000001</v>
      </c>
      <c r="E15" s="28">
        <v>-270359.15999999997</v>
      </c>
      <c r="F15" s="28">
        <v>-447348.26</v>
      </c>
      <c r="G15" s="28">
        <v>-144973.84</v>
      </c>
      <c r="H15" s="28">
        <v>-318588.33999999997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Q15" s="28">
        <v>-1294733.8599999999</v>
      </c>
      <c r="R15" s="28">
        <v>-1142642.58</v>
      </c>
      <c r="S15" s="28">
        <v>-152091.27999999991</v>
      </c>
      <c r="T15" s="28">
        <v>13.310485943907317</v>
      </c>
      <c r="V15" s="28">
        <v>-2977950.75</v>
      </c>
      <c r="X15" s="28">
        <v>-886349.17</v>
      </c>
    </row>
    <row r="16" spans="1:26" x14ac:dyDescent="0.25">
      <c r="A16" s="53" t="s">
        <v>379</v>
      </c>
      <c r="B16" s="16" t="s">
        <v>31</v>
      </c>
      <c r="D16" s="26">
        <v>-58113.65</v>
      </c>
      <c r="E16" s="26">
        <v>-104266.83</v>
      </c>
      <c r="F16" s="26">
        <v>-109571.24</v>
      </c>
      <c r="G16" s="26">
        <v>-82631.520000000004</v>
      </c>
      <c r="H16" s="26">
        <v>-99174.25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26">
        <v>-453757.49000000005</v>
      </c>
      <c r="R16" s="26">
        <v>-410642.58</v>
      </c>
      <c r="S16" s="16">
        <v>-43114.910000000033</v>
      </c>
      <c r="T16" s="16">
        <v>10.499376367643128</v>
      </c>
      <c r="V16" s="26">
        <v>-1123950.75</v>
      </c>
      <c r="X16" s="16">
        <v>-377896.13</v>
      </c>
    </row>
    <row r="17" spans="1:231" x14ac:dyDescent="0.25">
      <c r="A17" s="53" t="s">
        <v>381</v>
      </c>
      <c r="B17" s="16" t="s">
        <v>32</v>
      </c>
      <c r="D17" s="26">
        <v>-55350.61</v>
      </c>
      <c r="E17" s="26">
        <v>-166092.32999999999</v>
      </c>
      <c r="F17" s="26">
        <v>-337777.02</v>
      </c>
      <c r="G17" s="26">
        <v>-62342.32</v>
      </c>
      <c r="H17" s="26">
        <v>-219414.09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26">
        <v>-840976.36999999988</v>
      </c>
      <c r="R17" s="26">
        <v>-732000</v>
      </c>
      <c r="S17" s="16">
        <v>-108976.36999999988</v>
      </c>
      <c r="T17" s="16">
        <v>14.887482240437141</v>
      </c>
      <c r="V17" s="26">
        <v>-1854000</v>
      </c>
      <c r="X17" s="16">
        <v>-508453.04000000004</v>
      </c>
    </row>
    <row r="18" spans="1:231" hidden="1" x14ac:dyDescent="0.25"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26">
        <v>0</v>
      </c>
      <c r="R18" s="26">
        <v>0</v>
      </c>
      <c r="S18" s="16">
        <v>0</v>
      </c>
      <c r="T18" s="16">
        <v>0</v>
      </c>
      <c r="V18" s="26">
        <v>0</v>
      </c>
      <c r="X18" s="16">
        <v>0</v>
      </c>
    </row>
    <row r="19" spans="1:231" s="29" customFormat="1" hidden="1" x14ac:dyDescent="0.25">
      <c r="A19" s="21"/>
      <c r="B19" s="29" t="s">
        <v>34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1"/>
      <c r="Q19" s="26">
        <v>0</v>
      </c>
      <c r="R19" s="26">
        <v>0</v>
      </c>
      <c r="S19" s="16">
        <v>0</v>
      </c>
      <c r="T19" s="29">
        <v>0</v>
      </c>
      <c r="U19" s="21"/>
      <c r="V19" s="26">
        <v>0</v>
      </c>
      <c r="W19" s="21"/>
      <c r="X19" s="16">
        <v>0</v>
      </c>
    </row>
    <row r="20" spans="1:231" x14ac:dyDescent="0.25">
      <c r="A20" s="53" t="s">
        <v>383</v>
      </c>
      <c r="B20" s="16" t="s">
        <v>35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26">
        <v>0</v>
      </c>
      <c r="R20" s="26">
        <v>0</v>
      </c>
      <c r="S20" s="16">
        <v>0</v>
      </c>
      <c r="T20" s="16">
        <v>0</v>
      </c>
      <c r="V20" s="26">
        <v>0</v>
      </c>
      <c r="X20" s="16">
        <v>0</v>
      </c>
    </row>
    <row r="21" spans="1:231" x14ac:dyDescent="0.25">
      <c r="A21" s="53" t="s">
        <v>478</v>
      </c>
      <c r="B21" s="16" t="s">
        <v>36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Q21" s="26">
        <v>0</v>
      </c>
      <c r="R21" s="26">
        <v>0</v>
      </c>
      <c r="S21" s="16">
        <v>0</v>
      </c>
      <c r="T21" s="16">
        <v>0</v>
      </c>
      <c r="V21" s="26">
        <v>0</v>
      </c>
      <c r="X21" s="16">
        <v>0</v>
      </c>
    </row>
    <row r="22" spans="1:231" s="29" customFormat="1" hidden="1" x14ac:dyDescent="0.25">
      <c r="A22" s="21"/>
      <c r="B22" s="29" t="s">
        <v>37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1"/>
      <c r="Q22" s="29">
        <v>0</v>
      </c>
      <c r="R22" s="29">
        <v>0</v>
      </c>
      <c r="S22" s="29">
        <v>0</v>
      </c>
      <c r="T22" s="29">
        <v>0</v>
      </c>
      <c r="U22" s="21"/>
      <c r="V22" s="29">
        <v>0</v>
      </c>
      <c r="W22" s="21"/>
      <c r="X22" s="29">
        <v>0</v>
      </c>
    </row>
    <row r="23" spans="1:231" ht="4.5" customHeight="1" x14ac:dyDescent="0.25">
      <c r="B23" s="30"/>
    </row>
    <row r="24" spans="1:231" ht="12.75" customHeight="1" x14ac:dyDescent="0.25">
      <c r="B24" s="3" t="s">
        <v>38</v>
      </c>
      <c r="C24" s="4"/>
      <c r="D24" s="2">
        <v>437562.07000000007</v>
      </c>
      <c r="E24" s="2">
        <v>885053.82000000007</v>
      </c>
      <c r="F24" s="2">
        <v>989113.37999999989</v>
      </c>
      <c r="G24" s="2">
        <v>720683.61</v>
      </c>
      <c r="H24" s="2">
        <v>995961.57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4028374.4499999997</v>
      </c>
      <c r="R24" s="2">
        <v>3318642.42</v>
      </c>
      <c r="S24" s="2">
        <v>709732.02999999968</v>
      </c>
      <c r="T24" s="2">
        <v>21.386215812910621</v>
      </c>
      <c r="U24" s="4"/>
      <c r="V24" s="2">
        <v>8430119.25</v>
      </c>
      <c r="W24" s="4"/>
      <c r="X24" s="2">
        <v>2557080.7200000007</v>
      </c>
    </row>
    <row r="25" spans="1:231" ht="4.2" customHeight="1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31" x14ac:dyDescent="0.25"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26">
        <v>0</v>
      </c>
      <c r="R26" s="26">
        <v>0</v>
      </c>
      <c r="S26" s="16">
        <v>0</v>
      </c>
      <c r="T26" s="16">
        <v>0</v>
      </c>
      <c r="V26" s="16">
        <v>0</v>
      </c>
      <c r="X26" s="16">
        <v>0</v>
      </c>
    </row>
    <row r="27" spans="1:231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31" s="32" customFormat="1" ht="12.75" customHeight="1" x14ac:dyDescent="0.25">
      <c r="A28" s="21"/>
      <c r="B28" s="3" t="s">
        <v>40</v>
      </c>
      <c r="C28" s="4"/>
      <c r="D28" s="2">
        <v>437562.07000000007</v>
      </c>
      <c r="E28" s="2">
        <v>885053.82000000007</v>
      </c>
      <c r="F28" s="2">
        <v>989113.37999999989</v>
      </c>
      <c r="G28" s="2">
        <v>720683.61</v>
      </c>
      <c r="H28" s="2">
        <v>995961.57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4028374.4499999997</v>
      </c>
      <c r="R28" s="2">
        <v>3318642.42</v>
      </c>
      <c r="S28" s="2">
        <v>709732.02999999968</v>
      </c>
      <c r="T28" s="32">
        <v>21.386215812910621</v>
      </c>
      <c r="U28" s="21"/>
      <c r="V28" s="2">
        <v>8430119.25</v>
      </c>
      <c r="W28" s="4"/>
      <c r="X28" s="2">
        <v>2557080.7200000007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</row>
    <row r="29" spans="1:231" ht="3.6" customHeight="1" x14ac:dyDescent="0.25">
      <c r="B29" s="30"/>
    </row>
    <row r="30" spans="1:231" s="4" customFormat="1" collapsed="1" x14ac:dyDescent="0.25">
      <c r="B30" s="27" t="s">
        <v>41</v>
      </c>
      <c r="D30" s="28">
        <v>-140045.31</v>
      </c>
      <c r="E30" s="28">
        <v>-202734.27000000002</v>
      </c>
      <c r="F30" s="28">
        <v>-168711.03000000003</v>
      </c>
      <c r="G30" s="28">
        <v>-163794.22999999998</v>
      </c>
      <c r="H30" s="28">
        <v>-178734.37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Q30" s="28">
        <v>-854019.21</v>
      </c>
      <c r="R30" s="28">
        <v>-928141.88</v>
      </c>
      <c r="S30" s="28">
        <v>74122.670000000042</v>
      </c>
      <c r="T30" s="28">
        <v>-7.9861356972707718</v>
      </c>
      <c r="V30" s="28">
        <v>-2172021.48</v>
      </c>
      <c r="X30" s="28">
        <v>-767899.81000000017</v>
      </c>
    </row>
    <row r="31" spans="1:231" s="4" customFormat="1" hidden="1" outlineLevel="1" x14ac:dyDescent="0.25">
      <c r="B31" s="16" t="s">
        <v>42</v>
      </c>
      <c r="D31" s="16">
        <v>-140045.31</v>
      </c>
      <c r="E31" s="16">
        <v>-202734.27000000002</v>
      </c>
      <c r="F31" s="16">
        <v>-168711.03000000003</v>
      </c>
      <c r="G31" s="16">
        <v>-163794.22999999998</v>
      </c>
      <c r="H31" s="16">
        <v>-178734.37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-854019.21</v>
      </c>
      <c r="R31" s="16">
        <v>-928141.88</v>
      </c>
      <c r="S31" s="16">
        <v>74122.670000000042</v>
      </c>
      <c r="T31" s="28">
        <v>-7.9861356972707718</v>
      </c>
      <c r="U31" s="21"/>
      <c r="V31" s="16">
        <v>-2172021.48</v>
      </c>
      <c r="W31" s="21"/>
      <c r="X31" s="16">
        <v>-767899.81000000017</v>
      </c>
    </row>
    <row r="32" spans="1:231" s="4" customFormat="1" ht="6" hidden="1" customHeight="1" outlineLevel="1" x14ac:dyDescent="0.25">
      <c r="B32" s="31"/>
    </row>
    <row r="33" spans="1:24" hidden="1" outlineLevel="1" x14ac:dyDescent="0.25">
      <c r="A33" s="53" t="s">
        <v>390</v>
      </c>
      <c r="B33" s="16" t="s">
        <v>43</v>
      </c>
      <c r="C33" s="4"/>
      <c r="D33" s="26">
        <v>-79110.27</v>
      </c>
      <c r="E33" s="26">
        <v>-133896.9</v>
      </c>
      <c r="F33" s="26">
        <v>-99027.32</v>
      </c>
      <c r="G33" s="26">
        <v>-103985.94</v>
      </c>
      <c r="H33" s="26">
        <v>-114436.43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26">
        <v>-530456.86</v>
      </c>
      <c r="R33" s="26">
        <v>-523020.72</v>
      </c>
      <c r="S33" s="16">
        <v>-7436.140000000014</v>
      </c>
      <c r="T33" s="16">
        <v>1.4217677647646567</v>
      </c>
      <c r="V33" s="26">
        <v>-1205715.67</v>
      </c>
      <c r="X33" s="16">
        <v>-507276.36</v>
      </c>
    </row>
    <row r="34" spans="1:24" hidden="1" outlineLevel="1" x14ac:dyDescent="0.25">
      <c r="A34" s="53" t="s">
        <v>392</v>
      </c>
      <c r="B34" s="16" t="s">
        <v>44</v>
      </c>
      <c r="C34" s="4"/>
      <c r="D34" s="26">
        <v>-6825.94</v>
      </c>
      <c r="E34" s="26">
        <v>-8346.57</v>
      </c>
      <c r="F34" s="26">
        <v>-4085.82</v>
      </c>
      <c r="G34" s="26">
        <v>-8127.8</v>
      </c>
      <c r="H34" s="26">
        <v>-8509.89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26">
        <v>-35896.019999999997</v>
      </c>
      <c r="R34" s="26">
        <v>-40071.25</v>
      </c>
      <c r="S34" s="16">
        <v>4175.2300000000032</v>
      </c>
      <c r="T34" s="16">
        <v>-10.419515238481463</v>
      </c>
      <c r="V34" s="26">
        <v>-97697.77</v>
      </c>
      <c r="X34" s="16">
        <v>-22304.809999999998</v>
      </c>
    </row>
    <row r="35" spans="1:24" hidden="1" outlineLevel="1" x14ac:dyDescent="0.25">
      <c r="A35" s="53" t="s">
        <v>393</v>
      </c>
      <c r="B35" s="16" t="s">
        <v>45</v>
      </c>
      <c r="C35" s="4"/>
      <c r="D35" s="26">
        <v>-10356.879999999999</v>
      </c>
      <c r="E35" s="26">
        <v>-11849.02</v>
      </c>
      <c r="F35" s="26">
        <v>-14640.11</v>
      </c>
      <c r="G35" s="26">
        <v>-15733.28</v>
      </c>
      <c r="H35" s="26">
        <v>-17093.28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26">
        <v>-69672.570000000007</v>
      </c>
      <c r="R35" s="26">
        <v>-106070.91</v>
      </c>
      <c r="S35" s="16">
        <v>36398.339999999997</v>
      </c>
      <c r="T35" s="16">
        <v>-34.315101096049801</v>
      </c>
      <c r="V35" s="26">
        <v>-243953.31</v>
      </c>
      <c r="X35" s="16">
        <v>-53578.04</v>
      </c>
    </row>
    <row r="36" spans="1:24" hidden="1" outlineLevel="1" x14ac:dyDescent="0.25">
      <c r="A36" s="53" t="s">
        <v>395</v>
      </c>
      <c r="B36" s="16" t="s">
        <v>46</v>
      </c>
      <c r="C36" s="4"/>
      <c r="D36" s="26">
        <v>-11520.37</v>
      </c>
      <c r="E36" s="26">
        <v>-8410.7000000000007</v>
      </c>
      <c r="F36" s="26">
        <v>-7077.03</v>
      </c>
      <c r="G36" s="26">
        <v>-4051.38</v>
      </c>
      <c r="H36" s="26">
        <v>-7148.94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26">
        <v>-38208.42</v>
      </c>
      <c r="R36" s="26">
        <v>-45833.1</v>
      </c>
      <c r="S36" s="16">
        <v>7624.68</v>
      </c>
      <c r="T36" s="16">
        <v>-16.635750145637108</v>
      </c>
      <c r="V36" s="26">
        <v>-111745.8</v>
      </c>
      <c r="X36" s="16">
        <v>-31952.9</v>
      </c>
    </row>
    <row r="37" spans="1:24" hidden="1" outlineLevel="1" x14ac:dyDescent="0.25">
      <c r="A37" s="53" t="s">
        <v>397</v>
      </c>
      <c r="B37" s="16" t="s">
        <v>47</v>
      </c>
      <c r="C37" s="4"/>
      <c r="D37" s="26">
        <v>-6369.62</v>
      </c>
      <c r="E37" s="26">
        <v>-9129.82</v>
      </c>
      <c r="F37" s="26">
        <v>-5583.53</v>
      </c>
      <c r="G37" s="26">
        <v>-6030.76</v>
      </c>
      <c r="H37" s="26">
        <v>-6852.64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26">
        <v>-33966.369999999995</v>
      </c>
      <c r="R37" s="26">
        <v>-35659.449999999997</v>
      </c>
      <c r="S37" s="16">
        <v>1693.0800000000017</v>
      </c>
      <c r="T37" s="16">
        <v>-4.747913947074343</v>
      </c>
      <c r="V37" s="26">
        <v>-86941.45</v>
      </c>
      <c r="X37" s="16">
        <v>-26122.15</v>
      </c>
    </row>
    <row r="38" spans="1:24" hidden="1" outlineLevel="1" x14ac:dyDescent="0.25">
      <c r="A38" s="53" t="s">
        <v>399</v>
      </c>
      <c r="B38" s="16" t="s">
        <v>48</v>
      </c>
      <c r="C38" s="4"/>
      <c r="D38" s="26">
        <v>-4023.82</v>
      </c>
      <c r="E38" s="26">
        <v>-5056.51</v>
      </c>
      <c r="F38" s="26">
        <v>-3173.09</v>
      </c>
      <c r="G38" s="26">
        <v>-516.69000000000005</v>
      </c>
      <c r="H38" s="26">
        <v>-6128.46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26">
        <v>-18898.57</v>
      </c>
      <c r="R38" s="26">
        <v>-18000</v>
      </c>
      <c r="S38" s="16">
        <v>-898.56999999999971</v>
      </c>
      <c r="T38" s="16">
        <v>4.9920555555555541</v>
      </c>
      <c r="V38" s="26">
        <v>-43200</v>
      </c>
      <c r="X38" s="16">
        <v>-19870.669999999998</v>
      </c>
    </row>
    <row r="39" spans="1:24" hidden="1" outlineLevel="1" x14ac:dyDescent="0.25">
      <c r="A39" s="53" t="s">
        <v>401</v>
      </c>
      <c r="B39" s="16" t="s">
        <v>49</v>
      </c>
      <c r="C39" s="4"/>
      <c r="D39" s="26">
        <v>-2419.44</v>
      </c>
      <c r="E39" s="26">
        <v>0</v>
      </c>
      <c r="F39" s="26">
        <v>0</v>
      </c>
      <c r="G39" s="26">
        <v>-402.71</v>
      </c>
      <c r="H39" s="26">
        <v>-156.38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26">
        <v>-2978.53</v>
      </c>
      <c r="R39" s="26">
        <v>-4250</v>
      </c>
      <c r="S39" s="16">
        <v>1271.4699999999998</v>
      </c>
      <c r="T39" s="16">
        <v>-29.916941176470583</v>
      </c>
      <c r="V39" s="26">
        <v>-10200</v>
      </c>
      <c r="X39" s="16">
        <v>-2746.29</v>
      </c>
    </row>
    <row r="40" spans="1:24" hidden="1" outlineLevel="1" x14ac:dyDescent="0.25">
      <c r="A40" s="53" t="s">
        <v>403</v>
      </c>
      <c r="B40" s="16" t="s">
        <v>50</v>
      </c>
      <c r="C40" s="4"/>
      <c r="D40" s="26">
        <v>-156.44</v>
      </c>
      <c r="E40" s="26">
        <v>-295.35000000000002</v>
      </c>
      <c r="F40" s="26">
        <v>-47.72</v>
      </c>
      <c r="G40" s="26">
        <v>-555.83000000000004</v>
      </c>
      <c r="H40" s="26">
        <v>-281.72000000000003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26">
        <v>-1337.0600000000002</v>
      </c>
      <c r="R40" s="26">
        <v>-4000</v>
      </c>
      <c r="S40" s="16">
        <v>2662.9399999999996</v>
      </c>
      <c r="T40" s="16">
        <v>-66.573499999999981</v>
      </c>
      <c r="V40" s="26">
        <v>-9600</v>
      </c>
      <c r="X40" s="16">
        <v>-739.16000000000008</v>
      </c>
    </row>
    <row r="41" spans="1:24" hidden="1" outlineLevel="1" x14ac:dyDescent="0.25">
      <c r="A41" s="53" t="s">
        <v>404</v>
      </c>
      <c r="B41" s="16" t="s">
        <v>51</v>
      </c>
      <c r="C41" s="4"/>
      <c r="D41" s="26">
        <v>-7072.59</v>
      </c>
      <c r="E41" s="26">
        <v>-13714</v>
      </c>
      <c r="F41" s="26">
        <v>-4612.1899999999996</v>
      </c>
      <c r="G41" s="26">
        <v>-12497.59</v>
      </c>
      <c r="H41" s="26">
        <v>-6070.33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26">
        <v>-43966.7</v>
      </c>
      <c r="R41" s="26">
        <v>-36000</v>
      </c>
      <c r="S41" s="16">
        <v>-7966.6999999999971</v>
      </c>
      <c r="T41" s="16">
        <v>22.129722222222213</v>
      </c>
      <c r="V41" s="26">
        <v>-86400</v>
      </c>
      <c r="X41" s="16">
        <v>-14256.23</v>
      </c>
    </row>
    <row r="42" spans="1:24" hidden="1" outlineLevel="1" x14ac:dyDescent="0.25">
      <c r="A42" s="53" t="s">
        <v>405</v>
      </c>
      <c r="B42" s="16" t="s">
        <v>52</v>
      </c>
      <c r="C42" s="4"/>
      <c r="D42" s="26">
        <v>-12215.63</v>
      </c>
      <c r="E42" s="26">
        <v>-12035.4</v>
      </c>
      <c r="F42" s="26">
        <v>-11745.88</v>
      </c>
      <c r="G42" s="26">
        <v>-11887.18</v>
      </c>
      <c r="H42" s="26">
        <v>-12004.45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26">
        <v>-59888.539999999994</v>
      </c>
      <c r="R42" s="26">
        <v>-65516.800000000003</v>
      </c>
      <c r="S42" s="16">
        <v>5628.2600000000093</v>
      </c>
      <c r="T42" s="16">
        <v>-8.5905599785093436</v>
      </c>
      <c r="V42" s="26">
        <v>-157240.32000000001</v>
      </c>
      <c r="X42" s="16">
        <v>-59147.39</v>
      </c>
    </row>
    <row r="43" spans="1:24" hidden="1" outlineLevel="1" x14ac:dyDescent="0.25">
      <c r="A43" s="53" t="s">
        <v>406</v>
      </c>
      <c r="B43" s="16" t="s">
        <v>53</v>
      </c>
      <c r="C43" s="4"/>
      <c r="D43" s="26">
        <v>25.69</v>
      </c>
      <c r="E43" s="26">
        <v>0</v>
      </c>
      <c r="F43" s="26">
        <v>-18718.34</v>
      </c>
      <c r="G43" s="26">
        <v>-5.07</v>
      </c>
      <c r="H43" s="26">
        <v>-51.85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26">
        <v>-18749.57</v>
      </c>
      <c r="R43" s="26">
        <v>-49719.65</v>
      </c>
      <c r="S43" s="16">
        <v>30970.080000000002</v>
      </c>
      <c r="T43" s="16">
        <v>-62.289416759772045</v>
      </c>
      <c r="V43" s="26">
        <v>-119327.16</v>
      </c>
      <c r="X43" s="16">
        <v>-29905.81</v>
      </c>
    </row>
    <row r="44" spans="1:24" ht="3" customHeight="1" x14ac:dyDescent="0.25">
      <c r="B44" s="30"/>
    </row>
    <row r="45" spans="1:24" s="4" customFormat="1" x14ac:dyDescent="0.25">
      <c r="B45" s="27" t="s">
        <v>54</v>
      </c>
      <c r="D45" s="28">
        <v>-44172.86</v>
      </c>
      <c r="E45" s="28">
        <v>-88911.86</v>
      </c>
      <c r="F45" s="28">
        <v>-75689.03</v>
      </c>
      <c r="G45" s="28">
        <v>-158573.23000000001</v>
      </c>
      <c r="H45" s="28">
        <v>-132015.16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Q45" s="28">
        <v>-499362.14</v>
      </c>
      <c r="R45" s="28">
        <v>-369020</v>
      </c>
      <c r="S45" s="28">
        <v>-130342.14000000003</v>
      </c>
      <c r="T45" s="28">
        <v>35.321158744783489</v>
      </c>
      <c r="V45" s="28">
        <v>-916492</v>
      </c>
      <c r="W45" s="21">
        <v>0</v>
      </c>
      <c r="X45" s="28">
        <v>-511345.57999999996</v>
      </c>
    </row>
    <row r="46" spans="1:24" x14ac:dyDescent="0.25">
      <c r="A46" s="53" t="s">
        <v>409</v>
      </c>
      <c r="B46" s="16" t="s">
        <v>55</v>
      </c>
      <c r="D46" s="26">
        <v>-8861.4500000000007</v>
      </c>
      <c r="E46" s="26">
        <v>-25087.68</v>
      </c>
      <c r="F46" s="26">
        <v>-5586</v>
      </c>
      <c r="G46" s="26">
        <v>-7.86</v>
      </c>
      <c r="H46" s="26">
        <v>-12192.14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26">
        <v>-51735.130000000005</v>
      </c>
      <c r="R46" s="26">
        <v>-40940</v>
      </c>
      <c r="S46" s="16">
        <v>-10795.130000000005</v>
      </c>
      <c r="T46" s="16">
        <v>26.368172936003919</v>
      </c>
      <c r="V46" s="26">
        <v>-116020</v>
      </c>
      <c r="X46" s="16">
        <v>-19931.04</v>
      </c>
    </row>
    <row r="47" spans="1:24" x14ac:dyDescent="0.25">
      <c r="A47" s="53" t="s">
        <v>501</v>
      </c>
      <c r="B47" s="16" t="s">
        <v>56</v>
      </c>
      <c r="D47" s="26">
        <v>-8167.26</v>
      </c>
      <c r="E47" s="26">
        <v>-19649.349999999999</v>
      </c>
      <c r="F47" s="26">
        <v>-44576.58</v>
      </c>
      <c r="G47" s="26">
        <v>-82427.27</v>
      </c>
      <c r="H47" s="26">
        <v>-72038.39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26">
        <v>-226858.85000000003</v>
      </c>
      <c r="R47" s="26">
        <v>-160350</v>
      </c>
      <c r="S47" s="16">
        <v>-66508.850000000035</v>
      </c>
      <c r="T47" s="16">
        <v>41.47729965700033</v>
      </c>
      <c r="V47" s="26">
        <v>-399600</v>
      </c>
      <c r="X47" s="16">
        <v>-304164.94999999995</v>
      </c>
    </row>
    <row r="48" spans="1:24" x14ac:dyDescent="0.25">
      <c r="A48" s="53" t="s">
        <v>413</v>
      </c>
      <c r="B48" s="16" t="s">
        <v>57</v>
      </c>
      <c r="D48" s="26">
        <v>-10263.24</v>
      </c>
      <c r="E48" s="26">
        <v>-8892.01</v>
      </c>
      <c r="F48" s="26">
        <v>-5841.37</v>
      </c>
      <c r="G48" s="26">
        <v>-38130.089999999997</v>
      </c>
      <c r="H48" s="26">
        <v>-22994.97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26">
        <v>-86121.68</v>
      </c>
      <c r="R48" s="26">
        <v>-63000</v>
      </c>
      <c r="S48" s="16">
        <v>-23121.679999999993</v>
      </c>
      <c r="T48" s="16">
        <v>36.701079365079352</v>
      </c>
      <c r="V48" s="26">
        <v>-151200</v>
      </c>
      <c r="X48" s="16">
        <v>-70471.33</v>
      </c>
    </row>
    <row r="49" spans="1:24" x14ac:dyDescent="0.25">
      <c r="A49" s="53" t="s">
        <v>415</v>
      </c>
      <c r="B49" s="16" t="s">
        <v>58</v>
      </c>
      <c r="D49" s="26">
        <v>-4031.75</v>
      </c>
      <c r="E49" s="26">
        <v>-16839.8</v>
      </c>
      <c r="F49" s="26">
        <v>-2077.21</v>
      </c>
      <c r="G49" s="26">
        <v>-19266.189999999999</v>
      </c>
      <c r="H49" s="26">
        <v>-4878.42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26">
        <v>-47093.369999999995</v>
      </c>
      <c r="R49" s="26">
        <v>-20450</v>
      </c>
      <c r="S49" s="16">
        <v>-26643.369999999995</v>
      </c>
      <c r="T49" s="16">
        <v>130.28542787286062</v>
      </c>
      <c r="V49" s="26">
        <v>-47400</v>
      </c>
      <c r="X49" s="16">
        <v>-33893.449999999997</v>
      </c>
    </row>
    <row r="50" spans="1:24" ht="12.75" customHeight="1" collapsed="1" x14ac:dyDescent="0.25">
      <c r="B50" s="16" t="s">
        <v>59</v>
      </c>
      <c r="D50" s="16">
        <v>-193.16000000000003</v>
      </c>
      <c r="E50" s="16">
        <v>-5787.02</v>
      </c>
      <c r="F50" s="16">
        <v>-4951.87</v>
      </c>
      <c r="G50" s="16">
        <v>-6085.82</v>
      </c>
      <c r="H50" s="16">
        <v>-7255.24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Q50" s="16">
        <v>-24273.11</v>
      </c>
      <c r="R50" s="16">
        <v>-21000</v>
      </c>
      <c r="S50" s="16">
        <v>-3273.1100000000006</v>
      </c>
      <c r="T50" s="16">
        <v>15.586238095238098</v>
      </c>
      <c r="V50" s="16">
        <v>-50400</v>
      </c>
      <c r="X50" s="16">
        <v>-19604.809999999998</v>
      </c>
    </row>
    <row r="51" spans="1:24" ht="17.25" hidden="1" customHeight="1" outlineLevel="1" x14ac:dyDescent="0.25">
      <c r="A51" s="53" t="s">
        <v>418</v>
      </c>
      <c r="B51" s="16" t="s">
        <v>60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26">
        <v>0</v>
      </c>
      <c r="R51" s="26">
        <v>0</v>
      </c>
      <c r="S51" s="16">
        <v>0</v>
      </c>
      <c r="T51" s="16">
        <v>0</v>
      </c>
      <c r="V51" s="26">
        <v>0</v>
      </c>
      <c r="X51" s="16">
        <v>0</v>
      </c>
    </row>
    <row r="52" spans="1:24" hidden="1" outlineLevel="1" x14ac:dyDescent="0.25">
      <c r="B52" s="16" t="s">
        <v>61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26">
        <v>0</v>
      </c>
      <c r="R52" s="26">
        <v>0</v>
      </c>
      <c r="S52" s="16">
        <v>0</v>
      </c>
      <c r="T52" s="16">
        <v>0</v>
      </c>
      <c r="V52" s="26">
        <v>0</v>
      </c>
      <c r="X52" s="16">
        <v>0</v>
      </c>
    </row>
    <row r="53" spans="1:24" hidden="1" outlineLevel="1" x14ac:dyDescent="0.25">
      <c r="B53" s="16" t="s">
        <v>62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26">
        <v>0</v>
      </c>
      <c r="R53" s="26">
        <v>0</v>
      </c>
      <c r="S53" s="16">
        <v>0</v>
      </c>
      <c r="T53" s="16">
        <v>0</v>
      </c>
      <c r="V53" s="26">
        <v>0</v>
      </c>
      <c r="X53" s="16">
        <v>0</v>
      </c>
    </row>
    <row r="54" spans="1:24" hidden="1" outlineLevel="1" x14ac:dyDescent="0.25">
      <c r="A54" s="53" t="s">
        <v>423</v>
      </c>
      <c r="B54" s="16" t="s">
        <v>63</v>
      </c>
      <c r="D54" s="26">
        <v>-293.16000000000003</v>
      </c>
      <c r="E54" s="26">
        <v>-1397.02</v>
      </c>
      <c r="F54" s="26">
        <v>-3751.87</v>
      </c>
      <c r="G54" s="26">
        <v>-3185.82</v>
      </c>
      <c r="H54" s="26">
        <v>-6955.24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26">
        <v>-15583.11</v>
      </c>
      <c r="R54" s="26">
        <v>-16000</v>
      </c>
      <c r="S54" s="16">
        <v>416.88999999999942</v>
      </c>
      <c r="T54" s="16">
        <v>-2.6055624999999965</v>
      </c>
      <c r="V54" s="26">
        <v>-38400</v>
      </c>
      <c r="X54" s="16">
        <v>-13998.83</v>
      </c>
    </row>
    <row r="55" spans="1:24" hidden="1" outlineLevel="1" x14ac:dyDescent="0.25">
      <c r="A55" s="53" t="s">
        <v>425</v>
      </c>
      <c r="B55" s="16" t="s">
        <v>64</v>
      </c>
      <c r="D55" s="26">
        <v>100</v>
      </c>
      <c r="E55" s="26">
        <v>-4390</v>
      </c>
      <c r="F55" s="26">
        <v>-1200</v>
      </c>
      <c r="G55" s="26">
        <v>-2900</v>
      </c>
      <c r="H55" s="26">
        <v>-300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26">
        <v>-8690</v>
      </c>
      <c r="R55" s="26">
        <v>-5000</v>
      </c>
      <c r="S55" s="16">
        <v>-3690</v>
      </c>
      <c r="T55" s="16">
        <v>73.8</v>
      </c>
      <c r="V55" s="26">
        <v>-12000</v>
      </c>
      <c r="X55" s="16">
        <v>-5605.98</v>
      </c>
    </row>
    <row r="56" spans="1:24" x14ac:dyDescent="0.25">
      <c r="A56" s="53" t="s">
        <v>427</v>
      </c>
      <c r="B56" s="16" t="s">
        <v>65</v>
      </c>
      <c r="D56" s="26">
        <v>-12656</v>
      </c>
      <c r="E56" s="26">
        <v>-12656</v>
      </c>
      <c r="F56" s="26">
        <v>-12656</v>
      </c>
      <c r="G56" s="26">
        <v>-12656</v>
      </c>
      <c r="H56" s="26">
        <v>-12656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26">
        <v>-63280</v>
      </c>
      <c r="R56" s="26">
        <v>-63280</v>
      </c>
      <c r="S56" s="16">
        <v>0</v>
      </c>
      <c r="T56" s="16">
        <v>0</v>
      </c>
      <c r="V56" s="26">
        <v>-151872</v>
      </c>
      <c r="X56" s="16">
        <v>-63280</v>
      </c>
    </row>
    <row r="57" spans="1:24" ht="3.6" customHeight="1" x14ac:dyDescent="0.25">
      <c r="B57" s="30"/>
      <c r="T57" s="21" t="s">
        <v>1</v>
      </c>
    </row>
    <row r="58" spans="1:24" x14ac:dyDescent="0.25">
      <c r="A58" s="53" t="s">
        <v>414</v>
      </c>
      <c r="B58" s="27" t="s">
        <v>66</v>
      </c>
      <c r="C58" s="4"/>
      <c r="D58" s="62">
        <v>-60873.37</v>
      </c>
      <c r="E58" s="62">
        <v>-60873.37</v>
      </c>
      <c r="F58" s="62">
        <v>-60873.38</v>
      </c>
      <c r="G58" s="62">
        <v>-60873.37</v>
      </c>
      <c r="H58" s="62">
        <v>-60873.37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4"/>
      <c r="Q58" s="62">
        <v>-304366.86</v>
      </c>
      <c r="R58" s="62">
        <v>-304366.84999999998</v>
      </c>
      <c r="S58" s="28">
        <v>-1.0000000009313226E-2</v>
      </c>
      <c r="T58" s="28">
        <v>3.2855089209988622E-6</v>
      </c>
      <c r="U58" s="4"/>
      <c r="V58" s="62">
        <v>-730480.44</v>
      </c>
      <c r="W58" s="4"/>
      <c r="X58" s="62">
        <v>-58764.41</v>
      </c>
    </row>
    <row r="59" spans="1:24" ht="3.6" customHeight="1" x14ac:dyDescent="0.25">
      <c r="B59" s="30"/>
      <c r="T59" s="21" t="s">
        <v>1</v>
      </c>
    </row>
    <row r="60" spans="1:24" s="4" customFormat="1" x14ac:dyDescent="0.25">
      <c r="B60" s="27" t="s">
        <v>67</v>
      </c>
      <c r="D60" s="28">
        <v>-12563.92</v>
      </c>
      <c r="E60" s="28">
        <v>-11348.06</v>
      </c>
      <c r="F60" s="28">
        <v>-12471.380000000001</v>
      </c>
      <c r="G60" s="28">
        <v>-12087.43</v>
      </c>
      <c r="H60" s="28">
        <v>-12490.41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Q60" s="28">
        <v>-60961.200000000004</v>
      </c>
      <c r="R60" s="28">
        <v>-59973.53</v>
      </c>
      <c r="S60" s="28">
        <v>-987.67000000000326</v>
      </c>
      <c r="T60" s="28">
        <v>1.6468431989912939</v>
      </c>
      <c r="V60" s="28">
        <v>-145895.26999999999</v>
      </c>
      <c r="X60" s="28">
        <v>-20431.749999999996</v>
      </c>
    </row>
    <row r="61" spans="1:24" x14ac:dyDescent="0.25">
      <c r="A61" s="53" t="s">
        <v>429</v>
      </c>
      <c r="B61" s="16" t="s">
        <v>68</v>
      </c>
      <c r="D61" s="26">
        <v>-7900.31</v>
      </c>
      <c r="E61" s="26">
        <v>-7135.77</v>
      </c>
      <c r="F61" s="26">
        <v>-7900.31</v>
      </c>
      <c r="G61" s="26">
        <v>-7645.44</v>
      </c>
      <c r="H61" s="26">
        <v>-7900.3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26">
        <v>-38482.130000000005</v>
      </c>
      <c r="R61" s="26">
        <v>-37433.64</v>
      </c>
      <c r="S61" s="16">
        <v>-1048.4900000000052</v>
      </c>
      <c r="T61" s="16">
        <v>2.8009298588115001</v>
      </c>
      <c r="V61" s="26">
        <v>-91483.9</v>
      </c>
      <c r="X61" s="16">
        <v>-11439.119999999999</v>
      </c>
    </row>
    <row r="62" spans="1:24" x14ac:dyDescent="0.25">
      <c r="A62" s="53" t="s">
        <v>431</v>
      </c>
      <c r="B62" s="16" t="s">
        <v>69</v>
      </c>
      <c r="D62" s="26">
        <v>-3843.69</v>
      </c>
      <c r="E62" s="26">
        <v>-3471.71</v>
      </c>
      <c r="F62" s="26">
        <v>-3751.15</v>
      </c>
      <c r="G62" s="26">
        <v>-3648.51</v>
      </c>
      <c r="H62" s="26">
        <v>-3770.13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26">
        <v>-18485.189999999999</v>
      </c>
      <c r="R62" s="26">
        <v>-18546.04</v>
      </c>
      <c r="S62" s="16">
        <v>60.850000000002183</v>
      </c>
      <c r="T62" s="16">
        <v>-0.32810238735601877</v>
      </c>
      <c r="V62" s="26">
        <v>-44716.7</v>
      </c>
      <c r="X62" s="16">
        <v>-13443.37</v>
      </c>
    </row>
    <row r="63" spans="1:24" x14ac:dyDescent="0.25">
      <c r="A63" s="53" t="s">
        <v>432</v>
      </c>
      <c r="B63" s="16" t="s">
        <v>70</v>
      </c>
      <c r="D63" s="26">
        <v>-819.92</v>
      </c>
      <c r="E63" s="26">
        <v>-740.58</v>
      </c>
      <c r="F63" s="26">
        <v>-819.92</v>
      </c>
      <c r="G63" s="26">
        <v>-793.48</v>
      </c>
      <c r="H63" s="26">
        <v>-819.98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Q63" s="26">
        <v>-3993.88</v>
      </c>
      <c r="R63" s="26">
        <v>-3993.85</v>
      </c>
      <c r="S63" s="16">
        <v>-3.0000000000200089E-2</v>
      </c>
      <c r="T63" s="16">
        <v>7.5115490066477429E-4</v>
      </c>
      <c r="V63" s="26">
        <v>-9694.67</v>
      </c>
      <c r="X63" s="16">
        <v>4450.7400000000007</v>
      </c>
    </row>
    <row r="64" spans="1:24" ht="3.6" customHeight="1" x14ac:dyDescent="0.25">
      <c r="B64" s="30"/>
      <c r="T64" s="21" t="s">
        <v>1</v>
      </c>
    </row>
    <row r="65" spans="1:24" ht="12.75" customHeight="1" x14ac:dyDescent="0.25">
      <c r="A65" s="4"/>
      <c r="B65" s="2" t="s">
        <v>71</v>
      </c>
      <c r="C65" s="4"/>
      <c r="D65" s="2">
        <v>-257655.46</v>
      </c>
      <c r="E65" s="2">
        <v>-363867.56</v>
      </c>
      <c r="F65" s="2">
        <v>-317744.82</v>
      </c>
      <c r="G65" s="2">
        <v>-395328.25999999995</v>
      </c>
      <c r="H65" s="2">
        <v>-384113.31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4"/>
      <c r="Q65" s="2">
        <v>-1718709.4100000001</v>
      </c>
      <c r="R65" s="2">
        <v>-1661502.2599999998</v>
      </c>
      <c r="S65" s="2">
        <v>-57207.15</v>
      </c>
      <c r="T65" s="2">
        <v>3.4430979347569473</v>
      </c>
      <c r="U65" s="4"/>
      <c r="V65" s="2">
        <v>-3964889.19</v>
      </c>
      <c r="W65" s="4"/>
      <c r="X65" s="2">
        <v>-1358441.55</v>
      </c>
    </row>
    <row r="66" spans="1:24" ht="3.75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1</v>
      </c>
      <c r="U66" s="4"/>
      <c r="V66" s="4"/>
      <c r="W66" s="4"/>
      <c r="X66" s="4"/>
    </row>
    <row r="67" spans="1:24" ht="12.75" customHeight="1" x14ac:dyDescent="0.25">
      <c r="A67" s="4"/>
      <c r="B67" s="2" t="s">
        <v>72</v>
      </c>
      <c r="C67" s="4"/>
      <c r="D67" s="2">
        <v>179906.61000000007</v>
      </c>
      <c r="E67" s="2">
        <v>521186.26000000007</v>
      </c>
      <c r="F67" s="2">
        <v>671368.55999999982</v>
      </c>
      <c r="G67" s="2">
        <v>325355.35000000003</v>
      </c>
      <c r="H67" s="2">
        <v>611848.26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4"/>
      <c r="Q67" s="2">
        <v>2309665.0399999996</v>
      </c>
      <c r="R67" s="2">
        <v>1657140.1600000001</v>
      </c>
      <c r="S67" s="2">
        <v>652524.87999999966</v>
      </c>
      <c r="T67" s="2">
        <v>39.376565468065152</v>
      </c>
      <c r="U67" s="4"/>
      <c r="V67" s="2">
        <v>4465230.0600000005</v>
      </c>
      <c r="W67" s="4"/>
      <c r="X67" s="2">
        <v>1198639.1700000006</v>
      </c>
    </row>
    <row r="68" spans="1:24" ht="3.6" customHeight="1" x14ac:dyDescent="0.25">
      <c r="B68" s="30"/>
      <c r="T68" s="21" t="s">
        <v>1</v>
      </c>
    </row>
    <row r="69" spans="1:24" x14ac:dyDescent="0.25">
      <c r="A69" s="53" t="s">
        <v>435</v>
      </c>
      <c r="B69" s="16" t="s">
        <v>73</v>
      </c>
      <c r="D69" s="26">
        <v>-29795.8</v>
      </c>
      <c r="E69" s="26">
        <v>-29602.04</v>
      </c>
      <c r="F69" s="26">
        <v>-29602.19</v>
      </c>
      <c r="G69" s="26">
        <v>-29676.880000000001</v>
      </c>
      <c r="H69" s="26">
        <v>-29611.75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Q69" s="26">
        <v>-148288.66</v>
      </c>
      <c r="R69" s="26">
        <v>-146174.75</v>
      </c>
      <c r="S69" s="16">
        <v>-2113.9100000000035</v>
      </c>
      <c r="T69" s="16">
        <v>1.4461526358006451</v>
      </c>
      <c r="V69" s="26">
        <v>-350819.4</v>
      </c>
      <c r="X69" s="16">
        <v>-148208.41</v>
      </c>
    </row>
    <row r="70" spans="1:24" hidden="1" x14ac:dyDescent="0.25">
      <c r="B70" s="16" t="s">
        <v>74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Q70" s="16">
        <v>0</v>
      </c>
      <c r="R70" s="16">
        <v>0</v>
      </c>
      <c r="S70" s="16">
        <v>0</v>
      </c>
      <c r="T70" s="16">
        <v>0</v>
      </c>
      <c r="V70" s="16">
        <v>0</v>
      </c>
      <c r="X70" s="16">
        <v>0</v>
      </c>
    </row>
    <row r="71" spans="1:24" ht="4.5" hidden="1" customHeight="1" x14ac:dyDescent="0.25">
      <c r="B71" s="21"/>
      <c r="T71" s="21" t="s">
        <v>1</v>
      </c>
    </row>
    <row r="72" spans="1:24" s="4" customFormat="1" hidden="1" x14ac:dyDescent="0.25">
      <c r="B72" s="2" t="s">
        <v>75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0</v>
      </c>
      <c r="X72" s="2">
        <v>0</v>
      </c>
    </row>
    <row r="73" spans="1:24" ht="3.6" hidden="1" customHeight="1" x14ac:dyDescent="0.25">
      <c r="B73" s="21"/>
      <c r="T73" s="21">
        <v>0</v>
      </c>
    </row>
    <row r="74" spans="1:24" collapsed="1" x14ac:dyDescent="0.25">
      <c r="A74" s="53" t="s">
        <v>436</v>
      </c>
      <c r="B74" s="16" t="s">
        <v>76</v>
      </c>
      <c r="D74" s="26">
        <v>-1023.61</v>
      </c>
      <c r="E74" s="26">
        <v>-571.47</v>
      </c>
      <c r="F74" s="26">
        <v>-634.51</v>
      </c>
      <c r="G74" s="26">
        <v>-551.41</v>
      </c>
      <c r="H74" s="26">
        <v>-546.75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Q74" s="26">
        <v>-3327.75</v>
      </c>
      <c r="R74" s="26">
        <v>-4651.1000000000004</v>
      </c>
      <c r="S74" s="16">
        <v>561.06999999999971</v>
      </c>
      <c r="T74" s="16">
        <v>-12.063167852766005</v>
      </c>
      <c r="V74" s="26">
        <v>-11162.64</v>
      </c>
      <c r="X74" s="16">
        <v>-4209.8</v>
      </c>
    </row>
    <row r="75" spans="1:24" hidden="1" outlineLevel="1" x14ac:dyDescent="0.25">
      <c r="B75" s="29" t="s">
        <v>77</v>
      </c>
      <c r="C75" s="29"/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Q75" s="26">
        <v>0</v>
      </c>
      <c r="R75" s="26">
        <v>0</v>
      </c>
      <c r="S75" s="29">
        <v>0</v>
      </c>
      <c r="T75" s="29">
        <v>0</v>
      </c>
      <c r="V75" s="26">
        <v>0</v>
      </c>
      <c r="X75" s="26">
        <v>0</v>
      </c>
    </row>
    <row r="76" spans="1:24" hidden="1" outlineLevel="1" x14ac:dyDescent="0.25">
      <c r="B76" s="29" t="s">
        <v>78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26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</row>
    <row r="77" spans="1:24" hidden="1" outlineLevel="1" x14ac:dyDescent="0.25">
      <c r="A77" s="53" t="s">
        <v>438</v>
      </c>
      <c r="B77" s="29" t="s">
        <v>79</v>
      </c>
      <c r="C77" s="29"/>
      <c r="D77" s="26">
        <v>-926.61</v>
      </c>
      <c r="E77" s="26">
        <v>-571.47</v>
      </c>
      <c r="F77" s="26">
        <v>-634.51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26">
        <v>-2132.59</v>
      </c>
      <c r="R77" s="26">
        <v>-2790.66</v>
      </c>
      <c r="S77" s="29">
        <v>658.06999999999971</v>
      </c>
      <c r="T77" s="29">
        <v>-23.581160012326823</v>
      </c>
      <c r="V77" s="26">
        <v>-11162.64</v>
      </c>
      <c r="X77" s="26">
        <v>-1861.88</v>
      </c>
    </row>
    <row r="78" spans="1:24" hidden="1" outlineLevel="1" x14ac:dyDescent="0.25">
      <c r="A78" s="53" t="s">
        <v>518</v>
      </c>
      <c r="B78" s="29" t="s">
        <v>80</v>
      </c>
      <c r="C78" s="29"/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Q78" s="26">
        <v>0</v>
      </c>
      <c r="R78" s="26">
        <v>0</v>
      </c>
      <c r="S78" s="29">
        <v>0</v>
      </c>
      <c r="T78" s="29">
        <v>0</v>
      </c>
      <c r="V78" s="26">
        <v>0</v>
      </c>
      <c r="X78" s="26">
        <v>0</v>
      </c>
    </row>
    <row r="79" spans="1:24" hidden="1" outlineLevel="1" x14ac:dyDescent="0.25">
      <c r="B79" s="29" t="s">
        <v>81</v>
      </c>
      <c r="C79" s="29"/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Q79" s="26">
        <v>0</v>
      </c>
      <c r="R79" s="26">
        <v>0</v>
      </c>
      <c r="S79" s="29">
        <v>0</v>
      </c>
      <c r="T79" s="29">
        <v>0</v>
      </c>
      <c r="V79" s="26">
        <v>0</v>
      </c>
      <c r="X79" s="26">
        <v>0</v>
      </c>
    </row>
    <row r="80" spans="1:24" hidden="1" outlineLevel="1" x14ac:dyDescent="0.25">
      <c r="A80" s="53" t="s">
        <v>440</v>
      </c>
      <c r="B80" s="29" t="s">
        <v>82</v>
      </c>
      <c r="C80" s="29"/>
      <c r="D80" s="26">
        <v>-97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Q80" s="26">
        <v>-97</v>
      </c>
      <c r="R80" s="26">
        <v>0</v>
      </c>
      <c r="S80" s="29">
        <v>-97</v>
      </c>
      <c r="T80" s="29">
        <v>0</v>
      </c>
      <c r="V80" s="26">
        <v>0</v>
      </c>
      <c r="X80" s="26">
        <v>-12.93</v>
      </c>
    </row>
    <row r="81" spans="1:24" hidden="1" outlineLevel="1" x14ac:dyDescent="0.25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>
        <v>0</v>
      </c>
      <c r="V81" s="29"/>
      <c r="X81" s="29"/>
    </row>
    <row r="82" spans="1:24" hidden="1" outlineLevel="1" x14ac:dyDescent="0.25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>
        <v>0</v>
      </c>
      <c r="V82" s="29"/>
      <c r="X82" s="29"/>
    </row>
    <row r="83" spans="1:24" hidden="1" outlineLevel="1" x14ac:dyDescent="0.25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Q83" s="29"/>
      <c r="R83" s="29"/>
      <c r="S83" s="29"/>
      <c r="T83" s="29">
        <v>0</v>
      </c>
      <c r="V83" s="29"/>
      <c r="X83" s="29"/>
    </row>
    <row r="84" spans="1:24" hidden="1" outlineLevel="1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Q84" s="29"/>
      <c r="R84" s="29"/>
      <c r="S84" s="29"/>
      <c r="T84" s="29">
        <v>0</v>
      </c>
      <c r="V84" s="29"/>
      <c r="X84" s="29"/>
    </row>
    <row r="85" spans="1:24" hidden="1" outlineLevel="1" x14ac:dyDescent="0.25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Q85" s="29"/>
      <c r="R85" s="29"/>
      <c r="S85" s="29"/>
      <c r="T85" s="29">
        <v>0</v>
      </c>
      <c r="V85" s="29"/>
      <c r="X85" s="29"/>
    </row>
    <row r="86" spans="1:24" ht="4.2" customHeight="1" x14ac:dyDescent="0.25">
      <c r="B86" s="21"/>
    </row>
    <row r="87" spans="1:24" s="4" customFormat="1" x14ac:dyDescent="0.25">
      <c r="B87" s="2" t="s">
        <v>83</v>
      </c>
      <c r="D87" s="2">
        <v>149087.2000000001</v>
      </c>
      <c r="E87" s="2">
        <v>491012.75000000012</v>
      </c>
      <c r="F87" s="2">
        <v>641131.85999999987</v>
      </c>
      <c r="G87" s="2">
        <v>295127.06000000006</v>
      </c>
      <c r="H87" s="2">
        <v>581689.76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2158048.6299999994</v>
      </c>
      <c r="R87" s="2">
        <v>1506314.31</v>
      </c>
      <c r="S87" s="2">
        <v>650972.03999999957</v>
      </c>
      <c r="T87" s="2">
        <v>43.216215611733752</v>
      </c>
      <c r="V87" s="2">
        <v>4103248.0200000005</v>
      </c>
      <c r="X87" s="2">
        <v>1046220.9600000007</v>
      </c>
    </row>
    <row r="88" spans="1:24" ht="4.8" customHeight="1" x14ac:dyDescent="0.25">
      <c r="A88" s="53"/>
      <c r="T88" s="21" t="s">
        <v>1</v>
      </c>
    </row>
    <row r="89" spans="1:24" s="4" customFormat="1" x14ac:dyDescent="0.25">
      <c r="A89" s="53"/>
      <c r="B89" s="2" t="s">
        <v>84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Q89" s="33">
        <v>0</v>
      </c>
      <c r="R89" s="33">
        <v>0</v>
      </c>
      <c r="S89" s="2">
        <v>0</v>
      </c>
      <c r="T89" s="2">
        <v>0</v>
      </c>
      <c r="V89" s="33">
        <v>0</v>
      </c>
      <c r="X89" s="33">
        <v>0</v>
      </c>
    </row>
    <row r="90" spans="1:24" x14ac:dyDescent="0.25">
      <c r="A90" s="53"/>
      <c r="B90" s="2" t="s">
        <v>85</v>
      </c>
      <c r="C90" s="4"/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4"/>
      <c r="Q90" s="33">
        <v>0</v>
      </c>
      <c r="R90" s="33">
        <v>0</v>
      </c>
      <c r="S90" s="2">
        <v>0</v>
      </c>
      <c r="T90" s="2">
        <v>0</v>
      </c>
      <c r="U90" s="4"/>
      <c r="V90" s="33">
        <v>0</v>
      </c>
      <c r="W90" s="4"/>
      <c r="X90" s="33">
        <v>0</v>
      </c>
    </row>
    <row r="91" spans="1:24" s="29" customFormat="1" ht="15" hidden="1" customHeight="1" x14ac:dyDescent="0.25">
      <c r="A91" s="21"/>
      <c r="B91" s="29" t="s">
        <v>86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1"/>
      <c r="Q91" s="29">
        <v>0</v>
      </c>
      <c r="R91" s="29">
        <v>0</v>
      </c>
      <c r="S91" s="29">
        <v>0</v>
      </c>
      <c r="T91" s="29">
        <v>0</v>
      </c>
      <c r="U91" s="21"/>
      <c r="V91" s="29">
        <v>0</v>
      </c>
      <c r="W91" s="21"/>
      <c r="X91" s="29">
        <v>0</v>
      </c>
    </row>
    <row r="92" spans="1:24" ht="3.6" customHeight="1" x14ac:dyDescent="0.25">
      <c r="B92" s="21"/>
      <c r="T92" s="21" t="s">
        <v>1</v>
      </c>
    </row>
    <row r="93" spans="1:24" x14ac:dyDescent="0.25">
      <c r="A93" s="4"/>
      <c r="B93" s="2" t="s">
        <v>87</v>
      </c>
      <c r="C93" s="4"/>
      <c r="D93" s="33">
        <v>149087.2000000001</v>
      </c>
      <c r="E93" s="33">
        <v>491012.75000000012</v>
      </c>
      <c r="F93" s="33">
        <v>641131.85999999987</v>
      </c>
      <c r="G93" s="33">
        <v>295127.06000000006</v>
      </c>
      <c r="H93" s="33">
        <v>581689.76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4"/>
      <c r="Q93" s="33">
        <v>2158048.6299999994</v>
      </c>
      <c r="R93" s="33">
        <v>1506314.31</v>
      </c>
      <c r="S93" s="33">
        <v>651734.31999999937</v>
      </c>
      <c r="T93" s="2">
        <v>43.266821251933756</v>
      </c>
      <c r="U93" s="4"/>
      <c r="V93" s="33">
        <v>4103248.0200000005</v>
      </c>
      <c r="W93" s="4"/>
      <c r="X93" s="33">
        <v>1046220.9600000007</v>
      </c>
    </row>
    <row r="94" spans="1:24" ht="3.6" customHeight="1" x14ac:dyDescent="0.25">
      <c r="B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 t="s">
        <v>1</v>
      </c>
      <c r="U94" s="4"/>
      <c r="V94" s="4"/>
      <c r="W94" s="4"/>
      <c r="X94" s="4"/>
    </row>
    <row r="95" spans="1:24" s="4" customFormat="1" x14ac:dyDescent="0.25">
      <c r="B95" s="3" t="s">
        <v>88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Q95" s="2">
        <v>0</v>
      </c>
      <c r="R95" s="2">
        <v>0</v>
      </c>
      <c r="S95" s="2">
        <v>0</v>
      </c>
      <c r="T95" s="2">
        <v>0</v>
      </c>
      <c r="V95" s="2">
        <v>0</v>
      </c>
      <c r="X95" s="2">
        <v>-135.41999999999999</v>
      </c>
    </row>
    <row r="96" spans="1:24" x14ac:dyDescent="0.25">
      <c r="A96" s="53" t="s">
        <v>339</v>
      </c>
      <c r="B96" s="16" t="s">
        <v>89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26">
        <v>0</v>
      </c>
      <c r="R96" s="26">
        <v>0</v>
      </c>
      <c r="S96" s="16">
        <v>0</v>
      </c>
      <c r="T96" s="16">
        <v>0</v>
      </c>
      <c r="V96" s="26">
        <v>0</v>
      </c>
      <c r="X96" s="16">
        <v>0</v>
      </c>
    </row>
    <row r="97" spans="1:24" x14ac:dyDescent="0.25">
      <c r="A97" s="53" t="s">
        <v>344</v>
      </c>
      <c r="B97" s="16" t="s">
        <v>90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26">
        <v>0</v>
      </c>
      <c r="R97" s="26">
        <v>0</v>
      </c>
      <c r="S97" s="16">
        <v>0</v>
      </c>
      <c r="T97" s="16">
        <v>0</v>
      </c>
      <c r="V97" s="26">
        <v>0</v>
      </c>
      <c r="X97" s="16">
        <v>0</v>
      </c>
    </row>
    <row r="98" spans="1:24" hidden="1" x14ac:dyDescent="0.25">
      <c r="B98" s="16" t="s">
        <v>91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26">
        <v>0</v>
      </c>
      <c r="R98" s="26">
        <v>0</v>
      </c>
      <c r="S98" s="16">
        <v>0</v>
      </c>
      <c r="T98" s="16">
        <v>0</v>
      </c>
      <c r="V98" s="16">
        <v>0</v>
      </c>
      <c r="X98" s="16">
        <v>0</v>
      </c>
    </row>
    <row r="99" spans="1:24" x14ac:dyDescent="0.25">
      <c r="A99" s="53" t="s">
        <v>520</v>
      </c>
      <c r="B99" s="16" t="s">
        <v>92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26">
        <v>0</v>
      </c>
      <c r="R99" s="26">
        <v>0</v>
      </c>
      <c r="S99" s="16">
        <v>0</v>
      </c>
      <c r="T99" s="16">
        <v>0</v>
      </c>
      <c r="V99" s="26">
        <v>0</v>
      </c>
      <c r="X99" s="16">
        <v>-135.41999999999999</v>
      </c>
    </row>
    <row r="100" spans="1:24" hidden="1" x14ac:dyDescent="0.25">
      <c r="B100" s="16" t="s">
        <v>93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26">
        <v>0</v>
      </c>
      <c r="R100" s="26">
        <v>0</v>
      </c>
      <c r="S100" s="16">
        <v>0</v>
      </c>
      <c r="T100" s="16">
        <v>0</v>
      </c>
      <c r="V100" s="16">
        <v>0</v>
      </c>
      <c r="X100" s="16">
        <v>0</v>
      </c>
    </row>
    <row r="101" spans="1:24" hidden="1" x14ac:dyDescent="0.25">
      <c r="B101" s="16" t="s">
        <v>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Q101" s="26">
        <v>0</v>
      </c>
      <c r="R101" s="26">
        <v>0</v>
      </c>
      <c r="S101" s="16">
        <v>0</v>
      </c>
      <c r="T101" s="16">
        <v>0</v>
      </c>
      <c r="V101" s="16">
        <v>0</v>
      </c>
      <c r="X101" s="16">
        <v>0</v>
      </c>
    </row>
    <row r="102" spans="1:24" x14ac:dyDescent="0.25">
      <c r="A102" s="53" t="s">
        <v>369</v>
      </c>
      <c r="B102" s="16" t="s">
        <v>95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Q102" s="26">
        <v>0</v>
      </c>
      <c r="R102" s="26">
        <v>0</v>
      </c>
      <c r="S102" s="16">
        <v>0</v>
      </c>
      <c r="T102" s="16">
        <v>0</v>
      </c>
      <c r="V102" s="16">
        <v>0</v>
      </c>
      <c r="X102" s="16">
        <v>0</v>
      </c>
    </row>
    <row r="103" spans="1:24" ht="3.6" customHeight="1" x14ac:dyDescent="0.25">
      <c r="B103" s="21"/>
      <c r="T103" s="21" t="s">
        <v>1</v>
      </c>
    </row>
    <row r="104" spans="1:24" s="4" customFormat="1" x14ac:dyDescent="0.25">
      <c r="B104" s="2" t="s">
        <v>96</v>
      </c>
      <c r="D104" s="2">
        <v>149087.2000000001</v>
      </c>
      <c r="E104" s="2">
        <v>491012.75000000012</v>
      </c>
      <c r="F104" s="2">
        <v>641131.85999999987</v>
      </c>
      <c r="G104" s="2">
        <v>295127.06000000006</v>
      </c>
      <c r="H104" s="2">
        <v>581689.76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Q104" s="2">
        <v>2158048.6299999994</v>
      </c>
      <c r="R104" s="2">
        <v>1506314.31</v>
      </c>
      <c r="S104" s="2">
        <v>651734.31999999937</v>
      </c>
      <c r="T104" s="2">
        <v>43.266821251933756</v>
      </c>
      <c r="V104" s="2">
        <v>4103248.0200000005</v>
      </c>
      <c r="X104" s="2">
        <v>1046085.5400000006</v>
      </c>
    </row>
    <row r="105" spans="1:24" ht="3" customHeight="1" x14ac:dyDescent="0.25">
      <c r="T105" s="21" t="s">
        <v>1</v>
      </c>
    </row>
    <row r="106" spans="1:24" s="6" customFormat="1" x14ac:dyDescent="0.25">
      <c r="A106" s="53" t="s">
        <v>522</v>
      </c>
      <c r="B106" s="43" t="s">
        <v>97</v>
      </c>
      <c r="D106" s="66">
        <v>14114.905483870969</v>
      </c>
      <c r="E106" s="66">
        <v>31609.065000000002</v>
      </c>
      <c r="F106" s="66">
        <v>31906.883225806447</v>
      </c>
      <c r="G106" s="66">
        <v>24022.787</v>
      </c>
      <c r="H106" s="66">
        <v>32127.79258064516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13"/>
      <c r="Q106" s="66">
        <v>44759.716111111105</v>
      </c>
      <c r="R106" s="66">
        <v>36873.804666666663</v>
      </c>
      <c r="S106" s="15">
        <v>7885.9114444444422</v>
      </c>
      <c r="T106" s="15">
        <v>21.386215812910624</v>
      </c>
      <c r="U106" s="13"/>
      <c r="V106" s="66">
        <v>23096.217123287672</v>
      </c>
      <c r="W106" s="13" t="s">
        <v>1</v>
      </c>
      <c r="X106" s="66">
        <v>21529.685274059113</v>
      </c>
    </row>
    <row r="107" spans="1:24" x14ac:dyDescent="0.25">
      <c r="A107" s="53" t="s">
        <v>446</v>
      </c>
      <c r="B107" s="43" t="s">
        <v>98</v>
      </c>
      <c r="D107" s="66">
        <v>-8311.4664516129033</v>
      </c>
      <c r="E107" s="66">
        <v>-12995.27</v>
      </c>
      <c r="F107" s="66">
        <v>-10249.832903225806</v>
      </c>
      <c r="G107" s="66">
        <v>-13177.608666666665</v>
      </c>
      <c r="H107" s="66">
        <v>-12390.751935483871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Q107" s="66">
        <v>-19096.771222222225</v>
      </c>
      <c r="R107" s="66">
        <v>-18461.13622222222</v>
      </c>
      <c r="S107" s="16">
        <v>-635.63500000000568</v>
      </c>
      <c r="T107" s="15">
        <v>3.4430979347569779</v>
      </c>
      <c r="U107" s="4"/>
      <c r="V107" s="66">
        <v>-10862.710109589041</v>
      </c>
      <c r="X107" s="66">
        <v>-11437.581459964638</v>
      </c>
    </row>
    <row r="108" spans="1:24" s="6" customFormat="1" x14ac:dyDescent="0.25">
      <c r="A108" s="53" t="s">
        <v>447</v>
      </c>
      <c r="B108" s="43" t="s">
        <v>106</v>
      </c>
      <c r="D108" s="66">
        <v>-6347.8093548387096</v>
      </c>
      <c r="E108" s="66">
        <v>-10821.221071428572</v>
      </c>
      <c r="F108" s="66">
        <v>-8286.1754838709676</v>
      </c>
      <c r="G108" s="66">
        <v>-11148.496333333333</v>
      </c>
      <c r="H108" s="66">
        <v>-10427.094838709678</v>
      </c>
      <c r="I108" s="66">
        <v>0</v>
      </c>
      <c r="J108" s="66">
        <v>0</v>
      </c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13"/>
      <c r="Q108" s="66">
        <v>-15714.917222222226</v>
      </c>
      <c r="R108" s="66">
        <v>-15079.282333333329</v>
      </c>
      <c r="S108" s="16">
        <v>-635.63488888889697</v>
      </c>
      <c r="T108" s="15">
        <v>4.2152860781961872</v>
      </c>
      <c r="U108" s="13"/>
      <c r="V108" s="66">
        <v>-8861.3938356164381</v>
      </c>
      <c r="W108" s="13" t="s">
        <v>1</v>
      </c>
      <c r="X108" s="66">
        <v>-10942.806600993519</v>
      </c>
    </row>
    <row r="109" spans="1:24" s="4" customFormat="1" collapsed="1" x14ac:dyDescent="0.25">
      <c r="A109" s="53" t="s">
        <v>448</v>
      </c>
      <c r="B109" s="43" t="s">
        <v>99</v>
      </c>
      <c r="C109" s="21"/>
      <c r="D109" s="66">
        <v>4809.2645161290357</v>
      </c>
      <c r="E109" s="66">
        <v>17536.169642857149</v>
      </c>
      <c r="F109" s="66">
        <v>20681.672903225801</v>
      </c>
      <c r="G109" s="66">
        <v>9837.5686666666679</v>
      </c>
      <c r="H109" s="66">
        <v>18764.185806451613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21"/>
      <c r="Q109" s="66">
        <v>23978.318111111104</v>
      </c>
      <c r="R109" s="66">
        <v>16736.825666666668</v>
      </c>
      <c r="S109" s="16">
        <v>7241.4924444444368</v>
      </c>
      <c r="T109" s="15">
        <v>43.266821251933749</v>
      </c>
      <c r="U109" s="21"/>
      <c r="V109" s="66">
        <v>11241.775397260275</v>
      </c>
      <c r="W109" s="21"/>
      <c r="X109" s="66">
        <v>8807.6579944430468</v>
      </c>
    </row>
    <row r="110" spans="1:24" s="4" customFormat="1" hidden="1" outlineLevel="1" x14ac:dyDescent="0.25">
      <c r="A110" s="56" t="s">
        <v>523</v>
      </c>
      <c r="B110" s="14" t="s">
        <v>101</v>
      </c>
      <c r="C110" s="21"/>
      <c r="D110" s="26">
        <v>31</v>
      </c>
      <c r="E110" s="26">
        <v>28</v>
      </c>
      <c r="F110" s="26">
        <v>31</v>
      </c>
      <c r="G110" s="26">
        <v>30</v>
      </c>
      <c r="H110" s="26">
        <v>31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1"/>
      <c r="Q110" s="26">
        <v>90</v>
      </c>
      <c r="R110" s="26">
        <v>90</v>
      </c>
      <c r="S110" s="16">
        <v>180</v>
      </c>
      <c r="T110" s="16">
        <v>200</v>
      </c>
      <c r="U110" s="21"/>
      <c r="V110" s="16">
        <v>365</v>
      </c>
      <c r="W110" s="21"/>
      <c r="X110" s="16">
        <v>118.77</v>
      </c>
    </row>
    <row r="111" spans="1:24" s="4" customFormat="1" hidden="1" outlineLevel="1" x14ac:dyDescent="0.25">
      <c r="A111" s="56" t="s">
        <v>524</v>
      </c>
      <c r="B111" s="14" t="s">
        <v>102</v>
      </c>
      <c r="C111" s="21"/>
      <c r="D111" s="26">
        <v>31</v>
      </c>
      <c r="E111" s="26">
        <v>28</v>
      </c>
      <c r="F111" s="26">
        <v>31</v>
      </c>
      <c r="G111" s="26">
        <v>30</v>
      </c>
      <c r="H111" s="26">
        <v>31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1"/>
      <c r="Q111" s="26">
        <v>90</v>
      </c>
      <c r="R111" s="26">
        <v>90</v>
      </c>
      <c r="S111" s="16">
        <v>180</v>
      </c>
      <c r="T111" s="16">
        <v>200</v>
      </c>
      <c r="U111" s="21"/>
      <c r="V111" s="16">
        <v>365</v>
      </c>
      <c r="W111" s="21"/>
      <c r="X111" s="16">
        <v>151</v>
      </c>
    </row>
    <row r="112" spans="1:24" hidden="1" outlineLevel="1" x14ac:dyDescent="0.25">
      <c r="A112" s="56" t="s">
        <v>449</v>
      </c>
      <c r="B112" s="14" t="s">
        <v>107</v>
      </c>
      <c r="D112" s="26">
        <v>1</v>
      </c>
      <c r="E112" s="26">
        <v>4</v>
      </c>
      <c r="F112" s="26">
        <v>4</v>
      </c>
      <c r="G112" s="26">
        <v>2</v>
      </c>
      <c r="H112" s="26">
        <v>4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4"/>
      <c r="Q112" s="26">
        <v>9</v>
      </c>
      <c r="R112" s="26">
        <v>0</v>
      </c>
      <c r="S112" s="16">
        <v>9</v>
      </c>
      <c r="T112" s="28">
        <v>0</v>
      </c>
      <c r="U112" s="4"/>
      <c r="V112" s="28"/>
      <c r="W112" s="4"/>
      <c r="X112" s="16">
        <v>10</v>
      </c>
    </row>
    <row r="113" spans="2:24" ht="3.6" customHeight="1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 t="s">
        <v>1</v>
      </c>
      <c r="U113" s="4"/>
      <c r="V113" s="4"/>
      <c r="W113" s="4"/>
      <c r="X113" s="4"/>
    </row>
    <row r="114" spans="2:24" s="4" customFormat="1" x14ac:dyDescent="0.25">
      <c r="B114" s="2" t="s">
        <v>104</v>
      </c>
      <c r="D114" s="2">
        <v>239756.37000000008</v>
      </c>
      <c r="E114" s="2">
        <v>581488.16000000015</v>
      </c>
      <c r="F114" s="2">
        <v>731607.42999999982</v>
      </c>
      <c r="G114" s="2">
        <v>385677.31000000006</v>
      </c>
      <c r="H114" s="2">
        <v>672174.88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Q114" s="2">
        <v>2610704.1499999994</v>
      </c>
      <c r="R114" s="2">
        <v>1956855.9100000001</v>
      </c>
      <c r="S114" s="2">
        <v>653085.95999999961</v>
      </c>
      <c r="T114" s="2">
        <v>33.374248796887635</v>
      </c>
      <c r="V114" s="2">
        <v>5184547.8600000013</v>
      </c>
      <c r="X114" s="2">
        <v>1253193.7800000005</v>
      </c>
    </row>
    <row r="115" spans="2:24" x14ac:dyDescent="0.25">
      <c r="H115" s="21" t="s">
        <v>1</v>
      </c>
      <c r="K115" s="21" t="s">
        <v>1</v>
      </c>
      <c r="R115" s="21" t="s">
        <v>108</v>
      </c>
      <c r="S115" s="21" t="s">
        <v>1</v>
      </c>
    </row>
    <row r="116" spans="2:24" collapsed="1" x14ac:dyDescent="0.25"/>
    <row r="117" spans="2:24" hidden="1" outlineLevel="1" x14ac:dyDescent="0.25">
      <c r="D117" s="21">
        <f>+D24/D110</f>
        <v>14114.905483870969</v>
      </c>
      <c r="E117" s="21">
        <f t="shared" ref="E117:X117" si="0">+E24/E110</f>
        <v>31609.065000000002</v>
      </c>
      <c r="F117" s="21">
        <f t="shared" si="0"/>
        <v>31906.883225806447</v>
      </c>
      <c r="G117" s="21">
        <f t="shared" si="0"/>
        <v>24022.787</v>
      </c>
      <c r="H117" s="21">
        <f t="shared" si="0"/>
        <v>32127.79258064516</v>
      </c>
      <c r="I117" s="21" t="e">
        <f t="shared" si="0"/>
        <v>#DIV/0!</v>
      </c>
      <c r="J117" s="21" t="e">
        <f t="shared" si="0"/>
        <v>#DIV/0!</v>
      </c>
      <c r="K117" s="21" t="e">
        <f t="shared" si="0"/>
        <v>#DIV/0!</v>
      </c>
      <c r="L117" s="21" t="e">
        <f t="shared" si="0"/>
        <v>#DIV/0!</v>
      </c>
      <c r="M117" s="21" t="e">
        <f t="shared" si="0"/>
        <v>#DIV/0!</v>
      </c>
      <c r="N117" s="21" t="e">
        <f t="shared" si="0"/>
        <v>#DIV/0!</v>
      </c>
      <c r="O117" s="21" t="e">
        <f t="shared" si="0"/>
        <v>#DIV/0!</v>
      </c>
      <c r="P117" s="21" t="e">
        <f t="shared" si="0"/>
        <v>#DIV/0!</v>
      </c>
      <c r="Q117" s="21">
        <f>+Q24/Q110</f>
        <v>44759.716111111105</v>
      </c>
      <c r="R117" s="21">
        <f t="shared" si="0"/>
        <v>36873.804666666663</v>
      </c>
      <c r="W117" s="21" t="e">
        <f t="shared" si="0"/>
        <v>#DIV/0!</v>
      </c>
      <c r="X117" s="21">
        <f t="shared" si="0"/>
        <v>21529.685274059113</v>
      </c>
    </row>
    <row r="118" spans="2:24" hidden="1" outlineLevel="1" x14ac:dyDescent="0.25">
      <c r="D118" s="21">
        <f>+D65/D111</f>
        <v>-8311.4664516129033</v>
      </c>
      <c r="E118" s="21">
        <f t="shared" ref="E118:X118" si="1">+E65/E111</f>
        <v>-12995.27</v>
      </c>
      <c r="F118" s="21">
        <f t="shared" si="1"/>
        <v>-10249.832903225806</v>
      </c>
      <c r="G118" s="21">
        <f t="shared" si="1"/>
        <v>-13177.608666666665</v>
      </c>
      <c r="H118" s="21">
        <f t="shared" si="1"/>
        <v>-12390.751935483871</v>
      </c>
      <c r="I118" s="21" t="e">
        <f t="shared" si="1"/>
        <v>#DIV/0!</v>
      </c>
      <c r="J118" s="21" t="e">
        <f t="shared" si="1"/>
        <v>#DIV/0!</v>
      </c>
      <c r="K118" s="21" t="e">
        <f t="shared" si="1"/>
        <v>#DIV/0!</v>
      </c>
      <c r="L118" s="21" t="e">
        <f t="shared" si="1"/>
        <v>#DIV/0!</v>
      </c>
      <c r="M118" s="21" t="e">
        <f t="shared" si="1"/>
        <v>#DIV/0!</v>
      </c>
      <c r="N118" s="21" t="e">
        <f t="shared" si="1"/>
        <v>#DIV/0!</v>
      </c>
      <c r="O118" s="21" t="e">
        <f t="shared" si="1"/>
        <v>#DIV/0!</v>
      </c>
      <c r="P118" s="21" t="e">
        <f t="shared" si="1"/>
        <v>#DIV/0!</v>
      </c>
      <c r="Q118" s="21">
        <f t="shared" si="1"/>
        <v>-19096.771222222225</v>
      </c>
      <c r="R118" s="21">
        <f t="shared" si="1"/>
        <v>-18461.13622222222</v>
      </c>
      <c r="W118" s="21" t="e">
        <f t="shared" si="1"/>
        <v>#DIV/0!</v>
      </c>
      <c r="X118" s="21">
        <f t="shared" si="1"/>
        <v>-8996.3016556291386</v>
      </c>
    </row>
    <row r="119" spans="2:24" hidden="1" outlineLevel="1" x14ac:dyDescent="0.25">
      <c r="D119" s="4">
        <f>+(D65-D58)/D111</f>
        <v>-6347.8093548387096</v>
      </c>
      <c r="E119" s="4">
        <f t="shared" ref="E119:X119" si="2">+(E65-E58)/E111</f>
        <v>-10821.221071428572</v>
      </c>
      <c r="F119" s="4">
        <f t="shared" si="2"/>
        <v>-8286.1754838709676</v>
      </c>
      <c r="G119" s="4">
        <f t="shared" si="2"/>
        <v>-11148.496333333333</v>
      </c>
      <c r="H119" s="4">
        <f t="shared" si="2"/>
        <v>-10427.094838709678</v>
      </c>
      <c r="I119" s="4" t="e">
        <f t="shared" si="2"/>
        <v>#DIV/0!</v>
      </c>
      <c r="J119" s="4" t="e">
        <f t="shared" si="2"/>
        <v>#DIV/0!</v>
      </c>
      <c r="K119" s="4" t="e">
        <f t="shared" si="2"/>
        <v>#DIV/0!</v>
      </c>
      <c r="L119" s="4" t="e">
        <f t="shared" si="2"/>
        <v>#DIV/0!</v>
      </c>
      <c r="M119" s="4" t="e">
        <f t="shared" si="2"/>
        <v>#DIV/0!</v>
      </c>
      <c r="N119" s="4" t="e">
        <f t="shared" si="2"/>
        <v>#DIV/0!</v>
      </c>
      <c r="O119" s="4" t="e">
        <f t="shared" si="2"/>
        <v>#DIV/0!</v>
      </c>
      <c r="P119" s="4" t="e">
        <f t="shared" si="2"/>
        <v>#DIV/0!</v>
      </c>
      <c r="Q119" s="4">
        <f t="shared" si="2"/>
        <v>-15714.917222222226</v>
      </c>
      <c r="R119" s="4">
        <f t="shared" si="2"/>
        <v>-15079.282333333329</v>
      </c>
      <c r="S119" s="4"/>
      <c r="T119" s="4"/>
      <c r="U119" s="4"/>
      <c r="V119" s="4"/>
      <c r="W119" s="4" t="e">
        <f t="shared" si="2"/>
        <v>#DIV/0!</v>
      </c>
      <c r="X119" s="4">
        <f t="shared" si="2"/>
        <v>-8607.1333774834438</v>
      </c>
    </row>
    <row r="120" spans="2:24" hidden="1" outlineLevel="1" x14ac:dyDescent="0.25">
      <c r="D120" s="4">
        <f>+D106-D117</f>
        <v>0</v>
      </c>
      <c r="E120" s="4">
        <f t="shared" ref="E120:X120" si="3">+E106-E117</f>
        <v>0</v>
      </c>
      <c r="F120" s="4">
        <f t="shared" si="3"/>
        <v>0</v>
      </c>
      <c r="G120" s="4">
        <f t="shared" si="3"/>
        <v>0</v>
      </c>
      <c r="H120" s="4">
        <f t="shared" si="3"/>
        <v>0</v>
      </c>
      <c r="I120" s="4" t="e">
        <f t="shared" si="3"/>
        <v>#DIV/0!</v>
      </c>
      <c r="J120" s="4" t="e">
        <f t="shared" si="3"/>
        <v>#DIV/0!</v>
      </c>
      <c r="K120" s="4" t="e">
        <f t="shared" si="3"/>
        <v>#DIV/0!</v>
      </c>
      <c r="L120" s="4" t="e">
        <f t="shared" si="3"/>
        <v>#DIV/0!</v>
      </c>
      <c r="M120" s="4" t="e">
        <f t="shared" si="3"/>
        <v>#DIV/0!</v>
      </c>
      <c r="N120" s="4" t="e">
        <f t="shared" si="3"/>
        <v>#DIV/0!</v>
      </c>
      <c r="O120" s="4" t="e">
        <f t="shared" si="3"/>
        <v>#DIV/0!</v>
      </c>
      <c r="P120" s="4" t="e">
        <f t="shared" si="3"/>
        <v>#DIV/0!</v>
      </c>
      <c r="Q120" s="4">
        <f t="shared" si="3"/>
        <v>0</v>
      </c>
      <c r="R120" s="4">
        <f t="shared" si="3"/>
        <v>0</v>
      </c>
      <c r="S120" s="4"/>
      <c r="T120" s="4"/>
      <c r="U120" s="4"/>
      <c r="V120" s="4"/>
      <c r="W120" s="4" t="e">
        <f t="shared" si="3"/>
        <v>#VALUE!</v>
      </c>
      <c r="X120" s="4">
        <f t="shared" si="3"/>
        <v>0</v>
      </c>
    </row>
    <row r="121" spans="2:24" hidden="1" outlineLevel="1" x14ac:dyDescent="0.25">
      <c r="D121" s="4">
        <f>+D107-D118</f>
        <v>0</v>
      </c>
      <c r="E121" s="4">
        <f t="shared" ref="E121:X121" si="4">+E107-E118</f>
        <v>0</v>
      </c>
      <c r="F121" s="4">
        <f t="shared" si="4"/>
        <v>0</v>
      </c>
      <c r="G121" s="4">
        <f t="shared" si="4"/>
        <v>0</v>
      </c>
      <c r="H121" s="4">
        <f t="shared" si="4"/>
        <v>0</v>
      </c>
      <c r="I121" s="4" t="e">
        <f t="shared" si="4"/>
        <v>#DIV/0!</v>
      </c>
      <c r="J121" s="4" t="e">
        <f t="shared" si="4"/>
        <v>#DIV/0!</v>
      </c>
      <c r="K121" s="4" t="e">
        <f t="shared" si="4"/>
        <v>#DIV/0!</v>
      </c>
      <c r="L121" s="4" t="e">
        <f t="shared" si="4"/>
        <v>#DIV/0!</v>
      </c>
      <c r="M121" s="4" t="e">
        <f t="shared" si="4"/>
        <v>#DIV/0!</v>
      </c>
      <c r="N121" s="4" t="e">
        <f t="shared" si="4"/>
        <v>#DIV/0!</v>
      </c>
      <c r="O121" s="4" t="e">
        <f t="shared" si="4"/>
        <v>#DIV/0!</v>
      </c>
      <c r="P121" s="4" t="e">
        <f t="shared" si="4"/>
        <v>#DIV/0!</v>
      </c>
      <c r="Q121" s="4">
        <f t="shared" si="4"/>
        <v>0</v>
      </c>
      <c r="R121" s="4">
        <f t="shared" si="4"/>
        <v>0</v>
      </c>
      <c r="S121" s="4"/>
      <c r="T121" s="4"/>
      <c r="U121" s="4"/>
      <c r="V121" s="4"/>
      <c r="W121" s="4" t="e">
        <f t="shared" si="4"/>
        <v>#DIV/0!</v>
      </c>
      <c r="X121" s="4">
        <f t="shared" si="4"/>
        <v>-2441.2798043354996</v>
      </c>
    </row>
    <row r="122" spans="2:24" hidden="1" outlineLevel="1" x14ac:dyDescent="0.25">
      <c r="D122" s="4">
        <f>+D108-D119</f>
        <v>0</v>
      </c>
      <c r="E122" s="4">
        <f t="shared" ref="E122:X122" si="5">+E108-E119</f>
        <v>0</v>
      </c>
      <c r="F122" s="4">
        <f t="shared" si="5"/>
        <v>0</v>
      </c>
      <c r="G122" s="4">
        <f t="shared" si="5"/>
        <v>0</v>
      </c>
      <c r="H122" s="4">
        <f t="shared" si="5"/>
        <v>0</v>
      </c>
      <c r="I122" s="4" t="e">
        <f t="shared" si="5"/>
        <v>#DIV/0!</v>
      </c>
      <c r="J122" s="4" t="e">
        <f t="shared" si="5"/>
        <v>#DIV/0!</v>
      </c>
      <c r="K122" s="4" t="e">
        <f t="shared" si="5"/>
        <v>#DIV/0!</v>
      </c>
      <c r="L122" s="4" t="e">
        <f t="shared" si="5"/>
        <v>#DIV/0!</v>
      </c>
      <c r="M122" s="4" t="e">
        <f t="shared" si="5"/>
        <v>#DIV/0!</v>
      </c>
      <c r="N122" s="4" t="e">
        <f t="shared" si="5"/>
        <v>#DIV/0!</v>
      </c>
      <c r="O122" s="4" t="e">
        <f t="shared" si="5"/>
        <v>#DIV/0!</v>
      </c>
      <c r="P122" s="4" t="e">
        <f t="shared" si="5"/>
        <v>#DIV/0!</v>
      </c>
      <c r="Q122" s="4">
        <f t="shared" si="5"/>
        <v>0</v>
      </c>
      <c r="R122" s="4">
        <f t="shared" si="5"/>
        <v>0</v>
      </c>
      <c r="S122" s="4"/>
      <c r="T122" s="4"/>
      <c r="U122" s="4"/>
      <c r="V122" s="4"/>
      <c r="W122" s="4" t="e">
        <f t="shared" si="5"/>
        <v>#VALUE!</v>
      </c>
      <c r="X122" s="4">
        <f t="shared" si="5"/>
        <v>-2335.6732235100753</v>
      </c>
    </row>
    <row r="123" spans="2:24" x14ac:dyDescent="0.25">
      <c r="D123" s="4"/>
    </row>
    <row r="124" spans="2:24" x14ac:dyDescent="0.25">
      <c r="D124" s="4"/>
    </row>
    <row r="125" spans="2:24" x14ac:dyDescent="0.25">
      <c r="D125" s="4"/>
    </row>
    <row r="126" spans="2:24" x14ac:dyDescent="0.25">
      <c r="D126" s="4"/>
    </row>
    <row r="127" spans="2:24" x14ac:dyDescent="0.25">
      <c r="D127" s="4"/>
    </row>
    <row r="128" spans="2:24" x14ac:dyDescent="0.25">
      <c r="D128" s="4"/>
    </row>
  </sheetData>
  <mergeCells count="1">
    <mergeCell ref="D3:T3"/>
  </mergeCells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6813-1106-460B-9D21-5FFE4F8735DA}">
  <sheetPr codeName="Hoja5"/>
  <dimension ref="B2:U130"/>
  <sheetViews>
    <sheetView workbookViewId="0">
      <selection sqref="A1:IV65536"/>
    </sheetView>
  </sheetViews>
  <sheetFormatPr baseColWidth="10" defaultColWidth="11.44140625" defaultRowHeight="13.2" outlineLevelRow="1" x14ac:dyDescent="0.25"/>
  <cols>
    <col min="1" max="1" width="1.77734375" style="50" customWidth="1"/>
    <col min="2" max="2" width="35.77734375" style="50" customWidth="1"/>
    <col min="3" max="21" width="11.77734375" style="50" customWidth="1"/>
    <col min="22" max="16384" width="11.44140625" style="50"/>
  </cols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370</v>
      </c>
      <c r="C3" s="54">
        <v>-551026.32999999996</v>
      </c>
      <c r="D3" s="54">
        <v>-1155412.98</v>
      </c>
      <c r="E3" s="54">
        <v>-1436461.64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4">
        <v>-3142900.95</v>
      </c>
      <c r="P3" s="54">
        <v>-2750040</v>
      </c>
      <c r="Q3" s="54">
        <v>392860.95</v>
      </c>
      <c r="R3" s="54">
        <v>-11408070</v>
      </c>
      <c r="S3" s="54">
        <v>-14.285600000000001</v>
      </c>
      <c r="T3" s="54">
        <v>-947780</v>
      </c>
      <c r="U3" s="55">
        <v>0</v>
      </c>
    </row>
    <row r="4" spans="2:21" outlineLevel="1" x14ac:dyDescent="0.25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-2249040</v>
      </c>
      <c r="Q4" s="58">
        <v>-2249040</v>
      </c>
      <c r="R4" s="58">
        <v>-9558070</v>
      </c>
      <c r="S4" s="58">
        <v>100</v>
      </c>
      <c r="T4" s="58">
        <v>-784780</v>
      </c>
      <c r="U4" s="57">
        <v>0</v>
      </c>
    </row>
    <row r="5" spans="2:21" outlineLevel="1" x14ac:dyDescent="0.25">
      <c r="B5" s="56" t="s">
        <v>470</v>
      </c>
      <c r="C5" s="58">
        <v>-197159.69</v>
      </c>
      <c r="D5" s="58">
        <v>-1018421.92</v>
      </c>
      <c r="E5" s="58">
        <v>-1132813.45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8">
        <v>-2348395.06</v>
      </c>
      <c r="P5" s="57">
        <v>0</v>
      </c>
      <c r="Q5" s="58">
        <v>2348395.06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371</v>
      </c>
      <c r="C6" s="54">
        <v>-197159.69</v>
      </c>
      <c r="D6" s="54">
        <v>-1018421.92</v>
      </c>
      <c r="E6" s="54">
        <v>-1132813.45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4">
        <v>-2348395.06</v>
      </c>
      <c r="P6" s="54">
        <v>-2249040</v>
      </c>
      <c r="Q6" s="54">
        <v>99355.06</v>
      </c>
      <c r="R6" s="54">
        <v>-9558070</v>
      </c>
      <c r="S6" s="54">
        <v>-4.4177</v>
      </c>
      <c r="T6" s="54">
        <v>-784780</v>
      </c>
      <c r="U6" s="55">
        <v>0</v>
      </c>
    </row>
    <row r="7" spans="2:21" outlineLevel="1" x14ac:dyDescent="0.25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-440000</v>
      </c>
      <c r="Q7" s="58">
        <v>-440000</v>
      </c>
      <c r="R7" s="58">
        <v>-1710000</v>
      </c>
      <c r="S7" s="58">
        <v>100</v>
      </c>
      <c r="T7" s="58">
        <v>-160000</v>
      </c>
      <c r="U7" s="57">
        <v>0</v>
      </c>
    </row>
    <row r="8" spans="2:21" outlineLevel="1" x14ac:dyDescent="0.25">
      <c r="B8" s="56" t="s">
        <v>471</v>
      </c>
      <c r="C8" s="58">
        <v>-153291.04</v>
      </c>
      <c r="D8" s="58">
        <v>297956.27</v>
      </c>
      <c r="E8" s="58">
        <v>-200973.33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8">
        <v>-56308.1</v>
      </c>
      <c r="P8" s="57">
        <v>0</v>
      </c>
      <c r="Q8" s="58">
        <v>56308.1</v>
      </c>
      <c r="R8" s="57">
        <v>0</v>
      </c>
      <c r="S8" s="57">
        <v>0</v>
      </c>
      <c r="T8" s="57">
        <v>0</v>
      </c>
      <c r="U8" s="57">
        <v>0</v>
      </c>
    </row>
    <row r="9" spans="2:21" outlineLevel="1" x14ac:dyDescent="0.25">
      <c r="B9" s="56" t="s">
        <v>373</v>
      </c>
      <c r="C9" s="58">
        <v>-178274.29</v>
      </c>
      <c r="D9" s="58">
        <v>-428181.62</v>
      </c>
      <c r="E9" s="58">
        <v>-25238.13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8">
        <v>-631694.04</v>
      </c>
      <c r="P9" s="57">
        <v>0</v>
      </c>
      <c r="Q9" s="58">
        <v>631694.04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374</v>
      </c>
      <c r="C10" s="54">
        <v>-331565.33</v>
      </c>
      <c r="D10" s="54">
        <v>-130225.35</v>
      </c>
      <c r="E10" s="54">
        <v>-226211.46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4">
        <v>-688002.14</v>
      </c>
      <c r="P10" s="54">
        <v>-440000</v>
      </c>
      <c r="Q10" s="54">
        <v>248002.14</v>
      </c>
      <c r="R10" s="54">
        <v>-1710000</v>
      </c>
      <c r="S10" s="54">
        <v>-56.364100000000001</v>
      </c>
      <c r="T10" s="54">
        <v>-160000</v>
      </c>
      <c r="U10" s="55">
        <v>0</v>
      </c>
    </row>
    <row r="11" spans="2:21" outlineLevel="1" x14ac:dyDescent="0.25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-61000</v>
      </c>
      <c r="Q11" s="58">
        <v>-61000</v>
      </c>
      <c r="R11" s="58">
        <v>-140000</v>
      </c>
      <c r="S11" s="58">
        <v>100</v>
      </c>
      <c r="T11" s="58">
        <v>-3000</v>
      </c>
      <c r="U11" s="57">
        <v>0</v>
      </c>
    </row>
    <row r="12" spans="2:21" outlineLevel="1" x14ac:dyDescent="0.25">
      <c r="B12" s="56" t="s">
        <v>473</v>
      </c>
      <c r="C12" s="58">
        <v>-20295.62</v>
      </c>
      <c r="D12" s="58">
        <v>20295.62</v>
      </c>
      <c r="E12" s="58">
        <v>-20000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8">
        <v>-20000</v>
      </c>
      <c r="P12" s="57">
        <v>0</v>
      </c>
      <c r="Q12" s="58">
        <v>20000</v>
      </c>
      <c r="R12" s="57">
        <v>0</v>
      </c>
      <c r="S12" s="57">
        <v>0</v>
      </c>
      <c r="T12" s="57">
        <v>0</v>
      </c>
      <c r="U12" s="57">
        <v>0</v>
      </c>
    </row>
    <row r="13" spans="2:21" outlineLevel="1" x14ac:dyDescent="0.25">
      <c r="B13" s="56" t="s">
        <v>474</v>
      </c>
      <c r="C13" s="58">
        <v>-2005.69</v>
      </c>
      <c r="D13" s="58">
        <v>-27061.33</v>
      </c>
      <c r="E13" s="58">
        <v>-57436.73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8">
        <v>-86503.75</v>
      </c>
      <c r="P13" s="57">
        <v>0</v>
      </c>
      <c r="Q13" s="58">
        <v>86503.75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5">
      <c r="B14" s="53" t="s">
        <v>375</v>
      </c>
      <c r="C14" s="54">
        <v>-22301.31</v>
      </c>
      <c r="D14" s="54">
        <v>-6765.71</v>
      </c>
      <c r="E14" s="54">
        <v>-77436.73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4">
        <v>-106503.75</v>
      </c>
      <c r="P14" s="54">
        <v>-61000</v>
      </c>
      <c r="Q14" s="54">
        <v>45503.75</v>
      </c>
      <c r="R14" s="54">
        <v>-140000</v>
      </c>
      <c r="S14" s="54">
        <v>-74.596299999999999</v>
      </c>
      <c r="T14" s="54">
        <v>-3000</v>
      </c>
      <c r="U14" s="55">
        <v>0</v>
      </c>
    </row>
    <row r="15" spans="2:21" x14ac:dyDescent="0.25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377</v>
      </c>
      <c r="C16" s="54">
        <v>113464.26</v>
      </c>
      <c r="D16" s="54">
        <v>270359.15999999997</v>
      </c>
      <c r="E16" s="54">
        <v>447348.26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831171.68</v>
      </c>
      <c r="P16" s="54">
        <v>720393.82</v>
      </c>
      <c r="Q16" s="54">
        <v>-110777.86</v>
      </c>
      <c r="R16" s="54">
        <v>2977950.75</v>
      </c>
      <c r="S16" s="54">
        <v>-15.3774</v>
      </c>
      <c r="T16" s="54">
        <v>229187.08</v>
      </c>
      <c r="U16" s="55">
        <v>0</v>
      </c>
    </row>
    <row r="17" spans="2:21" outlineLevel="1" x14ac:dyDescent="0.25">
      <c r="B17" s="56" t="s">
        <v>378</v>
      </c>
      <c r="C17" s="58">
        <v>58113.65</v>
      </c>
      <c r="D17" s="58">
        <v>104266.83</v>
      </c>
      <c r="E17" s="58">
        <v>109571.24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271951.71999999997</v>
      </c>
      <c r="P17" s="58">
        <v>247393.82</v>
      </c>
      <c r="Q17" s="58">
        <v>-24557.9</v>
      </c>
      <c r="R17" s="58">
        <v>1123950.75</v>
      </c>
      <c r="S17" s="58">
        <v>-9.9266000000000005</v>
      </c>
      <c r="T17" s="58">
        <v>78187.08</v>
      </c>
      <c r="U17" s="57">
        <v>0</v>
      </c>
    </row>
    <row r="18" spans="2:21" x14ac:dyDescent="0.25">
      <c r="B18" s="53" t="s">
        <v>379</v>
      </c>
      <c r="C18" s="54">
        <v>58113.65</v>
      </c>
      <c r="D18" s="54">
        <v>104266.83</v>
      </c>
      <c r="E18" s="54">
        <v>109571.24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4">
        <v>271951.71999999997</v>
      </c>
      <c r="P18" s="54">
        <v>247393.82</v>
      </c>
      <c r="Q18" s="54">
        <v>-24557.9</v>
      </c>
      <c r="R18" s="54">
        <v>1123950.75</v>
      </c>
      <c r="S18" s="54">
        <v>-9.9266000000000005</v>
      </c>
      <c r="T18" s="54">
        <v>78187.08</v>
      </c>
      <c r="U18" s="55">
        <v>0</v>
      </c>
    </row>
    <row r="19" spans="2:21" outlineLevel="1" x14ac:dyDescent="0.25">
      <c r="B19" s="56" t="s">
        <v>476</v>
      </c>
      <c r="C19" s="58">
        <v>227131.73</v>
      </c>
      <c r="D19" s="58">
        <v>124322.84</v>
      </c>
      <c r="E19" s="58">
        <v>24231.45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375686.02</v>
      </c>
      <c r="P19" s="57">
        <v>0</v>
      </c>
      <c r="Q19" s="58">
        <v>-375686.02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5">
      <c r="B20" s="56" t="s">
        <v>380</v>
      </c>
      <c r="C20" s="58">
        <v>-171781.12</v>
      </c>
      <c r="D20" s="58">
        <v>41769.49</v>
      </c>
      <c r="E20" s="58">
        <v>313545.57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183533.94</v>
      </c>
      <c r="P20" s="58">
        <v>473000</v>
      </c>
      <c r="Q20" s="58">
        <v>289466.06</v>
      </c>
      <c r="R20" s="58">
        <v>1854000</v>
      </c>
      <c r="S20" s="58">
        <v>61.197899999999997</v>
      </c>
      <c r="T20" s="58">
        <v>151000</v>
      </c>
      <c r="U20" s="57">
        <v>0</v>
      </c>
    </row>
    <row r="21" spans="2:21" x14ac:dyDescent="0.25">
      <c r="B21" s="53" t="s">
        <v>381</v>
      </c>
      <c r="C21" s="54">
        <v>55350.61</v>
      </c>
      <c r="D21" s="54">
        <v>166092.32999999999</v>
      </c>
      <c r="E21" s="54">
        <v>337777.02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559219.96</v>
      </c>
      <c r="P21" s="54">
        <v>473000</v>
      </c>
      <c r="Q21" s="54">
        <v>-86219.96</v>
      </c>
      <c r="R21" s="54">
        <v>1854000</v>
      </c>
      <c r="S21" s="54">
        <v>-18.228300000000001</v>
      </c>
      <c r="T21" s="54">
        <v>151000</v>
      </c>
      <c r="U21" s="55">
        <v>0</v>
      </c>
    </row>
    <row r="22" spans="2:21" outlineLevel="1" x14ac:dyDescent="0.25">
      <c r="B22" s="53" t="s">
        <v>384</v>
      </c>
      <c r="C22" s="54">
        <v>-437562.07</v>
      </c>
      <c r="D22" s="54">
        <v>-885053.82</v>
      </c>
      <c r="E22" s="54">
        <v>-989113.38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4">
        <v>-2311729.27</v>
      </c>
      <c r="P22" s="54">
        <v>-2029646.18</v>
      </c>
      <c r="Q22" s="54">
        <v>282083.09000000003</v>
      </c>
      <c r="R22" s="54">
        <v>-8430119.25</v>
      </c>
      <c r="S22" s="54">
        <v>-13.898099999999999</v>
      </c>
      <c r="T22" s="54">
        <v>-718592.92</v>
      </c>
      <c r="U22" s="55">
        <v>0</v>
      </c>
    </row>
    <row r="23" spans="2:21" x14ac:dyDescent="0.25">
      <c r="B23" s="53" t="s">
        <v>385</v>
      </c>
      <c r="C23" s="54">
        <v>-437562.07</v>
      </c>
      <c r="D23" s="54">
        <v>-885053.82</v>
      </c>
      <c r="E23" s="54">
        <v>-989113.38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-2311729.27</v>
      </c>
      <c r="P23" s="54">
        <v>-2029646.18</v>
      </c>
      <c r="Q23" s="54">
        <v>282083.09000000003</v>
      </c>
      <c r="R23" s="54">
        <v>-8430119.25</v>
      </c>
      <c r="S23" s="54">
        <v>-13.898099999999999</v>
      </c>
      <c r="T23" s="54">
        <v>-718592.92</v>
      </c>
      <c r="U23" s="55">
        <v>0</v>
      </c>
    </row>
    <row r="24" spans="2:21" x14ac:dyDescent="0.25">
      <c r="B24" s="53" t="s">
        <v>386</v>
      </c>
      <c r="C24" s="54">
        <v>140045.31</v>
      </c>
      <c r="D24" s="54">
        <v>202734.27</v>
      </c>
      <c r="E24" s="54">
        <v>168711.03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4">
        <v>511490.61</v>
      </c>
      <c r="P24" s="54">
        <v>561599.39</v>
      </c>
      <c r="Q24" s="54">
        <v>50108.78</v>
      </c>
      <c r="R24" s="54">
        <v>2172021.48</v>
      </c>
      <c r="S24" s="54">
        <v>8.9224999999999994</v>
      </c>
      <c r="T24" s="54">
        <v>171485.59</v>
      </c>
      <c r="U24" s="55">
        <v>0</v>
      </c>
    </row>
    <row r="25" spans="2:21" outlineLevel="1" x14ac:dyDescent="0.25">
      <c r="B25" s="56" t="s">
        <v>387</v>
      </c>
      <c r="C25" s="58">
        <v>-7098.11</v>
      </c>
      <c r="D25" s="58">
        <v>11811</v>
      </c>
      <c r="E25" s="58">
        <v>19315.169999999998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7">
        <v>0</v>
      </c>
      <c r="N25" s="57">
        <v>0</v>
      </c>
      <c r="O25" s="58">
        <v>24028.06</v>
      </c>
      <c r="P25" s="57">
        <v>0</v>
      </c>
      <c r="Q25" s="58">
        <v>-24028.06</v>
      </c>
      <c r="R25" s="57">
        <v>0</v>
      </c>
      <c r="S25" s="57">
        <v>0</v>
      </c>
      <c r="T25" s="57">
        <v>0</v>
      </c>
      <c r="U25" s="57">
        <v>0</v>
      </c>
    </row>
    <row r="26" spans="2:21" outlineLevel="1" x14ac:dyDescent="0.25">
      <c r="B26" s="56" t="s">
        <v>388</v>
      </c>
      <c r="C26" s="58">
        <v>78043.55</v>
      </c>
      <c r="D26" s="58">
        <v>113349.81</v>
      </c>
      <c r="E26" s="58">
        <v>72163.710000000006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8">
        <v>263557.07</v>
      </c>
      <c r="P26" s="58">
        <v>332669.48</v>
      </c>
      <c r="Q26" s="58">
        <v>69112.41</v>
      </c>
      <c r="R26" s="58">
        <v>1205715.67</v>
      </c>
      <c r="S26" s="58">
        <v>20.775099999999998</v>
      </c>
      <c r="T26" s="58">
        <v>95175.62</v>
      </c>
      <c r="U26" s="57">
        <v>0</v>
      </c>
    </row>
    <row r="27" spans="2:21" outlineLevel="1" x14ac:dyDescent="0.25">
      <c r="B27" s="56" t="s">
        <v>389</v>
      </c>
      <c r="C27" s="58">
        <v>8164.83</v>
      </c>
      <c r="D27" s="58">
        <v>8736.09</v>
      </c>
      <c r="E27" s="58">
        <v>7548.44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8">
        <v>24449.360000000001</v>
      </c>
      <c r="P27" s="57">
        <v>0</v>
      </c>
      <c r="Q27" s="58">
        <v>-24449.360000000001</v>
      </c>
      <c r="R27" s="57">
        <v>0</v>
      </c>
      <c r="S27" s="57">
        <v>0</v>
      </c>
      <c r="T27" s="57">
        <v>0</v>
      </c>
      <c r="U27" s="57">
        <v>0</v>
      </c>
    </row>
    <row r="28" spans="2:21" x14ac:dyDescent="0.25">
      <c r="B28" s="53" t="s">
        <v>390</v>
      </c>
      <c r="C28" s="54">
        <v>79110.27</v>
      </c>
      <c r="D28" s="54">
        <v>133896.9</v>
      </c>
      <c r="E28" s="54">
        <v>99027.32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4">
        <v>312034.49</v>
      </c>
      <c r="P28" s="54">
        <v>332669.48</v>
      </c>
      <c r="Q28" s="54">
        <v>20634.990000000002</v>
      </c>
      <c r="R28" s="54">
        <v>1205715.67</v>
      </c>
      <c r="S28" s="54">
        <v>6.2028999999999996</v>
      </c>
      <c r="T28" s="54">
        <v>95175.62</v>
      </c>
      <c r="U28" s="55">
        <v>0</v>
      </c>
    </row>
    <row r="29" spans="2:21" outlineLevel="1" x14ac:dyDescent="0.25">
      <c r="B29" s="56" t="s">
        <v>391</v>
      </c>
      <c r="C29" s="58">
        <v>6825.94</v>
      </c>
      <c r="D29" s="58">
        <v>8346.57</v>
      </c>
      <c r="E29" s="58">
        <v>4085.82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19258.330000000002</v>
      </c>
      <c r="P29" s="58">
        <v>24042.75</v>
      </c>
      <c r="Q29" s="58">
        <v>4784.42</v>
      </c>
      <c r="R29" s="58">
        <v>97697.77</v>
      </c>
      <c r="S29" s="58">
        <v>19.8996</v>
      </c>
      <c r="T29" s="58">
        <v>8014.25</v>
      </c>
      <c r="U29" s="57">
        <v>0</v>
      </c>
    </row>
    <row r="30" spans="2:21" x14ac:dyDescent="0.25">
      <c r="B30" s="53" t="s">
        <v>392</v>
      </c>
      <c r="C30" s="54">
        <v>6825.94</v>
      </c>
      <c r="D30" s="54">
        <v>8346.57</v>
      </c>
      <c r="E30" s="54">
        <v>4085.82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19258.330000000002</v>
      </c>
      <c r="P30" s="54">
        <v>24042.75</v>
      </c>
      <c r="Q30" s="54">
        <v>4784.42</v>
      </c>
      <c r="R30" s="54">
        <v>97697.77</v>
      </c>
      <c r="S30" s="54">
        <v>19.8996</v>
      </c>
      <c r="T30" s="54">
        <v>8014.25</v>
      </c>
      <c r="U30" s="55">
        <v>0</v>
      </c>
    </row>
    <row r="31" spans="2:21" outlineLevel="1" x14ac:dyDescent="0.25">
      <c r="B31" s="56" t="s">
        <v>481</v>
      </c>
      <c r="C31" s="58">
        <v>227.59</v>
      </c>
      <c r="D31" s="57">
        <v>0</v>
      </c>
      <c r="E31" s="58">
        <v>349.43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577.02</v>
      </c>
      <c r="P31" s="58">
        <v>49499.76</v>
      </c>
      <c r="Q31" s="58">
        <v>48922.74</v>
      </c>
      <c r="R31" s="58">
        <v>243953.31</v>
      </c>
      <c r="S31" s="58">
        <v>98.834299999999999</v>
      </c>
      <c r="T31" s="58">
        <v>16499.919999999998</v>
      </c>
      <c r="U31" s="57">
        <v>0</v>
      </c>
    </row>
    <row r="32" spans="2:21" outlineLevel="1" x14ac:dyDescent="0.25">
      <c r="B32" s="56" t="s">
        <v>482</v>
      </c>
      <c r="C32" s="58">
        <v>10129.290000000001</v>
      </c>
      <c r="D32" s="58">
        <v>11849.02</v>
      </c>
      <c r="E32" s="58">
        <v>14290.68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8">
        <v>36268.99</v>
      </c>
      <c r="P32" s="57">
        <v>0</v>
      </c>
      <c r="Q32" s="58">
        <v>-36268.99</v>
      </c>
      <c r="R32" s="57">
        <v>0</v>
      </c>
      <c r="S32" s="57">
        <v>0</v>
      </c>
      <c r="T32" s="57">
        <v>0</v>
      </c>
      <c r="U32" s="57">
        <v>0</v>
      </c>
    </row>
    <row r="33" spans="2:21" x14ac:dyDescent="0.25">
      <c r="B33" s="53" t="s">
        <v>393</v>
      </c>
      <c r="C33" s="54">
        <v>10356.879999999999</v>
      </c>
      <c r="D33" s="54">
        <v>11849.02</v>
      </c>
      <c r="E33" s="54">
        <v>14640.11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4">
        <v>36846.01</v>
      </c>
      <c r="P33" s="54">
        <v>49499.76</v>
      </c>
      <c r="Q33" s="54">
        <v>12653.75</v>
      </c>
      <c r="R33" s="54">
        <v>243953.31</v>
      </c>
      <c r="S33" s="54">
        <v>25.563300000000002</v>
      </c>
      <c r="T33" s="54">
        <v>16499.919999999998</v>
      </c>
      <c r="U33" s="55">
        <v>0</v>
      </c>
    </row>
    <row r="34" spans="2:21" outlineLevel="1" x14ac:dyDescent="0.25">
      <c r="B34" s="56" t="s">
        <v>394</v>
      </c>
      <c r="C34" s="58">
        <v>11520.37</v>
      </c>
      <c r="D34" s="58">
        <v>8410.7000000000007</v>
      </c>
      <c r="E34" s="58">
        <v>7077.03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27008.1</v>
      </c>
      <c r="P34" s="58">
        <v>27499.86</v>
      </c>
      <c r="Q34" s="58">
        <v>491.76</v>
      </c>
      <c r="R34" s="58">
        <v>111745.8</v>
      </c>
      <c r="S34" s="58">
        <v>1.7882</v>
      </c>
      <c r="T34" s="58">
        <v>9166.6200000000008</v>
      </c>
      <c r="U34" s="57">
        <v>0</v>
      </c>
    </row>
    <row r="35" spans="2:21" x14ac:dyDescent="0.25">
      <c r="B35" s="53" t="s">
        <v>395</v>
      </c>
      <c r="C35" s="54">
        <v>11520.37</v>
      </c>
      <c r="D35" s="54">
        <v>8410.7000000000007</v>
      </c>
      <c r="E35" s="54">
        <v>7077.03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4">
        <v>27008.1</v>
      </c>
      <c r="P35" s="54">
        <v>27499.86</v>
      </c>
      <c r="Q35" s="54">
        <v>491.76</v>
      </c>
      <c r="R35" s="54">
        <v>111745.8</v>
      </c>
      <c r="S35" s="54">
        <v>1.7882</v>
      </c>
      <c r="T35" s="54">
        <v>9166.6200000000008</v>
      </c>
      <c r="U35" s="55">
        <v>0</v>
      </c>
    </row>
    <row r="36" spans="2:21" outlineLevel="1" x14ac:dyDescent="0.25">
      <c r="B36" s="56" t="s">
        <v>396</v>
      </c>
      <c r="C36" s="58">
        <v>6369.62</v>
      </c>
      <c r="D36" s="58">
        <v>9129.82</v>
      </c>
      <c r="E36" s="58">
        <v>5583.53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8">
        <v>21082.97</v>
      </c>
      <c r="P36" s="58">
        <v>21395.67</v>
      </c>
      <c r="Q36" s="58">
        <v>312.7</v>
      </c>
      <c r="R36" s="58">
        <v>86941.45</v>
      </c>
      <c r="S36" s="58">
        <v>1.4615</v>
      </c>
      <c r="T36" s="58">
        <v>7131.89</v>
      </c>
      <c r="U36" s="57">
        <v>0</v>
      </c>
    </row>
    <row r="37" spans="2:21" x14ac:dyDescent="0.25">
      <c r="B37" s="53" t="s">
        <v>397</v>
      </c>
      <c r="C37" s="54">
        <v>6369.62</v>
      </c>
      <c r="D37" s="54">
        <v>9129.82</v>
      </c>
      <c r="E37" s="54">
        <v>5583.53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21082.97</v>
      </c>
      <c r="P37" s="54">
        <v>21395.67</v>
      </c>
      <c r="Q37" s="54">
        <v>312.7</v>
      </c>
      <c r="R37" s="54">
        <v>86941.45</v>
      </c>
      <c r="S37" s="54">
        <v>1.4615</v>
      </c>
      <c r="T37" s="54">
        <v>7131.89</v>
      </c>
      <c r="U37" s="55">
        <v>0</v>
      </c>
    </row>
    <row r="38" spans="2:21" outlineLevel="1" x14ac:dyDescent="0.25">
      <c r="B38" s="56" t="s">
        <v>483</v>
      </c>
      <c r="C38" s="58">
        <v>871.13</v>
      </c>
      <c r="D38" s="58">
        <v>1845.74</v>
      </c>
      <c r="E38" s="58">
        <v>40.04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2756.91</v>
      </c>
      <c r="P38" s="58">
        <v>10800</v>
      </c>
      <c r="Q38" s="58">
        <v>8043.09</v>
      </c>
      <c r="R38" s="58">
        <v>43200</v>
      </c>
      <c r="S38" s="58">
        <v>74.473100000000002</v>
      </c>
      <c r="T38" s="58">
        <v>3600</v>
      </c>
      <c r="U38" s="57">
        <v>0</v>
      </c>
    </row>
    <row r="39" spans="2:21" outlineLevel="1" x14ac:dyDescent="0.25">
      <c r="B39" s="56" t="s">
        <v>398</v>
      </c>
      <c r="C39" s="58">
        <v>3152.69</v>
      </c>
      <c r="D39" s="58">
        <v>3210.77</v>
      </c>
      <c r="E39" s="58">
        <v>3133.05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8">
        <v>9496.51</v>
      </c>
      <c r="P39" s="57">
        <v>0</v>
      </c>
      <c r="Q39" s="58">
        <v>-9496.51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5">
      <c r="B40" s="53" t="s">
        <v>399</v>
      </c>
      <c r="C40" s="54">
        <v>4023.82</v>
      </c>
      <c r="D40" s="54">
        <v>5056.51</v>
      </c>
      <c r="E40" s="54">
        <v>3173.09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4">
        <v>12253.42</v>
      </c>
      <c r="P40" s="54">
        <v>10800</v>
      </c>
      <c r="Q40" s="54">
        <v>-1453.42</v>
      </c>
      <c r="R40" s="54">
        <v>43200</v>
      </c>
      <c r="S40" s="54">
        <v>-13.457599999999999</v>
      </c>
      <c r="T40" s="54">
        <v>3600</v>
      </c>
      <c r="U40" s="55">
        <v>0</v>
      </c>
    </row>
    <row r="41" spans="2:21" outlineLevel="1" x14ac:dyDescent="0.25">
      <c r="B41" s="56" t="s">
        <v>400</v>
      </c>
      <c r="C41" s="58">
        <v>2419.44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2419.44</v>
      </c>
      <c r="P41" s="58">
        <v>2550</v>
      </c>
      <c r="Q41" s="58">
        <v>130.56</v>
      </c>
      <c r="R41" s="58">
        <v>10200</v>
      </c>
      <c r="S41" s="58">
        <v>5.12</v>
      </c>
      <c r="T41" s="58">
        <v>850</v>
      </c>
      <c r="U41" s="57">
        <v>0</v>
      </c>
    </row>
    <row r="42" spans="2:21" x14ac:dyDescent="0.25">
      <c r="B42" s="53" t="s">
        <v>401</v>
      </c>
      <c r="C42" s="54">
        <v>2419.44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4">
        <v>2419.44</v>
      </c>
      <c r="P42" s="54">
        <v>2550</v>
      </c>
      <c r="Q42" s="54">
        <v>130.56</v>
      </c>
      <c r="R42" s="54">
        <v>10200</v>
      </c>
      <c r="S42" s="54">
        <v>5.12</v>
      </c>
      <c r="T42" s="54">
        <v>850</v>
      </c>
      <c r="U42" s="55">
        <v>0</v>
      </c>
    </row>
    <row r="43" spans="2:21" outlineLevel="1" x14ac:dyDescent="0.25">
      <c r="B43" s="56" t="s">
        <v>402</v>
      </c>
      <c r="C43" s="58">
        <v>156.44</v>
      </c>
      <c r="D43" s="58">
        <v>295.35000000000002</v>
      </c>
      <c r="E43" s="58">
        <v>47.72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8">
        <v>499.51</v>
      </c>
      <c r="P43" s="58">
        <v>2400</v>
      </c>
      <c r="Q43" s="58">
        <v>1900.49</v>
      </c>
      <c r="R43" s="58">
        <v>9600</v>
      </c>
      <c r="S43" s="58">
        <v>79.187100000000001</v>
      </c>
      <c r="T43" s="58">
        <v>800</v>
      </c>
      <c r="U43" s="57">
        <v>0</v>
      </c>
    </row>
    <row r="44" spans="2:21" x14ac:dyDescent="0.25">
      <c r="B44" s="53" t="s">
        <v>403</v>
      </c>
      <c r="C44" s="54">
        <v>156.44</v>
      </c>
      <c r="D44" s="54">
        <v>295.35000000000002</v>
      </c>
      <c r="E44" s="54">
        <v>47.72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4">
        <v>499.51</v>
      </c>
      <c r="P44" s="54">
        <v>2400</v>
      </c>
      <c r="Q44" s="54">
        <v>1900.49</v>
      </c>
      <c r="R44" s="54">
        <v>9600</v>
      </c>
      <c r="S44" s="54">
        <v>79.187100000000001</v>
      </c>
      <c r="T44" s="54">
        <v>800</v>
      </c>
      <c r="U44" s="55">
        <v>0</v>
      </c>
    </row>
    <row r="45" spans="2:21" outlineLevel="1" x14ac:dyDescent="0.25">
      <c r="B45" s="56" t="s">
        <v>485</v>
      </c>
      <c r="C45" s="58">
        <v>2614.8000000000002</v>
      </c>
      <c r="D45" s="58">
        <v>5089.2299999999996</v>
      </c>
      <c r="E45" s="58">
        <v>5266.49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8">
        <v>12970.52</v>
      </c>
      <c r="P45" s="58">
        <v>21600</v>
      </c>
      <c r="Q45" s="58">
        <v>8629.48</v>
      </c>
      <c r="R45" s="58">
        <v>86400</v>
      </c>
      <c r="S45" s="58">
        <v>39.951300000000003</v>
      </c>
      <c r="T45" s="58">
        <v>7200</v>
      </c>
      <c r="U45" s="57">
        <v>0</v>
      </c>
    </row>
    <row r="46" spans="2:21" outlineLevel="1" x14ac:dyDescent="0.25">
      <c r="B46" s="56" t="s">
        <v>486</v>
      </c>
      <c r="C46" s="58">
        <v>4061.12</v>
      </c>
      <c r="D46" s="58">
        <v>8960.4599999999991</v>
      </c>
      <c r="E46" s="58">
        <v>-280.41000000000003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8">
        <v>12741.17</v>
      </c>
      <c r="P46" s="57">
        <v>0</v>
      </c>
      <c r="Q46" s="58">
        <v>-12741.17</v>
      </c>
      <c r="R46" s="57">
        <v>0</v>
      </c>
      <c r="S46" s="57">
        <v>0</v>
      </c>
      <c r="T46" s="57">
        <v>0</v>
      </c>
      <c r="U46" s="57">
        <v>0</v>
      </c>
    </row>
    <row r="47" spans="2:21" outlineLevel="1" x14ac:dyDescent="0.25">
      <c r="B47" s="56" t="s">
        <v>487</v>
      </c>
      <c r="C47" s="58">
        <v>396.67</v>
      </c>
      <c r="D47" s="58">
        <v>-57.73</v>
      </c>
      <c r="E47" s="58">
        <v>-1.04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337.9</v>
      </c>
      <c r="P47" s="57">
        <v>0</v>
      </c>
      <c r="Q47" s="58">
        <v>-337.9</v>
      </c>
      <c r="R47" s="57">
        <v>0</v>
      </c>
      <c r="S47" s="57">
        <v>0</v>
      </c>
      <c r="T47" s="57">
        <v>0</v>
      </c>
      <c r="U47" s="57">
        <v>0</v>
      </c>
    </row>
    <row r="48" spans="2:21" outlineLevel="1" x14ac:dyDescent="0.25">
      <c r="B48" s="56" t="s">
        <v>488</v>
      </c>
      <c r="C48" s="57">
        <v>0</v>
      </c>
      <c r="D48" s="58">
        <v>-277.95999999999998</v>
      </c>
      <c r="E48" s="58">
        <v>-372.85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-650.80999999999995</v>
      </c>
      <c r="P48" s="57">
        <v>0</v>
      </c>
      <c r="Q48" s="58">
        <v>650.80999999999995</v>
      </c>
      <c r="R48" s="57">
        <v>0</v>
      </c>
      <c r="S48" s="57">
        <v>0</v>
      </c>
      <c r="T48" s="57">
        <v>0</v>
      </c>
      <c r="U48" s="57">
        <v>0</v>
      </c>
    </row>
    <row r="49" spans="2:21" x14ac:dyDescent="0.25">
      <c r="B49" s="53" t="s">
        <v>404</v>
      </c>
      <c r="C49" s="54">
        <v>7072.59</v>
      </c>
      <c r="D49" s="54">
        <v>13714</v>
      </c>
      <c r="E49" s="54">
        <v>4612.1899999999996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5">
        <v>0</v>
      </c>
      <c r="N49" s="55">
        <v>0</v>
      </c>
      <c r="O49" s="54">
        <v>25398.78</v>
      </c>
      <c r="P49" s="54">
        <v>21600</v>
      </c>
      <c r="Q49" s="54">
        <v>-3798.78</v>
      </c>
      <c r="R49" s="54">
        <v>86400</v>
      </c>
      <c r="S49" s="54">
        <v>-17.5869</v>
      </c>
      <c r="T49" s="54">
        <v>7200</v>
      </c>
      <c r="U49" s="55">
        <v>0</v>
      </c>
    </row>
    <row r="50" spans="2:21" outlineLevel="1" x14ac:dyDescent="0.25">
      <c r="B50" s="56" t="s">
        <v>489</v>
      </c>
      <c r="C50" s="58">
        <v>200.98</v>
      </c>
      <c r="D50" s="58">
        <v>332.04</v>
      </c>
      <c r="E50" s="58">
        <v>42.52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575.54</v>
      </c>
      <c r="P50" s="58">
        <v>4200</v>
      </c>
      <c r="Q50" s="58">
        <v>3624.46</v>
      </c>
      <c r="R50" s="58">
        <v>16800</v>
      </c>
      <c r="S50" s="58">
        <v>86.296700000000001</v>
      </c>
      <c r="T50" s="58">
        <v>1400</v>
      </c>
      <c r="U50" s="57">
        <v>0</v>
      </c>
    </row>
    <row r="51" spans="2:21" outlineLevel="1" x14ac:dyDescent="0.25">
      <c r="B51" s="56" t="s">
        <v>491</v>
      </c>
      <c r="C51" s="58">
        <v>311.29000000000002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8">
        <v>311.29000000000002</v>
      </c>
      <c r="P51" s="57">
        <v>0</v>
      </c>
      <c r="Q51" s="58">
        <v>-311.29000000000002</v>
      </c>
      <c r="R51" s="57">
        <v>0</v>
      </c>
      <c r="S51" s="57">
        <v>0</v>
      </c>
      <c r="T51" s="57">
        <v>0</v>
      </c>
      <c r="U51" s="57">
        <v>0</v>
      </c>
    </row>
    <row r="52" spans="2:21" outlineLevel="1" x14ac:dyDescent="0.25">
      <c r="B52" s="56" t="s">
        <v>492</v>
      </c>
      <c r="C52" s="58">
        <v>11703.36</v>
      </c>
      <c r="D52" s="58">
        <v>11703.36</v>
      </c>
      <c r="E52" s="58">
        <v>11703.36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35110.080000000002</v>
      </c>
      <c r="P52" s="58">
        <v>35110.080000000002</v>
      </c>
      <c r="Q52" s="57">
        <v>0</v>
      </c>
      <c r="R52" s="58">
        <v>140440.32000000001</v>
      </c>
      <c r="S52" s="57">
        <v>0</v>
      </c>
      <c r="T52" s="58">
        <v>11703.36</v>
      </c>
      <c r="U52" s="57">
        <v>0</v>
      </c>
    </row>
    <row r="53" spans="2:21" x14ac:dyDescent="0.25">
      <c r="B53" s="53" t="s">
        <v>405</v>
      </c>
      <c r="C53" s="54">
        <v>12215.63</v>
      </c>
      <c r="D53" s="54">
        <v>12035.4</v>
      </c>
      <c r="E53" s="54">
        <v>11745.88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5">
        <v>0</v>
      </c>
      <c r="N53" s="55">
        <v>0</v>
      </c>
      <c r="O53" s="54">
        <v>35996.910000000003</v>
      </c>
      <c r="P53" s="54">
        <v>39310.080000000002</v>
      </c>
      <c r="Q53" s="54">
        <v>3313.17</v>
      </c>
      <c r="R53" s="54">
        <v>157240.32000000001</v>
      </c>
      <c r="S53" s="54">
        <v>8.4283000000000001</v>
      </c>
      <c r="T53" s="54">
        <v>13103.36</v>
      </c>
      <c r="U53" s="55">
        <v>0</v>
      </c>
    </row>
    <row r="54" spans="2:21" outlineLevel="1" x14ac:dyDescent="0.25">
      <c r="B54" s="56" t="s">
        <v>493</v>
      </c>
      <c r="C54" s="58">
        <v>-25.69</v>
      </c>
      <c r="D54" s="57">
        <v>0</v>
      </c>
      <c r="E54" s="58">
        <v>18718.34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18692.650000000001</v>
      </c>
      <c r="P54" s="58">
        <v>29831.79</v>
      </c>
      <c r="Q54" s="58">
        <v>11139.14</v>
      </c>
      <c r="R54" s="58">
        <v>119327.16</v>
      </c>
      <c r="S54" s="58">
        <v>37.339799999999997</v>
      </c>
      <c r="T54" s="58">
        <v>9943.93</v>
      </c>
      <c r="U54" s="57">
        <v>0</v>
      </c>
    </row>
    <row r="55" spans="2:21" x14ac:dyDescent="0.25">
      <c r="B55" s="53" t="s">
        <v>406</v>
      </c>
      <c r="C55" s="54">
        <v>-25.69</v>
      </c>
      <c r="D55" s="55">
        <v>0</v>
      </c>
      <c r="E55" s="54">
        <v>18718.34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4">
        <v>18692.650000000001</v>
      </c>
      <c r="P55" s="54">
        <v>29831.79</v>
      </c>
      <c r="Q55" s="54">
        <v>11139.14</v>
      </c>
      <c r="R55" s="54">
        <v>119327.16</v>
      </c>
      <c r="S55" s="54">
        <v>37.339799999999997</v>
      </c>
      <c r="T55" s="54">
        <v>9943.93</v>
      </c>
      <c r="U55" s="55">
        <v>0</v>
      </c>
    </row>
    <row r="56" spans="2:21" x14ac:dyDescent="0.25">
      <c r="B56" s="53" t="s">
        <v>407</v>
      </c>
      <c r="C56" s="54">
        <v>44172.86</v>
      </c>
      <c r="D56" s="54">
        <v>88911.86</v>
      </c>
      <c r="E56" s="54">
        <v>75689.03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5">
        <v>0</v>
      </c>
      <c r="N56" s="55">
        <v>0</v>
      </c>
      <c r="O56" s="54">
        <v>208773.75</v>
      </c>
      <c r="P56" s="54">
        <v>206468</v>
      </c>
      <c r="Q56" s="54">
        <v>-2305.75</v>
      </c>
      <c r="R56" s="54">
        <v>916492</v>
      </c>
      <c r="S56" s="54">
        <v>-1.1168</v>
      </c>
      <c r="T56" s="54">
        <v>70456</v>
      </c>
      <c r="U56" s="55">
        <v>0</v>
      </c>
    </row>
    <row r="57" spans="2:21" outlineLevel="1" x14ac:dyDescent="0.25">
      <c r="B57" s="56" t="s">
        <v>408</v>
      </c>
      <c r="C57" s="58">
        <v>8861.4500000000007</v>
      </c>
      <c r="D57" s="58">
        <v>25087.68</v>
      </c>
      <c r="E57" s="58">
        <v>5586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0</v>
      </c>
      <c r="O57" s="58">
        <v>39535.129999999997</v>
      </c>
      <c r="P57" s="58">
        <v>3000</v>
      </c>
      <c r="Q57" s="58">
        <v>-36535.129999999997</v>
      </c>
      <c r="R57" s="58">
        <v>116020</v>
      </c>
      <c r="S57" s="58">
        <v>-1217.8377</v>
      </c>
      <c r="T57" s="58">
        <v>1000</v>
      </c>
      <c r="U57" s="57">
        <v>0</v>
      </c>
    </row>
    <row r="58" spans="2:21" x14ac:dyDescent="0.25">
      <c r="B58" s="53" t="s">
        <v>409</v>
      </c>
      <c r="C58" s="54">
        <v>8861.4500000000007</v>
      </c>
      <c r="D58" s="54">
        <v>25087.68</v>
      </c>
      <c r="E58" s="54">
        <v>5586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39535.129999999997</v>
      </c>
      <c r="P58" s="54">
        <v>3000</v>
      </c>
      <c r="Q58" s="54">
        <v>-36535.129999999997</v>
      </c>
      <c r="R58" s="54">
        <v>116020</v>
      </c>
      <c r="S58" s="54">
        <v>-1217.8377</v>
      </c>
      <c r="T58" s="54">
        <v>1000</v>
      </c>
      <c r="U58" s="55">
        <v>0</v>
      </c>
    </row>
    <row r="59" spans="2:21" outlineLevel="1" x14ac:dyDescent="0.25">
      <c r="B59" s="56" t="s">
        <v>610</v>
      </c>
      <c r="C59" s="57">
        <v>0</v>
      </c>
      <c r="D59" s="57">
        <v>0</v>
      </c>
      <c r="E59" s="58">
        <v>265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8">
        <v>265</v>
      </c>
      <c r="P59" s="57">
        <v>0</v>
      </c>
      <c r="Q59" s="58">
        <v>-265</v>
      </c>
      <c r="R59" s="57">
        <v>0</v>
      </c>
      <c r="S59" s="57">
        <v>0</v>
      </c>
      <c r="T59" s="57">
        <v>0</v>
      </c>
      <c r="U59" s="57">
        <v>0</v>
      </c>
    </row>
    <row r="60" spans="2:21" outlineLevel="1" x14ac:dyDescent="0.25">
      <c r="B60" s="56" t="s">
        <v>495</v>
      </c>
      <c r="C60" s="58">
        <v>3866.05</v>
      </c>
      <c r="D60" s="58">
        <v>7074.48</v>
      </c>
      <c r="E60" s="58">
        <v>16755.009999999998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8">
        <v>27695.54</v>
      </c>
      <c r="P60" s="58">
        <v>99150</v>
      </c>
      <c r="Q60" s="58">
        <v>71454.460000000006</v>
      </c>
      <c r="R60" s="58">
        <v>399600</v>
      </c>
      <c r="S60" s="58">
        <v>72.066999999999993</v>
      </c>
      <c r="T60" s="58">
        <v>29050</v>
      </c>
      <c r="U60" s="57">
        <v>0</v>
      </c>
    </row>
    <row r="61" spans="2:21" outlineLevel="1" x14ac:dyDescent="0.25">
      <c r="B61" s="56" t="s">
        <v>496</v>
      </c>
      <c r="C61" s="57">
        <v>0</v>
      </c>
      <c r="D61" s="57">
        <v>0</v>
      </c>
      <c r="E61" s="58">
        <v>3589.83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3589.83</v>
      </c>
      <c r="P61" s="57">
        <v>0</v>
      </c>
      <c r="Q61" s="58">
        <v>-3589.83</v>
      </c>
      <c r="R61" s="57">
        <v>0</v>
      </c>
      <c r="S61" s="57">
        <v>0</v>
      </c>
      <c r="T61" s="57">
        <v>0</v>
      </c>
      <c r="U61" s="57">
        <v>0</v>
      </c>
    </row>
    <row r="62" spans="2:21" outlineLevel="1" x14ac:dyDescent="0.25">
      <c r="B62" s="56" t="s">
        <v>411</v>
      </c>
      <c r="C62" s="58">
        <v>-5660.2</v>
      </c>
      <c r="D62" s="58">
        <v>7125.2</v>
      </c>
      <c r="E62" s="58">
        <v>2584.54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8">
        <v>4049.54</v>
      </c>
      <c r="P62" s="57">
        <v>0</v>
      </c>
      <c r="Q62" s="58">
        <v>-4049.54</v>
      </c>
      <c r="R62" s="57">
        <v>0</v>
      </c>
      <c r="S62" s="57">
        <v>0</v>
      </c>
      <c r="T62" s="57">
        <v>0</v>
      </c>
      <c r="U62" s="57">
        <v>0</v>
      </c>
    </row>
    <row r="63" spans="2:21" outlineLevel="1" x14ac:dyDescent="0.25">
      <c r="B63" s="56" t="s">
        <v>497</v>
      </c>
      <c r="C63" s="58">
        <v>-0.5</v>
      </c>
      <c r="D63" s="58">
        <v>262.44</v>
      </c>
      <c r="E63" s="58">
        <v>6494.71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6756.65</v>
      </c>
      <c r="P63" s="57">
        <v>0</v>
      </c>
      <c r="Q63" s="58">
        <v>-6756.65</v>
      </c>
      <c r="R63" s="57">
        <v>0</v>
      </c>
      <c r="S63" s="57">
        <v>0</v>
      </c>
      <c r="T63" s="57">
        <v>0</v>
      </c>
      <c r="U63" s="57">
        <v>0</v>
      </c>
    </row>
    <row r="64" spans="2:21" outlineLevel="1" x14ac:dyDescent="0.25">
      <c r="B64" s="56" t="s">
        <v>498</v>
      </c>
      <c r="C64" s="57">
        <v>0</v>
      </c>
      <c r="D64" s="58">
        <v>5029.53</v>
      </c>
      <c r="E64" s="58">
        <v>9217.5300000000007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8">
        <v>14247.06</v>
      </c>
      <c r="P64" s="57">
        <v>0</v>
      </c>
      <c r="Q64" s="58">
        <v>-14247.06</v>
      </c>
      <c r="R64" s="57">
        <v>0</v>
      </c>
      <c r="S64" s="57">
        <v>0</v>
      </c>
      <c r="T64" s="57">
        <v>0</v>
      </c>
      <c r="U64" s="57">
        <v>0</v>
      </c>
    </row>
    <row r="65" spans="2:21" outlineLevel="1" x14ac:dyDescent="0.25">
      <c r="B65" s="56" t="s">
        <v>499</v>
      </c>
      <c r="C65" s="58">
        <v>10542.55</v>
      </c>
      <c r="D65" s="58">
        <v>157.69999999999999</v>
      </c>
      <c r="E65" s="58">
        <v>5316.8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16017.05</v>
      </c>
      <c r="P65" s="57">
        <v>0</v>
      </c>
      <c r="Q65" s="58">
        <v>-16017.05</v>
      </c>
      <c r="R65" s="57">
        <v>0</v>
      </c>
      <c r="S65" s="57">
        <v>0</v>
      </c>
      <c r="T65" s="57">
        <v>0</v>
      </c>
      <c r="U65" s="57">
        <v>0</v>
      </c>
    </row>
    <row r="66" spans="2:21" outlineLevel="1" x14ac:dyDescent="0.25">
      <c r="B66" s="56" t="s">
        <v>500</v>
      </c>
      <c r="C66" s="58">
        <v>-580.64</v>
      </c>
      <c r="D66" s="57">
        <v>0</v>
      </c>
      <c r="E66" s="58">
        <v>353.16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-227.48</v>
      </c>
      <c r="P66" s="57">
        <v>0</v>
      </c>
      <c r="Q66" s="58">
        <v>227.48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5">
      <c r="B67" s="53" t="s">
        <v>501</v>
      </c>
      <c r="C67" s="54">
        <v>8167.26</v>
      </c>
      <c r="D67" s="54">
        <v>19649.349999999999</v>
      </c>
      <c r="E67" s="54">
        <v>44576.58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55">
        <v>0</v>
      </c>
      <c r="O67" s="54">
        <v>72393.19</v>
      </c>
      <c r="P67" s="54">
        <v>99150</v>
      </c>
      <c r="Q67" s="54">
        <v>26756.81</v>
      </c>
      <c r="R67" s="54">
        <v>399600</v>
      </c>
      <c r="S67" s="54">
        <v>26.9862</v>
      </c>
      <c r="T67" s="54">
        <v>29050</v>
      </c>
      <c r="U67" s="55">
        <v>0</v>
      </c>
    </row>
    <row r="68" spans="2:21" outlineLevel="1" x14ac:dyDescent="0.25">
      <c r="B68" s="56" t="s">
        <v>412</v>
      </c>
      <c r="C68" s="58">
        <v>10263.24</v>
      </c>
      <c r="D68" s="58">
        <v>8471.18</v>
      </c>
      <c r="E68" s="58">
        <v>5841.37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8">
        <v>24575.79</v>
      </c>
      <c r="P68" s="58">
        <v>37800</v>
      </c>
      <c r="Q68" s="58">
        <v>13224.21</v>
      </c>
      <c r="R68" s="58">
        <v>151200</v>
      </c>
      <c r="S68" s="58">
        <v>34.984699999999997</v>
      </c>
      <c r="T68" s="58">
        <v>12600</v>
      </c>
      <c r="U68" s="57">
        <v>0</v>
      </c>
    </row>
    <row r="69" spans="2:21" outlineLevel="1" x14ac:dyDescent="0.25">
      <c r="B69" s="56" t="s">
        <v>451</v>
      </c>
      <c r="C69" s="57">
        <v>0</v>
      </c>
      <c r="D69" s="58">
        <v>420.83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8">
        <v>420.83</v>
      </c>
      <c r="P69" s="57">
        <v>0</v>
      </c>
      <c r="Q69" s="58">
        <v>-420.83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5">
      <c r="B70" s="53" t="s">
        <v>413</v>
      </c>
      <c r="C70" s="54">
        <v>10263.24</v>
      </c>
      <c r="D70" s="54">
        <v>8892.01</v>
      </c>
      <c r="E70" s="54">
        <v>5841.37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4">
        <v>24996.62</v>
      </c>
      <c r="P70" s="54">
        <v>37800</v>
      </c>
      <c r="Q70" s="54">
        <v>12803.38</v>
      </c>
      <c r="R70" s="54">
        <v>151200</v>
      </c>
      <c r="S70" s="54">
        <v>33.871400000000001</v>
      </c>
      <c r="T70" s="54">
        <v>12600</v>
      </c>
      <c r="U70" s="55">
        <v>0</v>
      </c>
    </row>
    <row r="71" spans="2:21" outlineLevel="1" x14ac:dyDescent="0.25">
      <c r="B71" s="56" t="s">
        <v>502</v>
      </c>
      <c r="C71" s="58">
        <v>4031.75</v>
      </c>
      <c r="D71" s="58">
        <v>16839.8</v>
      </c>
      <c r="E71" s="58">
        <v>1585.4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8">
        <v>22456.95</v>
      </c>
      <c r="P71" s="58">
        <v>15950</v>
      </c>
      <c r="Q71" s="58">
        <v>-6506.95</v>
      </c>
      <c r="R71" s="58">
        <v>47400</v>
      </c>
      <c r="S71" s="58">
        <v>-40.795900000000003</v>
      </c>
      <c r="T71" s="58">
        <v>10950</v>
      </c>
      <c r="U71" s="57">
        <v>0</v>
      </c>
    </row>
    <row r="72" spans="2:21" outlineLevel="1" x14ac:dyDescent="0.25">
      <c r="B72" s="56" t="s">
        <v>611</v>
      </c>
      <c r="C72" s="57">
        <v>0</v>
      </c>
      <c r="D72" s="57">
        <v>0</v>
      </c>
      <c r="E72" s="58">
        <v>491.81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8">
        <v>491.81</v>
      </c>
      <c r="P72" s="57">
        <v>0</v>
      </c>
      <c r="Q72" s="58">
        <v>-491.81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5">
      <c r="B73" s="53" t="s">
        <v>415</v>
      </c>
      <c r="C73" s="54">
        <v>4031.75</v>
      </c>
      <c r="D73" s="54">
        <v>16839.8</v>
      </c>
      <c r="E73" s="54">
        <v>2077.21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4">
        <v>22948.76</v>
      </c>
      <c r="P73" s="54">
        <v>15950</v>
      </c>
      <c r="Q73" s="54">
        <v>-6998.76</v>
      </c>
      <c r="R73" s="54">
        <v>47400</v>
      </c>
      <c r="S73" s="54">
        <v>-43.879399999999997</v>
      </c>
      <c r="T73" s="54">
        <v>10950</v>
      </c>
      <c r="U73" s="55">
        <v>0</v>
      </c>
    </row>
    <row r="74" spans="2:21" x14ac:dyDescent="0.25">
      <c r="B74" s="53" t="s">
        <v>416</v>
      </c>
      <c r="C74" s="54">
        <v>193.16</v>
      </c>
      <c r="D74" s="54">
        <v>5787.02</v>
      </c>
      <c r="E74" s="54">
        <v>4951.87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4">
        <v>10932.05</v>
      </c>
      <c r="P74" s="54">
        <v>12600</v>
      </c>
      <c r="Q74" s="54">
        <v>1667.95</v>
      </c>
      <c r="R74" s="54">
        <v>50400</v>
      </c>
      <c r="S74" s="54">
        <v>13.2377</v>
      </c>
      <c r="T74" s="54">
        <v>4200</v>
      </c>
      <c r="U74" s="55">
        <v>0</v>
      </c>
    </row>
    <row r="75" spans="2:21" outlineLevel="1" x14ac:dyDescent="0.25">
      <c r="B75" s="56" t="s">
        <v>417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7">
        <v>0</v>
      </c>
      <c r="P75" s="57">
        <v>0</v>
      </c>
      <c r="Q75" s="57">
        <v>0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5">
      <c r="B76" s="53" t="s">
        <v>418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</row>
    <row r="77" spans="2:21" outlineLevel="1" x14ac:dyDescent="0.25">
      <c r="B77" s="56" t="s">
        <v>419</v>
      </c>
      <c r="C77" s="57">
        <v>0</v>
      </c>
      <c r="D77" s="58">
        <v>539.29</v>
      </c>
      <c r="E77" s="58">
        <v>73.91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7">
        <v>0</v>
      </c>
      <c r="M77" s="57">
        <v>0</v>
      </c>
      <c r="N77" s="57">
        <v>0</v>
      </c>
      <c r="O77" s="58">
        <v>613.20000000000005</v>
      </c>
      <c r="P77" s="57">
        <v>0</v>
      </c>
      <c r="Q77" s="58">
        <v>-613.20000000000005</v>
      </c>
      <c r="R77" s="57">
        <v>0</v>
      </c>
      <c r="S77" s="57">
        <v>0</v>
      </c>
      <c r="T77" s="57">
        <v>0</v>
      </c>
      <c r="U77" s="57">
        <v>0</v>
      </c>
    </row>
    <row r="78" spans="2:21" outlineLevel="1" x14ac:dyDescent="0.25">
      <c r="B78" s="56" t="s">
        <v>420</v>
      </c>
      <c r="C78" s="58">
        <v>32.74</v>
      </c>
      <c r="D78" s="58">
        <v>596.94000000000005</v>
      </c>
      <c r="E78" s="58">
        <v>2931.66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8">
        <v>3561.34</v>
      </c>
      <c r="P78" s="58">
        <v>9600</v>
      </c>
      <c r="Q78" s="58">
        <v>6038.66</v>
      </c>
      <c r="R78" s="58">
        <v>38400</v>
      </c>
      <c r="S78" s="58">
        <v>62.902700000000003</v>
      </c>
      <c r="T78" s="58">
        <v>3200</v>
      </c>
      <c r="U78" s="57">
        <v>0</v>
      </c>
    </row>
    <row r="79" spans="2:21" outlineLevel="1" x14ac:dyDescent="0.25">
      <c r="B79" s="56" t="s">
        <v>421</v>
      </c>
      <c r="C79" s="58">
        <v>168.07</v>
      </c>
      <c r="D79" s="58">
        <v>168.33</v>
      </c>
      <c r="E79" s="58">
        <v>655.20000000000005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8">
        <v>991.6</v>
      </c>
      <c r="P79" s="57">
        <v>0</v>
      </c>
      <c r="Q79" s="58">
        <v>-991.6</v>
      </c>
      <c r="R79" s="57">
        <v>0</v>
      </c>
      <c r="S79" s="57">
        <v>0</v>
      </c>
      <c r="T79" s="57">
        <v>0</v>
      </c>
      <c r="U79" s="57">
        <v>0</v>
      </c>
    </row>
    <row r="80" spans="2:21" outlineLevel="1" x14ac:dyDescent="0.25">
      <c r="B80" s="56" t="s">
        <v>422</v>
      </c>
      <c r="C80" s="58">
        <v>92.35</v>
      </c>
      <c r="D80" s="58">
        <v>92.46</v>
      </c>
      <c r="E80" s="58">
        <v>91.1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275.91000000000003</v>
      </c>
      <c r="P80" s="57">
        <v>0</v>
      </c>
      <c r="Q80" s="58">
        <v>-275.91000000000003</v>
      </c>
      <c r="R80" s="57">
        <v>0</v>
      </c>
      <c r="S80" s="57">
        <v>0</v>
      </c>
      <c r="T80" s="57">
        <v>0</v>
      </c>
      <c r="U80" s="57">
        <v>0</v>
      </c>
    </row>
    <row r="81" spans="2:21" x14ac:dyDescent="0.25">
      <c r="B81" s="53" t="s">
        <v>423</v>
      </c>
      <c r="C81" s="54">
        <v>293.16000000000003</v>
      </c>
      <c r="D81" s="54">
        <v>1397.02</v>
      </c>
      <c r="E81" s="54">
        <v>3751.87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5">
        <v>0</v>
      </c>
      <c r="M81" s="55">
        <v>0</v>
      </c>
      <c r="N81" s="55">
        <v>0</v>
      </c>
      <c r="O81" s="54">
        <v>5442.05</v>
      </c>
      <c r="P81" s="54">
        <v>9600</v>
      </c>
      <c r="Q81" s="54">
        <v>4157.95</v>
      </c>
      <c r="R81" s="54">
        <v>38400</v>
      </c>
      <c r="S81" s="54">
        <v>43.311999999999998</v>
      </c>
      <c r="T81" s="54">
        <v>3200</v>
      </c>
      <c r="U81" s="55">
        <v>0</v>
      </c>
    </row>
    <row r="82" spans="2:21" outlineLevel="1" x14ac:dyDescent="0.25">
      <c r="B82" s="56" t="s">
        <v>424</v>
      </c>
      <c r="C82" s="58">
        <v>-100</v>
      </c>
      <c r="D82" s="58">
        <v>4390</v>
      </c>
      <c r="E82" s="58">
        <v>1200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8">
        <v>5490</v>
      </c>
      <c r="P82" s="58">
        <v>3000</v>
      </c>
      <c r="Q82" s="58">
        <v>-2490</v>
      </c>
      <c r="R82" s="58">
        <v>12000</v>
      </c>
      <c r="S82" s="58">
        <v>-83</v>
      </c>
      <c r="T82" s="58">
        <v>1000</v>
      </c>
      <c r="U82" s="57">
        <v>0</v>
      </c>
    </row>
    <row r="83" spans="2:21" x14ac:dyDescent="0.25">
      <c r="B83" s="53" t="s">
        <v>425</v>
      </c>
      <c r="C83" s="54">
        <v>-100</v>
      </c>
      <c r="D83" s="54">
        <v>4390</v>
      </c>
      <c r="E83" s="54">
        <v>1200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5">
        <v>0</v>
      </c>
      <c r="N83" s="55">
        <v>0</v>
      </c>
      <c r="O83" s="54">
        <v>5490</v>
      </c>
      <c r="P83" s="54">
        <v>3000</v>
      </c>
      <c r="Q83" s="54">
        <v>-2490</v>
      </c>
      <c r="R83" s="54">
        <v>12000</v>
      </c>
      <c r="S83" s="54">
        <v>-83</v>
      </c>
      <c r="T83" s="54">
        <v>1000</v>
      </c>
      <c r="U83" s="55">
        <v>0</v>
      </c>
    </row>
    <row r="84" spans="2:21" outlineLevel="1" x14ac:dyDescent="0.25">
      <c r="B84" s="56" t="s">
        <v>426</v>
      </c>
      <c r="C84" s="58">
        <v>12656</v>
      </c>
      <c r="D84" s="58">
        <v>12656</v>
      </c>
      <c r="E84" s="58">
        <v>12656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M84" s="57">
        <v>0</v>
      </c>
      <c r="N84" s="57">
        <v>0</v>
      </c>
      <c r="O84" s="58">
        <v>37968</v>
      </c>
      <c r="P84" s="58">
        <v>37968</v>
      </c>
      <c r="Q84" s="57">
        <v>0</v>
      </c>
      <c r="R84" s="58">
        <v>151872</v>
      </c>
      <c r="S84" s="57">
        <v>0</v>
      </c>
      <c r="T84" s="58">
        <v>12656</v>
      </c>
      <c r="U84" s="57">
        <v>0</v>
      </c>
    </row>
    <row r="85" spans="2:21" x14ac:dyDescent="0.25">
      <c r="B85" s="53" t="s">
        <v>427</v>
      </c>
      <c r="C85" s="54">
        <v>12656</v>
      </c>
      <c r="D85" s="54">
        <v>12656</v>
      </c>
      <c r="E85" s="54">
        <v>12656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0</v>
      </c>
      <c r="M85" s="55">
        <v>0</v>
      </c>
      <c r="N85" s="55">
        <v>0</v>
      </c>
      <c r="O85" s="54">
        <v>37968</v>
      </c>
      <c r="P85" s="54">
        <v>37968</v>
      </c>
      <c r="Q85" s="55">
        <v>0</v>
      </c>
      <c r="R85" s="54">
        <v>151872</v>
      </c>
      <c r="S85" s="55">
        <v>0</v>
      </c>
      <c r="T85" s="54">
        <v>12656</v>
      </c>
      <c r="U85" s="55">
        <v>0</v>
      </c>
    </row>
    <row r="86" spans="2:21" outlineLevel="1" x14ac:dyDescent="0.25">
      <c r="B86" s="56" t="s">
        <v>503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7">
        <v>0</v>
      </c>
      <c r="M86" s="57">
        <v>0</v>
      </c>
      <c r="N86" s="57">
        <v>0</v>
      </c>
      <c r="O86" s="57">
        <v>0</v>
      </c>
      <c r="P86" s="58">
        <v>182620.11</v>
      </c>
      <c r="Q86" s="58">
        <v>182620.11</v>
      </c>
      <c r="R86" s="58">
        <v>730480.44</v>
      </c>
      <c r="S86" s="58">
        <v>100</v>
      </c>
      <c r="T86" s="58">
        <v>60873.37</v>
      </c>
      <c r="U86" s="57">
        <v>0</v>
      </c>
    </row>
    <row r="87" spans="2:21" outlineLevel="1" x14ac:dyDescent="0.25">
      <c r="B87" s="56" t="s">
        <v>504</v>
      </c>
      <c r="C87" s="58">
        <v>60873.37</v>
      </c>
      <c r="D87" s="58">
        <v>60873.37</v>
      </c>
      <c r="E87" s="58">
        <v>60873.38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8">
        <v>182620.12</v>
      </c>
      <c r="P87" s="57">
        <v>0</v>
      </c>
      <c r="Q87" s="58">
        <v>-182620.12</v>
      </c>
      <c r="R87" s="57">
        <v>0</v>
      </c>
      <c r="S87" s="57">
        <v>0</v>
      </c>
      <c r="T87" s="57">
        <v>0</v>
      </c>
      <c r="U87" s="57">
        <v>0</v>
      </c>
    </row>
    <row r="88" spans="2:21" x14ac:dyDescent="0.25">
      <c r="B88" s="53" t="s">
        <v>414</v>
      </c>
      <c r="C88" s="54">
        <v>60873.37</v>
      </c>
      <c r="D88" s="54">
        <v>60873.37</v>
      </c>
      <c r="E88" s="54">
        <v>60873.38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4">
        <v>182620.12</v>
      </c>
      <c r="P88" s="54">
        <v>182620.11</v>
      </c>
      <c r="Q88" s="54">
        <v>-0.01</v>
      </c>
      <c r="R88" s="54">
        <v>730480.44</v>
      </c>
      <c r="S88" s="55">
        <v>0</v>
      </c>
      <c r="T88" s="54">
        <v>60873.37</v>
      </c>
      <c r="U88" s="55">
        <v>0</v>
      </c>
    </row>
    <row r="89" spans="2:21" x14ac:dyDescent="0.25">
      <c r="B89" s="53" t="s">
        <v>428</v>
      </c>
      <c r="C89" s="54">
        <v>12563.92</v>
      </c>
      <c r="D89" s="54">
        <v>11348.06</v>
      </c>
      <c r="E89" s="54">
        <v>12471.38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5">
        <v>0</v>
      </c>
      <c r="M89" s="55">
        <v>0</v>
      </c>
      <c r="N89" s="55">
        <v>0</v>
      </c>
      <c r="O89" s="54">
        <v>36383.360000000001</v>
      </c>
      <c r="P89" s="54">
        <v>35778.06</v>
      </c>
      <c r="Q89" s="54">
        <v>-605.29999999999995</v>
      </c>
      <c r="R89" s="54">
        <v>145895.26999999999</v>
      </c>
      <c r="S89" s="54">
        <v>-1.6918</v>
      </c>
      <c r="T89" s="54">
        <v>12296.06</v>
      </c>
      <c r="U89" s="55">
        <v>0</v>
      </c>
    </row>
    <row r="90" spans="2:21" outlineLevel="1" x14ac:dyDescent="0.25">
      <c r="B90" s="56" t="s">
        <v>505</v>
      </c>
      <c r="C90" s="58">
        <v>7900.31</v>
      </c>
      <c r="D90" s="58">
        <v>7135.77</v>
      </c>
      <c r="E90" s="58">
        <v>7900.31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8">
        <v>22936.39</v>
      </c>
      <c r="P90" s="58">
        <v>22311.439999999999</v>
      </c>
      <c r="Q90" s="58">
        <v>-624.95000000000005</v>
      </c>
      <c r="R90" s="58">
        <v>91483.9</v>
      </c>
      <c r="S90" s="58">
        <v>-2.8010000000000002</v>
      </c>
      <c r="T90" s="58">
        <v>7685.05</v>
      </c>
      <c r="U90" s="57">
        <v>0</v>
      </c>
    </row>
    <row r="91" spans="2:21" x14ac:dyDescent="0.25">
      <c r="B91" s="53" t="s">
        <v>429</v>
      </c>
      <c r="C91" s="54">
        <v>7900.31</v>
      </c>
      <c r="D91" s="54">
        <v>7135.77</v>
      </c>
      <c r="E91" s="54">
        <v>7900.31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4">
        <v>22936.39</v>
      </c>
      <c r="P91" s="54">
        <v>22311.439999999999</v>
      </c>
      <c r="Q91" s="54">
        <v>-624.95000000000005</v>
      </c>
      <c r="R91" s="54">
        <v>91483.9</v>
      </c>
      <c r="S91" s="54">
        <v>-2.8010000000000002</v>
      </c>
      <c r="T91" s="54">
        <v>7685.05</v>
      </c>
      <c r="U91" s="55">
        <v>0</v>
      </c>
    </row>
    <row r="92" spans="2:21" outlineLevel="1" x14ac:dyDescent="0.25">
      <c r="B92" s="56" t="s">
        <v>430</v>
      </c>
      <c r="C92" s="58">
        <v>3843.69</v>
      </c>
      <c r="D92" s="58">
        <v>3471.71</v>
      </c>
      <c r="E92" s="58">
        <v>3751.15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8">
        <v>11066.55</v>
      </c>
      <c r="P92" s="58">
        <v>11086.18</v>
      </c>
      <c r="Q92" s="58">
        <v>19.63</v>
      </c>
      <c r="R92" s="58">
        <v>44716.7</v>
      </c>
      <c r="S92" s="58">
        <v>0.17710000000000001</v>
      </c>
      <c r="T92" s="58">
        <v>3791.08</v>
      </c>
      <c r="U92" s="57">
        <v>0</v>
      </c>
    </row>
    <row r="93" spans="2:21" x14ac:dyDescent="0.25">
      <c r="B93" s="53" t="s">
        <v>431</v>
      </c>
      <c r="C93" s="54">
        <v>3843.69</v>
      </c>
      <c r="D93" s="54">
        <v>3471.71</v>
      </c>
      <c r="E93" s="54">
        <v>3751.15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5">
        <v>0</v>
      </c>
      <c r="N93" s="55">
        <v>0</v>
      </c>
      <c r="O93" s="54">
        <v>11066.55</v>
      </c>
      <c r="P93" s="54">
        <v>11086.18</v>
      </c>
      <c r="Q93" s="54">
        <v>19.63</v>
      </c>
      <c r="R93" s="54">
        <v>44716.7</v>
      </c>
      <c r="S93" s="54">
        <v>0.17710000000000001</v>
      </c>
      <c r="T93" s="54">
        <v>3791.08</v>
      </c>
      <c r="U93" s="55">
        <v>0</v>
      </c>
    </row>
    <row r="94" spans="2:21" outlineLevel="1" x14ac:dyDescent="0.25">
      <c r="B94" s="56" t="s">
        <v>506</v>
      </c>
      <c r="C94" s="58">
        <v>819.92</v>
      </c>
      <c r="D94" s="58">
        <v>740.58</v>
      </c>
      <c r="E94" s="58">
        <v>819.92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8">
        <v>2380.42</v>
      </c>
      <c r="P94" s="58">
        <v>2380.44</v>
      </c>
      <c r="Q94" s="58">
        <v>0.02</v>
      </c>
      <c r="R94" s="58">
        <v>9694.67</v>
      </c>
      <c r="S94" s="58">
        <v>8.0000000000000004E-4</v>
      </c>
      <c r="T94" s="58">
        <v>819.93</v>
      </c>
      <c r="U94" s="57">
        <v>0</v>
      </c>
    </row>
    <row r="95" spans="2:21" x14ac:dyDescent="0.25">
      <c r="B95" s="53" t="s">
        <v>432</v>
      </c>
      <c r="C95" s="54">
        <v>819.92</v>
      </c>
      <c r="D95" s="54">
        <v>740.58</v>
      </c>
      <c r="E95" s="54">
        <v>819.92</v>
      </c>
      <c r="F95" s="55">
        <v>0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4">
        <v>2380.42</v>
      </c>
      <c r="P95" s="54">
        <v>2380.44</v>
      </c>
      <c r="Q95" s="54">
        <v>0.02</v>
      </c>
      <c r="R95" s="54">
        <v>9694.67</v>
      </c>
      <c r="S95" s="54">
        <v>8.0000000000000004E-4</v>
      </c>
      <c r="T95" s="54">
        <v>819.93</v>
      </c>
      <c r="U95" s="55">
        <v>0</v>
      </c>
    </row>
    <row r="96" spans="2:21" x14ac:dyDescent="0.25">
      <c r="B96" s="53" t="s">
        <v>433</v>
      </c>
      <c r="C96" s="54">
        <v>257655.46</v>
      </c>
      <c r="D96" s="54">
        <v>363867.56</v>
      </c>
      <c r="E96" s="54">
        <v>317744.82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4">
        <v>939267.84</v>
      </c>
      <c r="P96" s="54">
        <v>986465.56</v>
      </c>
      <c r="Q96" s="54">
        <v>47197.72</v>
      </c>
      <c r="R96" s="54">
        <v>3964889.19</v>
      </c>
      <c r="S96" s="54">
        <v>4.7845000000000004</v>
      </c>
      <c r="T96" s="54">
        <v>315111.02</v>
      </c>
      <c r="U96" s="55">
        <v>0</v>
      </c>
    </row>
    <row r="97" spans="2:21" x14ac:dyDescent="0.25">
      <c r="B97" s="53" t="s">
        <v>434</v>
      </c>
      <c r="C97" s="54">
        <v>-179906.61</v>
      </c>
      <c r="D97" s="54">
        <v>-521186.26</v>
      </c>
      <c r="E97" s="54">
        <v>-671368.56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4">
        <v>-1372461.43</v>
      </c>
      <c r="P97" s="54">
        <v>-1043180.62</v>
      </c>
      <c r="Q97" s="54">
        <v>329280.81</v>
      </c>
      <c r="R97" s="54">
        <v>-4465230.0599999996</v>
      </c>
      <c r="S97" s="54">
        <v>-31.565100000000001</v>
      </c>
      <c r="T97" s="54">
        <v>-403481.9</v>
      </c>
      <c r="U97" s="55">
        <v>0</v>
      </c>
    </row>
    <row r="98" spans="2:21" outlineLevel="1" x14ac:dyDescent="0.25">
      <c r="B98" s="56" t="s">
        <v>507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8">
        <v>87704.85</v>
      </c>
      <c r="Q98" s="58">
        <v>87704.85</v>
      </c>
      <c r="R98" s="58">
        <v>350819.4</v>
      </c>
      <c r="S98" s="58">
        <v>100</v>
      </c>
      <c r="T98" s="58">
        <v>29234.95</v>
      </c>
      <c r="U98" s="57">
        <v>0</v>
      </c>
    </row>
    <row r="99" spans="2:21" outlineLevel="1" x14ac:dyDescent="0.25">
      <c r="B99" s="56" t="s">
        <v>508</v>
      </c>
      <c r="C99" s="58">
        <v>18651.12</v>
      </c>
      <c r="D99" s="58">
        <v>18651.12</v>
      </c>
      <c r="E99" s="58">
        <v>18651.12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8">
        <v>55953.36</v>
      </c>
      <c r="P99" s="57">
        <v>0</v>
      </c>
      <c r="Q99" s="58">
        <v>-55953.36</v>
      </c>
      <c r="R99" s="57">
        <v>0</v>
      </c>
      <c r="S99" s="57">
        <v>0</v>
      </c>
      <c r="T99" s="57">
        <v>0</v>
      </c>
      <c r="U99" s="57">
        <v>0</v>
      </c>
    </row>
    <row r="100" spans="2:21" outlineLevel="1" x14ac:dyDescent="0.25">
      <c r="B100" s="56" t="s">
        <v>509</v>
      </c>
      <c r="C100" s="58">
        <v>18.36</v>
      </c>
      <c r="D100" s="58">
        <v>18.36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8">
        <v>36.72</v>
      </c>
      <c r="P100" s="57">
        <v>0</v>
      </c>
      <c r="Q100" s="58">
        <v>-36.72</v>
      </c>
      <c r="R100" s="57">
        <v>0</v>
      </c>
      <c r="S100" s="57">
        <v>0</v>
      </c>
      <c r="T100" s="57">
        <v>0</v>
      </c>
      <c r="U100" s="57">
        <v>0</v>
      </c>
    </row>
    <row r="101" spans="2:21" outlineLevel="1" x14ac:dyDescent="0.25">
      <c r="B101" s="56" t="s">
        <v>510</v>
      </c>
      <c r="C101" s="58">
        <v>277.07</v>
      </c>
      <c r="D101" s="58">
        <v>277.11</v>
      </c>
      <c r="E101" s="58">
        <v>277.08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8">
        <v>831.26</v>
      </c>
      <c r="P101" s="57">
        <v>0</v>
      </c>
      <c r="Q101" s="58">
        <v>-831.26</v>
      </c>
      <c r="R101" s="57">
        <v>0</v>
      </c>
      <c r="S101" s="57">
        <v>0</v>
      </c>
      <c r="T101" s="57">
        <v>0</v>
      </c>
      <c r="U101" s="57">
        <v>0</v>
      </c>
    </row>
    <row r="102" spans="2:21" outlineLevel="1" x14ac:dyDescent="0.25">
      <c r="B102" s="56" t="s">
        <v>511</v>
      </c>
      <c r="C102" s="58">
        <v>151.93</v>
      </c>
      <c r="D102" s="58">
        <v>151.93</v>
      </c>
      <c r="E102" s="58">
        <v>151.93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8">
        <v>455.79</v>
      </c>
      <c r="P102" s="57">
        <v>0</v>
      </c>
      <c r="Q102" s="58">
        <v>-455.79</v>
      </c>
      <c r="R102" s="57">
        <v>0</v>
      </c>
      <c r="S102" s="57">
        <v>0</v>
      </c>
      <c r="T102" s="57">
        <v>0</v>
      </c>
      <c r="U102" s="57">
        <v>0</v>
      </c>
    </row>
    <row r="103" spans="2:21" outlineLevel="1" x14ac:dyDescent="0.25">
      <c r="B103" s="56" t="s">
        <v>512</v>
      </c>
      <c r="C103" s="58">
        <v>10369.030000000001</v>
      </c>
      <c r="D103" s="58">
        <v>10175.23</v>
      </c>
      <c r="E103" s="58">
        <v>10193.76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8">
        <v>30738.02</v>
      </c>
      <c r="P103" s="57">
        <v>0</v>
      </c>
      <c r="Q103" s="58">
        <v>-30738.02</v>
      </c>
      <c r="R103" s="57">
        <v>0</v>
      </c>
      <c r="S103" s="57">
        <v>0</v>
      </c>
      <c r="T103" s="57">
        <v>0</v>
      </c>
      <c r="U103" s="57">
        <v>0</v>
      </c>
    </row>
    <row r="104" spans="2:21" outlineLevel="1" x14ac:dyDescent="0.25">
      <c r="B104" s="56" t="s">
        <v>513</v>
      </c>
      <c r="C104" s="58">
        <v>328.29</v>
      </c>
      <c r="D104" s="58">
        <v>328.29</v>
      </c>
      <c r="E104" s="58">
        <v>328.3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8">
        <v>984.88</v>
      </c>
      <c r="P104" s="57">
        <v>0</v>
      </c>
      <c r="Q104" s="58">
        <v>-984.88</v>
      </c>
      <c r="R104" s="57">
        <v>0</v>
      </c>
      <c r="S104" s="57">
        <v>0</v>
      </c>
      <c r="T104" s="57">
        <v>0</v>
      </c>
      <c r="U104" s="57">
        <v>0</v>
      </c>
    </row>
    <row r="105" spans="2:21" x14ac:dyDescent="0.25">
      <c r="B105" s="53" t="s">
        <v>435</v>
      </c>
      <c r="C105" s="54">
        <v>29795.8</v>
      </c>
      <c r="D105" s="54">
        <v>29602.04</v>
      </c>
      <c r="E105" s="54">
        <v>29602.19</v>
      </c>
      <c r="F105" s="55">
        <v>0</v>
      </c>
      <c r="G105" s="55">
        <v>0</v>
      </c>
      <c r="H105" s="55">
        <v>0</v>
      </c>
      <c r="I105" s="55">
        <v>0</v>
      </c>
      <c r="J105" s="55">
        <v>0</v>
      </c>
      <c r="K105" s="55">
        <v>0</v>
      </c>
      <c r="L105" s="55">
        <v>0</v>
      </c>
      <c r="M105" s="55">
        <v>0</v>
      </c>
      <c r="N105" s="55">
        <v>0</v>
      </c>
      <c r="O105" s="54">
        <v>89000.03</v>
      </c>
      <c r="P105" s="54">
        <v>87704.85</v>
      </c>
      <c r="Q105" s="54">
        <v>-1295.18</v>
      </c>
      <c r="R105" s="54">
        <v>350819.4</v>
      </c>
      <c r="S105" s="54">
        <v>-1.4766999999999999</v>
      </c>
      <c r="T105" s="54">
        <v>29234.95</v>
      </c>
      <c r="U105" s="55">
        <v>0</v>
      </c>
    </row>
    <row r="106" spans="2:21" x14ac:dyDescent="0.25">
      <c r="B106" s="53" t="s">
        <v>436</v>
      </c>
      <c r="C106" s="54">
        <v>1023.61</v>
      </c>
      <c r="D106" s="54">
        <v>571.47</v>
      </c>
      <c r="E106" s="54">
        <v>634.51</v>
      </c>
      <c r="F106" s="55">
        <v>0</v>
      </c>
      <c r="G106" s="55">
        <v>0</v>
      </c>
      <c r="H106" s="55">
        <v>0</v>
      </c>
      <c r="I106" s="55">
        <v>0</v>
      </c>
      <c r="J106" s="55">
        <v>0</v>
      </c>
      <c r="K106" s="55">
        <v>0</v>
      </c>
      <c r="L106" s="55">
        <v>0</v>
      </c>
      <c r="M106" s="55">
        <v>0</v>
      </c>
      <c r="N106" s="55">
        <v>0</v>
      </c>
      <c r="O106" s="54">
        <v>2229.59</v>
      </c>
      <c r="P106" s="54">
        <v>2790.66</v>
      </c>
      <c r="Q106" s="54">
        <v>561.07000000000005</v>
      </c>
      <c r="R106" s="54">
        <v>11162.64</v>
      </c>
      <c r="S106" s="54">
        <v>20.1053</v>
      </c>
      <c r="T106" s="54">
        <v>930.22</v>
      </c>
      <c r="U106" s="55">
        <v>0</v>
      </c>
    </row>
    <row r="107" spans="2:21" outlineLevel="1" x14ac:dyDescent="0.25">
      <c r="B107" s="56" t="s">
        <v>514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8">
        <v>2790.66</v>
      </c>
      <c r="Q107" s="58">
        <v>2790.66</v>
      </c>
      <c r="R107" s="58">
        <v>11162.64</v>
      </c>
      <c r="S107" s="58">
        <v>100</v>
      </c>
      <c r="T107" s="58">
        <v>930.22</v>
      </c>
      <c r="U107" s="57">
        <v>0</v>
      </c>
    </row>
    <row r="108" spans="2:21" outlineLevel="1" x14ac:dyDescent="0.25">
      <c r="B108" s="56" t="s">
        <v>515</v>
      </c>
      <c r="C108" s="58">
        <v>330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7">
        <v>0</v>
      </c>
      <c r="M108" s="57">
        <v>0</v>
      </c>
      <c r="N108" s="57">
        <v>0</v>
      </c>
      <c r="O108" s="58">
        <v>330</v>
      </c>
      <c r="P108" s="57">
        <v>0</v>
      </c>
      <c r="Q108" s="58">
        <v>-330</v>
      </c>
      <c r="R108" s="57">
        <v>0</v>
      </c>
      <c r="S108" s="57">
        <v>0</v>
      </c>
      <c r="T108" s="57">
        <v>0</v>
      </c>
      <c r="U108" s="57">
        <v>0</v>
      </c>
    </row>
    <row r="109" spans="2:21" outlineLevel="1" x14ac:dyDescent="0.25">
      <c r="B109" s="56" t="s">
        <v>437</v>
      </c>
      <c r="C109" s="58">
        <v>569.70000000000005</v>
      </c>
      <c r="D109" s="58">
        <v>571.47</v>
      </c>
      <c r="E109" s="58">
        <v>634.51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7">
        <v>0</v>
      </c>
      <c r="M109" s="57">
        <v>0</v>
      </c>
      <c r="N109" s="57">
        <v>0</v>
      </c>
      <c r="O109" s="58">
        <v>1775.68</v>
      </c>
      <c r="P109" s="57">
        <v>0</v>
      </c>
      <c r="Q109" s="58">
        <v>-1775.68</v>
      </c>
      <c r="R109" s="57">
        <v>0</v>
      </c>
      <c r="S109" s="57">
        <v>0</v>
      </c>
      <c r="T109" s="57">
        <v>0</v>
      </c>
      <c r="U109" s="57">
        <v>0</v>
      </c>
    </row>
    <row r="110" spans="2:21" outlineLevel="1" x14ac:dyDescent="0.25">
      <c r="B110" s="56" t="s">
        <v>516</v>
      </c>
      <c r="C110" s="58">
        <v>26.91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7">
        <v>0</v>
      </c>
      <c r="M110" s="57">
        <v>0</v>
      </c>
      <c r="N110" s="57">
        <v>0</v>
      </c>
      <c r="O110" s="58">
        <v>26.91</v>
      </c>
      <c r="P110" s="57">
        <v>0</v>
      </c>
      <c r="Q110" s="58">
        <v>-26.91</v>
      </c>
      <c r="R110" s="57">
        <v>0</v>
      </c>
      <c r="S110" s="57">
        <v>0</v>
      </c>
      <c r="T110" s="57">
        <v>0</v>
      </c>
      <c r="U110" s="57">
        <v>0</v>
      </c>
    </row>
    <row r="111" spans="2:21" x14ac:dyDescent="0.25">
      <c r="B111" s="53" t="s">
        <v>438</v>
      </c>
      <c r="C111" s="54">
        <v>926.61</v>
      </c>
      <c r="D111" s="54">
        <v>571.47</v>
      </c>
      <c r="E111" s="54">
        <v>634.51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4">
        <v>2132.59</v>
      </c>
      <c r="P111" s="54">
        <v>2790.66</v>
      </c>
      <c r="Q111" s="54">
        <v>658.07</v>
      </c>
      <c r="R111" s="54">
        <v>11162.64</v>
      </c>
      <c r="S111" s="54">
        <v>23.581199999999999</v>
      </c>
      <c r="T111" s="54">
        <v>930.22</v>
      </c>
      <c r="U111" s="55">
        <v>0</v>
      </c>
    </row>
    <row r="112" spans="2:21" outlineLevel="1" x14ac:dyDescent="0.25">
      <c r="B112" s="56" t="s">
        <v>526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7">
        <v>0</v>
      </c>
      <c r="P112" s="57">
        <v>0</v>
      </c>
      <c r="Q112" s="57">
        <v>0</v>
      </c>
      <c r="R112" s="57">
        <v>0</v>
      </c>
      <c r="S112" s="57">
        <v>0</v>
      </c>
      <c r="T112" s="57">
        <v>0</v>
      </c>
      <c r="U112" s="57">
        <v>0</v>
      </c>
    </row>
    <row r="113" spans="2:21" x14ac:dyDescent="0.25">
      <c r="B113" s="53" t="s">
        <v>518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0</v>
      </c>
      <c r="R113" s="55">
        <v>0</v>
      </c>
      <c r="S113" s="55">
        <v>0</v>
      </c>
      <c r="T113" s="55">
        <v>0</v>
      </c>
      <c r="U113" s="55">
        <v>0</v>
      </c>
    </row>
    <row r="114" spans="2:21" outlineLevel="1" x14ac:dyDescent="0.25">
      <c r="B114" s="56" t="s">
        <v>439</v>
      </c>
      <c r="C114" s="58">
        <v>97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8">
        <v>97</v>
      </c>
      <c r="P114" s="57">
        <v>0</v>
      </c>
      <c r="Q114" s="58">
        <v>-97</v>
      </c>
      <c r="R114" s="57">
        <v>0</v>
      </c>
      <c r="S114" s="57">
        <v>0</v>
      </c>
      <c r="T114" s="57">
        <v>0</v>
      </c>
      <c r="U114" s="57">
        <v>0</v>
      </c>
    </row>
    <row r="115" spans="2:21" x14ac:dyDescent="0.25">
      <c r="B115" s="53" t="s">
        <v>440</v>
      </c>
      <c r="C115" s="54">
        <v>97</v>
      </c>
      <c r="D115" s="55">
        <v>0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4">
        <v>97</v>
      </c>
      <c r="P115" s="55">
        <v>0</v>
      </c>
      <c r="Q115" s="54">
        <v>-97</v>
      </c>
      <c r="R115" s="55">
        <v>0</v>
      </c>
      <c r="S115" s="55">
        <v>0</v>
      </c>
      <c r="T115" s="55">
        <v>0</v>
      </c>
      <c r="U115" s="55">
        <v>0</v>
      </c>
    </row>
    <row r="116" spans="2:21" x14ac:dyDescent="0.25">
      <c r="B116" s="53" t="s">
        <v>441</v>
      </c>
      <c r="C116" s="54">
        <v>-149087.20000000001</v>
      </c>
      <c r="D116" s="54">
        <v>-491012.75</v>
      </c>
      <c r="E116" s="54">
        <v>-641131.86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4">
        <v>-1281231.81</v>
      </c>
      <c r="P116" s="54">
        <v>-952685.11</v>
      </c>
      <c r="Q116" s="54">
        <v>328546.7</v>
      </c>
      <c r="R116" s="54">
        <v>-4103248.02</v>
      </c>
      <c r="S116" s="54">
        <v>-34.486400000000003</v>
      </c>
      <c r="T116" s="54">
        <v>-373316.73</v>
      </c>
      <c r="U116" s="55">
        <v>0</v>
      </c>
    </row>
    <row r="117" spans="2:21" x14ac:dyDescent="0.25">
      <c r="B117" s="53" t="s">
        <v>442</v>
      </c>
      <c r="C117" s="55">
        <v>0</v>
      </c>
      <c r="D117" s="55">
        <v>0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>
        <v>0</v>
      </c>
      <c r="K117" s="55">
        <v>0</v>
      </c>
      <c r="L117" s="55">
        <v>0</v>
      </c>
      <c r="M117" s="55">
        <v>0</v>
      </c>
      <c r="N117" s="55">
        <v>0</v>
      </c>
      <c r="O117" s="55">
        <v>0</v>
      </c>
      <c r="P117" s="55">
        <v>0</v>
      </c>
      <c r="Q117" s="55">
        <v>0</v>
      </c>
      <c r="R117" s="55">
        <v>0</v>
      </c>
      <c r="S117" s="55">
        <v>0</v>
      </c>
      <c r="T117" s="55">
        <v>0</v>
      </c>
      <c r="U117" s="55">
        <v>0</v>
      </c>
    </row>
    <row r="118" spans="2:21" x14ac:dyDescent="0.25">
      <c r="B118" s="53" t="s">
        <v>443</v>
      </c>
      <c r="C118" s="55">
        <v>0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5">
        <v>0</v>
      </c>
      <c r="P118" s="55">
        <v>0</v>
      </c>
      <c r="Q118" s="55">
        <v>0</v>
      </c>
      <c r="R118" s="55">
        <v>0</v>
      </c>
      <c r="S118" s="55">
        <v>0</v>
      </c>
      <c r="T118" s="55">
        <v>0</v>
      </c>
      <c r="U118" s="55">
        <v>0</v>
      </c>
    </row>
    <row r="119" spans="2:21" x14ac:dyDescent="0.25">
      <c r="B119" s="53" t="s">
        <v>444</v>
      </c>
      <c r="C119" s="55">
        <v>0</v>
      </c>
      <c r="D119" s="55">
        <v>0</v>
      </c>
      <c r="E119" s="55">
        <v>0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5">
        <v>0</v>
      </c>
      <c r="P119" s="55">
        <v>0</v>
      </c>
      <c r="Q119" s="55">
        <v>0</v>
      </c>
      <c r="R119" s="55">
        <v>0</v>
      </c>
      <c r="S119" s="55">
        <v>0</v>
      </c>
      <c r="T119" s="55">
        <v>0</v>
      </c>
      <c r="U119" s="55">
        <v>0</v>
      </c>
    </row>
    <row r="120" spans="2:21" x14ac:dyDescent="0.25">
      <c r="B120" s="53" t="s">
        <v>445</v>
      </c>
      <c r="C120" s="54">
        <v>-149087.20000000001</v>
      </c>
      <c r="D120" s="54">
        <v>-491012.75</v>
      </c>
      <c r="E120" s="54">
        <v>-641131.86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4">
        <v>-1281231.81</v>
      </c>
      <c r="P120" s="54">
        <v>-952685.11</v>
      </c>
      <c r="Q120" s="54">
        <v>328546.7</v>
      </c>
      <c r="R120" s="54">
        <v>-4103248.02</v>
      </c>
      <c r="S120" s="54">
        <v>-34.486400000000003</v>
      </c>
      <c r="T120" s="54">
        <v>-373316.73</v>
      </c>
      <c r="U120" s="55">
        <v>0</v>
      </c>
    </row>
    <row r="121" spans="2:21" x14ac:dyDescent="0.25">
      <c r="B121" s="53" t="s">
        <v>604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0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55">
        <v>0</v>
      </c>
    </row>
    <row r="122" spans="2:21" x14ac:dyDescent="0.25">
      <c r="B122" s="59" t="s">
        <v>521</v>
      </c>
      <c r="C122" s="60">
        <v>-149087.20000000001</v>
      </c>
      <c r="D122" s="60">
        <v>-491012.75</v>
      </c>
      <c r="E122" s="60">
        <v>-641131.86</v>
      </c>
      <c r="F122" s="61">
        <v>0</v>
      </c>
      <c r="G122" s="61">
        <v>0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0">
        <v>-1281231.81</v>
      </c>
      <c r="P122" s="60">
        <v>-952685.11</v>
      </c>
      <c r="Q122" s="60">
        <v>328546.7</v>
      </c>
      <c r="R122" s="60">
        <v>-4103248.02</v>
      </c>
      <c r="S122" s="60">
        <v>-34.486400000000003</v>
      </c>
      <c r="T122" s="60">
        <v>-373316.73</v>
      </c>
      <c r="U122" s="61">
        <v>0</v>
      </c>
    </row>
    <row r="123" spans="2:21" x14ac:dyDescent="0.25">
      <c r="B123" s="53" t="s">
        <v>522</v>
      </c>
      <c r="C123" s="54">
        <v>14114.905500000001</v>
      </c>
      <c r="D123" s="54">
        <v>31609.064999999999</v>
      </c>
      <c r="E123" s="54">
        <v>31906.8832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4">
        <v>77630.853700000007</v>
      </c>
      <c r="P123" s="54">
        <v>22551.624199999998</v>
      </c>
      <c r="Q123" s="54">
        <v>-55079.229500000001</v>
      </c>
      <c r="R123" s="54">
        <v>23096.217100000002</v>
      </c>
      <c r="S123" s="54">
        <v>-244.2362</v>
      </c>
      <c r="T123" s="54">
        <v>23180.416799999999</v>
      </c>
      <c r="U123" s="55">
        <v>0</v>
      </c>
    </row>
    <row r="124" spans="2:21" x14ac:dyDescent="0.25">
      <c r="B124" s="53" t="s">
        <v>446</v>
      </c>
      <c r="C124" s="54">
        <v>-8311.4665000000005</v>
      </c>
      <c r="D124" s="54">
        <v>-12995.27</v>
      </c>
      <c r="E124" s="54">
        <v>-10249.832899999999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4">
        <v>-31556.5694</v>
      </c>
      <c r="P124" s="54">
        <v>-10960.7284</v>
      </c>
      <c r="Q124" s="54">
        <v>20595.841</v>
      </c>
      <c r="R124" s="54">
        <v>-10862.7101</v>
      </c>
      <c r="S124" s="54">
        <v>-187.9058</v>
      </c>
      <c r="T124" s="54">
        <v>-10164.8716</v>
      </c>
      <c r="U124" s="55">
        <v>0</v>
      </c>
    </row>
    <row r="125" spans="2:21" x14ac:dyDescent="0.25">
      <c r="B125" s="53" t="s">
        <v>447</v>
      </c>
      <c r="C125" s="54">
        <v>-6347.8094000000001</v>
      </c>
      <c r="D125" s="54">
        <v>-10821.221100000001</v>
      </c>
      <c r="E125" s="54">
        <v>-8286.1754999999994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4">
        <v>-25455.205999999998</v>
      </c>
      <c r="P125" s="54">
        <v>-8931.6160999999993</v>
      </c>
      <c r="Q125" s="54">
        <v>16523.589899999999</v>
      </c>
      <c r="R125" s="54">
        <v>-8861.3937999999998</v>
      </c>
      <c r="S125" s="54">
        <v>-185.00110000000001</v>
      </c>
      <c r="T125" s="54">
        <v>-8201.2145</v>
      </c>
      <c r="U125" s="55">
        <v>0</v>
      </c>
    </row>
    <row r="126" spans="2:21" x14ac:dyDescent="0.25">
      <c r="B126" s="53" t="s">
        <v>448</v>
      </c>
      <c r="C126" s="54">
        <v>4809.2645000000002</v>
      </c>
      <c r="D126" s="54">
        <v>17536.169600000001</v>
      </c>
      <c r="E126" s="54">
        <v>20681.672900000001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5">
        <v>0</v>
      </c>
      <c r="M126" s="55">
        <v>0</v>
      </c>
      <c r="N126" s="55">
        <v>0</v>
      </c>
      <c r="O126" s="54">
        <v>43027.107000000004</v>
      </c>
      <c r="P126" s="54">
        <v>10585.390100000001</v>
      </c>
      <c r="Q126" s="54">
        <v>-32441.716899999999</v>
      </c>
      <c r="R126" s="54">
        <v>11241.7754</v>
      </c>
      <c r="S126" s="54">
        <v>-306.47629999999998</v>
      </c>
      <c r="T126" s="54">
        <v>12042.475200000001</v>
      </c>
      <c r="U126" s="55">
        <v>0</v>
      </c>
    </row>
    <row r="127" spans="2:21" x14ac:dyDescent="0.25">
      <c r="B127" s="56" t="s">
        <v>523</v>
      </c>
      <c r="C127" s="58">
        <v>-31</v>
      </c>
      <c r="D127" s="58">
        <v>-28</v>
      </c>
      <c r="E127" s="58">
        <v>-31</v>
      </c>
      <c r="F127" s="57">
        <v>0</v>
      </c>
      <c r="G127" s="57">
        <v>0</v>
      </c>
      <c r="H127" s="57">
        <v>0</v>
      </c>
      <c r="I127" s="57">
        <v>0</v>
      </c>
      <c r="J127" s="57">
        <v>0</v>
      </c>
      <c r="K127" s="57">
        <v>0</v>
      </c>
      <c r="L127" s="57">
        <v>0</v>
      </c>
      <c r="M127" s="57">
        <v>0</v>
      </c>
      <c r="N127" s="57">
        <v>0</v>
      </c>
      <c r="O127" s="58">
        <v>-90</v>
      </c>
      <c r="P127" s="58">
        <v>-90</v>
      </c>
      <c r="Q127" s="57">
        <v>0</v>
      </c>
      <c r="R127" s="58">
        <v>-365</v>
      </c>
      <c r="S127" s="57">
        <v>0</v>
      </c>
      <c r="T127" s="58">
        <v>-31</v>
      </c>
      <c r="U127" s="57">
        <v>0</v>
      </c>
    </row>
    <row r="128" spans="2:21" x14ac:dyDescent="0.25">
      <c r="B128" s="56" t="s">
        <v>524</v>
      </c>
      <c r="C128" s="58">
        <v>-31</v>
      </c>
      <c r="D128" s="58">
        <v>-28</v>
      </c>
      <c r="E128" s="58">
        <v>-31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8">
        <v>-90</v>
      </c>
      <c r="P128" s="58">
        <v>-90</v>
      </c>
      <c r="Q128" s="57">
        <v>0</v>
      </c>
      <c r="R128" s="58">
        <v>-365</v>
      </c>
      <c r="S128" s="57">
        <v>0</v>
      </c>
      <c r="T128" s="58">
        <v>-31</v>
      </c>
      <c r="U128" s="57">
        <v>0</v>
      </c>
    </row>
    <row r="129" spans="2:21" x14ac:dyDescent="0.25">
      <c r="B129" s="56" t="s">
        <v>449</v>
      </c>
      <c r="C129" s="58">
        <v>-1</v>
      </c>
      <c r="D129" s="58">
        <v>-4</v>
      </c>
      <c r="E129" s="58">
        <v>-4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0</v>
      </c>
      <c r="L129" s="57">
        <v>0</v>
      </c>
      <c r="M129" s="57">
        <v>0</v>
      </c>
      <c r="N129" s="57">
        <v>0</v>
      </c>
      <c r="O129" s="58">
        <v>-9</v>
      </c>
      <c r="P129" s="57">
        <v>0</v>
      </c>
      <c r="Q129" s="58">
        <v>9</v>
      </c>
      <c r="R129" s="57">
        <v>0</v>
      </c>
      <c r="S129" s="57">
        <v>0</v>
      </c>
      <c r="T129" s="57">
        <v>0</v>
      </c>
      <c r="U129" s="57">
        <v>0</v>
      </c>
    </row>
    <row r="130" spans="2:21" x14ac:dyDescent="0.25">
      <c r="B130" s="59" t="s">
        <v>450</v>
      </c>
      <c r="C130" s="60">
        <v>-239756.37</v>
      </c>
      <c r="D130" s="60">
        <v>-581488.16</v>
      </c>
      <c r="E130" s="60">
        <v>-731607.43</v>
      </c>
      <c r="F130" s="61">
        <v>0</v>
      </c>
      <c r="G130" s="61">
        <v>0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0">
        <v>-1552851.96</v>
      </c>
      <c r="P130" s="60">
        <v>-1223010.07</v>
      </c>
      <c r="Q130" s="60">
        <v>329841.89</v>
      </c>
      <c r="R130" s="60">
        <v>-5184547.8600000003</v>
      </c>
      <c r="S130" s="60">
        <v>-26.9697</v>
      </c>
      <c r="T130" s="60">
        <v>-463425.05</v>
      </c>
      <c r="U130" s="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763D-A9A5-454C-8D68-1830A39CBAFA}">
  <sheetPr codeName="Hoja6"/>
  <dimension ref="B2:U141"/>
  <sheetViews>
    <sheetView workbookViewId="0">
      <selection sqref="A1:U141"/>
    </sheetView>
  </sheetViews>
  <sheetFormatPr baseColWidth="10" defaultRowHeight="13.2" x14ac:dyDescent="0.25"/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4">
        <v>-8089557.1799999997</v>
      </c>
      <c r="M3" s="54">
        <v>-843919.19</v>
      </c>
      <c r="N3" s="55">
        <v>0</v>
      </c>
      <c r="O3" s="54">
        <v>-8933476.3699999992</v>
      </c>
      <c r="P3" s="54">
        <v>-8835050.9100000001</v>
      </c>
      <c r="Q3" s="54">
        <v>98425.46</v>
      </c>
      <c r="R3" s="54">
        <v>-9405058.7200000007</v>
      </c>
      <c r="S3" s="54">
        <v>-1.1140000000000001</v>
      </c>
      <c r="T3" s="54">
        <v>-854357.81</v>
      </c>
      <c r="U3" s="55">
        <v>0</v>
      </c>
    </row>
    <row r="4" spans="2:21" x14ac:dyDescent="0.25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-7294890</v>
      </c>
      <c r="Q4" s="58">
        <v>-7294890</v>
      </c>
      <c r="R4" s="58">
        <v>-7731065</v>
      </c>
      <c r="S4" s="58">
        <v>100</v>
      </c>
      <c r="T4" s="58">
        <v>-707525</v>
      </c>
      <c r="U4" s="57">
        <v>0</v>
      </c>
    </row>
    <row r="5" spans="2:21" x14ac:dyDescent="0.25">
      <c r="B5" s="56" t="s">
        <v>470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8">
        <v>-5958195.2000000002</v>
      </c>
      <c r="M5" s="58">
        <v>-804314.52</v>
      </c>
      <c r="N5" s="57">
        <v>0</v>
      </c>
      <c r="O5" s="58">
        <v>-6762509.7199999997</v>
      </c>
      <c r="P5" s="57">
        <v>0</v>
      </c>
      <c r="Q5" s="58">
        <v>6762509.7199999997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371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4">
        <v>-5958195.2000000002</v>
      </c>
      <c r="M6" s="54">
        <v>-804314.52</v>
      </c>
      <c r="N6" s="55">
        <v>0</v>
      </c>
      <c r="O6" s="54">
        <v>-6762509.7199999997</v>
      </c>
      <c r="P6" s="54">
        <v>-7294890</v>
      </c>
      <c r="Q6" s="54">
        <v>-532380.28</v>
      </c>
      <c r="R6" s="54">
        <v>-7731065</v>
      </c>
      <c r="S6" s="54">
        <v>7.298</v>
      </c>
      <c r="T6" s="54">
        <v>-707525</v>
      </c>
      <c r="U6" s="55">
        <v>0</v>
      </c>
    </row>
    <row r="7" spans="2:21" x14ac:dyDescent="0.25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-1439160.91</v>
      </c>
      <c r="Q7" s="58">
        <v>-1439160.91</v>
      </c>
      <c r="R7" s="58">
        <v>-1569993.72</v>
      </c>
      <c r="S7" s="58">
        <v>100</v>
      </c>
      <c r="T7" s="58">
        <v>-130832.81</v>
      </c>
      <c r="U7" s="57">
        <v>0</v>
      </c>
    </row>
    <row r="8" spans="2:21" x14ac:dyDescent="0.25">
      <c r="B8" s="56" t="s">
        <v>471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-43416.17</v>
      </c>
      <c r="M8" s="58">
        <v>88599.65</v>
      </c>
      <c r="N8" s="57">
        <v>0</v>
      </c>
      <c r="O8" s="58">
        <v>45183.48</v>
      </c>
      <c r="P8" s="57">
        <v>0</v>
      </c>
      <c r="Q8" s="58">
        <v>-45183.48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5">
      <c r="B9" s="56" t="s">
        <v>373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-1917851.89</v>
      </c>
      <c r="M9" s="58">
        <v>-107482.9</v>
      </c>
      <c r="N9" s="57">
        <v>0</v>
      </c>
      <c r="O9" s="58">
        <v>-2025334.79</v>
      </c>
      <c r="P9" s="57">
        <v>0</v>
      </c>
      <c r="Q9" s="58">
        <v>2025334.79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374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-1961268.06</v>
      </c>
      <c r="M10" s="54">
        <v>-18883.25</v>
      </c>
      <c r="N10" s="55">
        <v>0</v>
      </c>
      <c r="O10" s="54">
        <v>-1980151.31</v>
      </c>
      <c r="P10" s="54">
        <v>-1439160.91</v>
      </c>
      <c r="Q10" s="54">
        <v>540990.4</v>
      </c>
      <c r="R10" s="54">
        <v>-1569993.72</v>
      </c>
      <c r="S10" s="54">
        <v>-37.590699999999998</v>
      </c>
      <c r="T10" s="54">
        <v>-130832.81</v>
      </c>
      <c r="U10" s="55">
        <v>0</v>
      </c>
    </row>
    <row r="11" spans="2:21" x14ac:dyDescent="0.25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-101000</v>
      </c>
      <c r="Q11" s="58">
        <v>-101000</v>
      </c>
      <c r="R11" s="58">
        <v>-104000</v>
      </c>
      <c r="S11" s="58">
        <v>100</v>
      </c>
      <c r="T11" s="58">
        <v>-16000</v>
      </c>
      <c r="U11" s="57">
        <v>0</v>
      </c>
    </row>
    <row r="12" spans="2:21" x14ac:dyDescent="0.25">
      <c r="B12" s="56" t="s">
        <v>473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8">
        <v>11508</v>
      </c>
      <c r="M12" s="58">
        <v>39000</v>
      </c>
      <c r="N12" s="57">
        <v>0</v>
      </c>
      <c r="O12" s="58">
        <v>50508</v>
      </c>
      <c r="P12" s="57">
        <v>0</v>
      </c>
      <c r="Q12" s="58">
        <v>-50508</v>
      </c>
      <c r="R12" s="57">
        <v>0</v>
      </c>
      <c r="S12" s="57">
        <v>0</v>
      </c>
      <c r="T12" s="57">
        <v>0</v>
      </c>
      <c r="U12" s="57">
        <v>0</v>
      </c>
    </row>
    <row r="13" spans="2:21" x14ac:dyDescent="0.25">
      <c r="B13" s="56" t="s">
        <v>474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8">
        <v>-181601.92000000001</v>
      </c>
      <c r="M13" s="58">
        <v>-59721.42</v>
      </c>
      <c r="N13" s="57">
        <v>0</v>
      </c>
      <c r="O13" s="58">
        <v>-241323.34</v>
      </c>
      <c r="P13" s="57">
        <v>0</v>
      </c>
      <c r="Q13" s="58">
        <v>241323.34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5">
      <c r="B14" s="53" t="s">
        <v>375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4">
        <v>-170093.92</v>
      </c>
      <c r="M14" s="54">
        <v>-20721.419999999998</v>
      </c>
      <c r="N14" s="55">
        <v>0</v>
      </c>
      <c r="O14" s="54">
        <v>-190815.34</v>
      </c>
      <c r="P14" s="54">
        <v>-101000</v>
      </c>
      <c r="Q14" s="54">
        <v>89815.34</v>
      </c>
      <c r="R14" s="54">
        <v>-104000</v>
      </c>
      <c r="S14" s="54">
        <v>-88.926100000000005</v>
      </c>
      <c r="T14" s="54">
        <v>-16000</v>
      </c>
      <c r="U14" s="55">
        <v>0</v>
      </c>
    </row>
    <row r="15" spans="2:21" x14ac:dyDescent="0.25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377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4">
        <v>2003401.72</v>
      </c>
      <c r="M16" s="54">
        <v>215509.18</v>
      </c>
      <c r="N16" s="55">
        <v>0</v>
      </c>
      <c r="O16" s="54">
        <v>2218910.9</v>
      </c>
      <c r="P16" s="54">
        <v>2634688.0299999998</v>
      </c>
      <c r="Q16" s="54">
        <v>415777.13</v>
      </c>
      <c r="R16" s="54">
        <v>2830025.28</v>
      </c>
      <c r="S16" s="54">
        <v>15.780900000000001</v>
      </c>
      <c r="T16" s="54">
        <v>261471.88</v>
      </c>
      <c r="U16" s="55">
        <v>0</v>
      </c>
    </row>
    <row r="17" spans="2:21" x14ac:dyDescent="0.25">
      <c r="B17" s="56" t="s">
        <v>378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8">
        <v>818918.9</v>
      </c>
      <c r="M17" s="58">
        <v>115024.98</v>
      </c>
      <c r="N17" s="57">
        <v>0</v>
      </c>
      <c r="O17" s="58">
        <v>933943.88</v>
      </c>
      <c r="P17" s="58">
        <v>1143688.03</v>
      </c>
      <c r="Q17" s="58">
        <v>209744.15</v>
      </c>
      <c r="R17" s="58">
        <v>1246025.28</v>
      </c>
      <c r="S17" s="58">
        <v>18.339300000000001</v>
      </c>
      <c r="T17" s="58">
        <v>105471.88</v>
      </c>
      <c r="U17" s="57">
        <v>0</v>
      </c>
    </row>
    <row r="18" spans="2:21" x14ac:dyDescent="0.25">
      <c r="B18" s="53" t="s">
        <v>379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818918.9</v>
      </c>
      <c r="M18" s="54">
        <v>115024.98</v>
      </c>
      <c r="N18" s="55">
        <v>0</v>
      </c>
      <c r="O18" s="54">
        <v>933943.88</v>
      </c>
      <c r="P18" s="54">
        <v>1143688.03</v>
      </c>
      <c r="Q18" s="54">
        <v>209744.15</v>
      </c>
      <c r="R18" s="54">
        <v>1246025.28</v>
      </c>
      <c r="S18" s="54">
        <v>18.339300000000001</v>
      </c>
      <c r="T18" s="54">
        <v>105471.88</v>
      </c>
      <c r="U18" s="55">
        <v>0</v>
      </c>
    </row>
    <row r="19" spans="2:21" x14ac:dyDescent="0.25">
      <c r="B19" s="56" t="s">
        <v>476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1254857.6200000001</v>
      </c>
      <c r="M19" s="58">
        <v>166970.65</v>
      </c>
      <c r="N19" s="57">
        <v>0</v>
      </c>
      <c r="O19" s="58">
        <v>1421828.27</v>
      </c>
      <c r="P19" s="57">
        <v>0</v>
      </c>
      <c r="Q19" s="58">
        <v>-1421828.27</v>
      </c>
      <c r="R19" s="57">
        <v>0</v>
      </c>
      <c r="S19" s="57">
        <v>0</v>
      </c>
      <c r="T19" s="57">
        <v>0</v>
      </c>
      <c r="U19" s="57">
        <v>0</v>
      </c>
    </row>
    <row r="20" spans="2:21" x14ac:dyDescent="0.25">
      <c r="B20" s="56" t="s">
        <v>380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8">
        <v>-71389.8</v>
      </c>
      <c r="M20" s="58">
        <v>-66486.45</v>
      </c>
      <c r="N20" s="57">
        <v>0</v>
      </c>
      <c r="O20" s="58">
        <v>-137876.25</v>
      </c>
      <c r="P20" s="58">
        <v>1491000</v>
      </c>
      <c r="Q20" s="58">
        <v>1628876.25</v>
      </c>
      <c r="R20" s="58">
        <v>1584000</v>
      </c>
      <c r="S20" s="58">
        <v>109.24720000000001</v>
      </c>
      <c r="T20" s="58">
        <v>156000</v>
      </c>
      <c r="U20" s="57">
        <v>0</v>
      </c>
    </row>
    <row r="21" spans="2:21" x14ac:dyDescent="0.25">
      <c r="B21" s="53" t="s">
        <v>381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4">
        <v>1183467.82</v>
      </c>
      <c r="M21" s="54">
        <v>100484.2</v>
      </c>
      <c r="N21" s="55">
        <v>0</v>
      </c>
      <c r="O21" s="54">
        <v>1283952.02</v>
      </c>
      <c r="P21" s="54">
        <v>1491000</v>
      </c>
      <c r="Q21" s="54">
        <v>207047.98</v>
      </c>
      <c r="R21" s="54">
        <v>1584000</v>
      </c>
      <c r="S21" s="54">
        <v>13.8865</v>
      </c>
      <c r="T21" s="54">
        <v>156000</v>
      </c>
      <c r="U21" s="55">
        <v>0</v>
      </c>
    </row>
    <row r="22" spans="2:21" x14ac:dyDescent="0.25">
      <c r="B22" s="56" t="s">
        <v>382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5">
      <c r="B23" s="53" t="s">
        <v>383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</row>
    <row r="24" spans="2:21" x14ac:dyDescent="0.25">
      <c r="B24" s="56" t="s">
        <v>477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8">
        <v>1015</v>
      </c>
      <c r="M24" s="57">
        <v>0</v>
      </c>
      <c r="N24" s="57">
        <v>0</v>
      </c>
      <c r="O24" s="58">
        <v>1015</v>
      </c>
      <c r="P24" s="57">
        <v>0</v>
      </c>
      <c r="Q24" s="58">
        <v>-1015</v>
      </c>
      <c r="R24" s="57">
        <v>0</v>
      </c>
      <c r="S24" s="57">
        <v>0</v>
      </c>
      <c r="T24" s="57">
        <v>0</v>
      </c>
      <c r="U24" s="57">
        <v>0</v>
      </c>
    </row>
    <row r="25" spans="2:21" x14ac:dyDescent="0.25">
      <c r="B25" s="53" t="s">
        <v>478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4">
        <v>1015</v>
      </c>
      <c r="M25" s="55">
        <v>0</v>
      </c>
      <c r="N25" s="55">
        <v>0</v>
      </c>
      <c r="O25" s="54">
        <v>1015</v>
      </c>
      <c r="P25" s="55">
        <v>0</v>
      </c>
      <c r="Q25" s="54">
        <v>-1015</v>
      </c>
      <c r="R25" s="55">
        <v>0</v>
      </c>
      <c r="S25" s="55">
        <v>0</v>
      </c>
      <c r="T25" s="55">
        <v>0</v>
      </c>
      <c r="U25" s="55">
        <v>0</v>
      </c>
    </row>
    <row r="26" spans="2:21" x14ac:dyDescent="0.25">
      <c r="B26" s="53" t="s">
        <v>384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4">
        <v>-6086155.46</v>
      </c>
      <c r="M26" s="54">
        <v>-628410.01</v>
      </c>
      <c r="N26" s="55">
        <v>0</v>
      </c>
      <c r="O26" s="54">
        <v>-6714565.4699999997</v>
      </c>
      <c r="P26" s="54">
        <v>-6200362.8799999999</v>
      </c>
      <c r="Q26" s="54">
        <v>514202.59</v>
      </c>
      <c r="R26" s="54">
        <v>-6575033.4400000004</v>
      </c>
      <c r="S26" s="54">
        <v>-8.2931000000000008</v>
      </c>
      <c r="T26" s="54">
        <v>-592885.93000000005</v>
      </c>
      <c r="U26" s="55">
        <v>0</v>
      </c>
    </row>
    <row r="27" spans="2:21" x14ac:dyDescent="0.25">
      <c r="B27" s="53" t="s">
        <v>385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4">
        <v>-6086155.46</v>
      </c>
      <c r="M27" s="54">
        <v>-628410.01</v>
      </c>
      <c r="N27" s="55">
        <v>0</v>
      </c>
      <c r="O27" s="54">
        <v>-6714565.4699999997</v>
      </c>
      <c r="P27" s="54">
        <v>-6200362.8799999999</v>
      </c>
      <c r="Q27" s="54">
        <v>514202.59</v>
      </c>
      <c r="R27" s="54">
        <v>-6575033.4400000004</v>
      </c>
      <c r="S27" s="54">
        <v>-8.2931000000000008</v>
      </c>
      <c r="T27" s="54">
        <v>-592885.93000000005</v>
      </c>
      <c r="U27" s="55">
        <v>0</v>
      </c>
    </row>
    <row r="28" spans="2:21" x14ac:dyDescent="0.25">
      <c r="B28" s="53" t="s">
        <v>386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4">
        <v>1544747.03</v>
      </c>
      <c r="M28" s="54">
        <v>153629.76999999999</v>
      </c>
      <c r="N28" s="55">
        <v>0</v>
      </c>
      <c r="O28" s="54">
        <v>1698376.8</v>
      </c>
      <c r="P28" s="54">
        <v>1687078.08</v>
      </c>
      <c r="Q28" s="54">
        <v>-11298.72</v>
      </c>
      <c r="R28" s="54">
        <v>1836835.44</v>
      </c>
      <c r="S28" s="54">
        <v>-0.66969999999999996</v>
      </c>
      <c r="T28" s="54">
        <v>149757.35999999999</v>
      </c>
      <c r="U28" s="55">
        <v>0</v>
      </c>
    </row>
    <row r="29" spans="2:21" x14ac:dyDescent="0.25">
      <c r="B29" s="56" t="s">
        <v>387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8">
        <v>161473.14000000001</v>
      </c>
      <c r="M29" s="58">
        <v>6805.6</v>
      </c>
      <c r="N29" s="57">
        <v>0</v>
      </c>
      <c r="O29" s="58">
        <v>168278.74</v>
      </c>
      <c r="P29" s="57">
        <v>0</v>
      </c>
      <c r="Q29" s="58">
        <v>-168278.74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5">
      <c r="B30" s="56" t="s">
        <v>388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8">
        <v>692353.98</v>
      </c>
      <c r="M30" s="58">
        <v>77020.539999999994</v>
      </c>
      <c r="N30" s="57">
        <v>0</v>
      </c>
      <c r="O30" s="58">
        <v>769374.52</v>
      </c>
      <c r="P30" s="58">
        <v>933924.36</v>
      </c>
      <c r="Q30" s="58">
        <v>164549.84</v>
      </c>
      <c r="R30" s="58">
        <v>1015213.2</v>
      </c>
      <c r="S30" s="58">
        <v>17.619199999999999</v>
      </c>
      <c r="T30" s="58">
        <v>81288.84</v>
      </c>
      <c r="U30" s="57">
        <v>0</v>
      </c>
    </row>
    <row r="31" spans="2:21" x14ac:dyDescent="0.25">
      <c r="B31" s="56" t="s">
        <v>389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8">
        <v>76431.740000000005</v>
      </c>
      <c r="M31" s="58">
        <v>8361.82</v>
      </c>
      <c r="N31" s="57">
        <v>0</v>
      </c>
      <c r="O31" s="58">
        <v>84793.56</v>
      </c>
      <c r="P31" s="57">
        <v>0</v>
      </c>
      <c r="Q31" s="58">
        <v>-84793.56</v>
      </c>
      <c r="R31" s="57">
        <v>0</v>
      </c>
      <c r="S31" s="57">
        <v>0</v>
      </c>
      <c r="T31" s="57">
        <v>0</v>
      </c>
      <c r="U31" s="57">
        <v>0</v>
      </c>
    </row>
    <row r="32" spans="2:21" x14ac:dyDescent="0.25">
      <c r="B32" s="53" t="s">
        <v>390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4">
        <v>930258.86</v>
      </c>
      <c r="M32" s="54">
        <v>92187.96</v>
      </c>
      <c r="N32" s="55">
        <v>0</v>
      </c>
      <c r="O32" s="54">
        <v>1022446.82</v>
      </c>
      <c r="P32" s="54">
        <v>933924.36</v>
      </c>
      <c r="Q32" s="54">
        <v>-88522.46</v>
      </c>
      <c r="R32" s="54">
        <v>1015213.2</v>
      </c>
      <c r="S32" s="54">
        <v>-9.4785000000000004</v>
      </c>
      <c r="T32" s="54">
        <v>81288.84</v>
      </c>
      <c r="U32" s="55">
        <v>0</v>
      </c>
    </row>
    <row r="33" spans="2:21" x14ac:dyDescent="0.25">
      <c r="B33" s="56" t="s">
        <v>391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55296.62</v>
      </c>
      <c r="M33" s="58">
        <v>5792.58</v>
      </c>
      <c r="N33" s="57">
        <v>0</v>
      </c>
      <c r="O33" s="58">
        <v>61089.2</v>
      </c>
      <c r="P33" s="58">
        <v>74327.11</v>
      </c>
      <c r="Q33" s="58">
        <v>13237.91</v>
      </c>
      <c r="R33" s="58">
        <v>81084.12</v>
      </c>
      <c r="S33" s="58">
        <v>17.810300000000002</v>
      </c>
      <c r="T33" s="58">
        <v>6757.01</v>
      </c>
      <c r="U33" s="57">
        <v>0</v>
      </c>
    </row>
    <row r="34" spans="2:21" x14ac:dyDescent="0.25">
      <c r="B34" s="53" t="s">
        <v>392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4">
        <v>55296.62</v>
      </c>
      <c r="M34" s="54">
        <v>5792.58</v>
      </c>
      <c r="N34" s="55">
        <v>0</v>
      </c>
      <c r="O34" s="54">
        <v>61089.2</v>
      </c>
      <c r="P34" s="54">
        <v>74327.11</v>
      </c>
      <c r="Q34" s="54">
        <v>13237.91</v>
      </c>
      <c r="R34" s="54">
        <v>81084.12</v>
      </c>
      <c r="S34" s="54">
        <v>17.810300000000002</v>
      </c>
      <c r="T34" s="54">
        <v>6757.01</v>
      </c>
      <c r="U34" s="55">
        <v>0</v>
      </c>
    </row>
    <row r="35" spans="2:21" x14ac:dyDescent="0.25">
      <c r="B35" s="56" t="s">
        <v>481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8">
        <v>18939.16</v>
      </c>
      <c r="M35" s="57">
        <v>0</v>
      </c>
      <c r="N35" s="57">
        <v>0</v>
      </c>
      <c r="O35" s="58">
        <v>18939.16</v>
      </c>
      <c r="P35" s="58">
        <v>153026.39000000001</v>
      </c>
      <c r="Q35" s="58">
        <v>134087.23000000001</v>
      </c>
      <c r="R35" s="58">
        <v>166937.88</v>
      </c>
      <c r="S35" s="58">
        <v>87.623599999999996</v>
      </c>
      <c r="T35" s="58">
        <v>13911.49</v>
      </c>
      <c r="U35" s="57">
        <v>0</v>
      </c>
    </row>
    <row r="36" spans="2:21" x14ac:dyDescent="0.25">
      <c r="B36" s="56" t="s">
        <v>482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8">
        <v>126559.24</v>
      </c>
      <c r="M36" s="58">
        <v>14457.32</v>
      </c>
      <c r="N36" s="57">
        <v>0</v>
      </c>
      <c r="O36" s="58">
        <v>141016.56</v>
      </c>
      <c r="P36" s="57">
        <v>0</v>
      </c>
      <c r="Q36" s="58">
        <v>-141016.56</v>
      </c>
      <c r="R36" s="57">
        <v>0</v>
      </c>
      <c r="S36" s="57">
        <v>0</v>
      </c>
      <c r="T36" s="57">
        <v>0</v>
      </c>
      <c r="U36" s="57">
        <v>0</v>
      </c>
    </row>
    <row r="37" spans="2:21" x14ac:dyDescent="0.25">
      <c r="B37" s="53" t="s">
        <v>393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4">
        <v>145498.4</v>
      </c>
      <c r="M37" s="54">
        <v>14457.32</v>
      </c>
      <c r="N37" s="55">
        <v>0</v>
      </c>
      <c r="O37" s="54">
        <v>159955.72</v>
      </c>
      <c r="P37" s="54">
        <v>153026.39000000001</v>
      </c>
      <c r="Q37" s="54">
        <v>-6929.33</v>
      </c>
      <c r="R37" s="54">
        <v>166937.88</v>
      </c>
      <c r="S37" s="54">
        <v>-4.5282</v>
      </c>
      <c r="T37" s="54">
        <v>13911.49</v>
      </c>
      <c r="U37" s="55">
        <v>0</v>
      </c>
    </row>
    <row r="38" spans="2:21" x14ac:dyDescent="0.25">
      <c r="B38" s="56" t="s">
        <v>394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8">
        <v>70037.919999999998</v>
      </c>
      <c r="M38" s="58">
        <v>7783.27</v>
      </c>
      <c r="N38" s="57">
        <v>0</v>
      </c>
      <c r="O38" s="58">
        <v>77821.19</v>
      </c>
      <c r="P38" s="58">
        <v>85014.6</v>
      </c>
      <c r="Q38" s="58">
        <v>7193.41</v>
      </c>
      <c r="R38" s="58">
        <v>92743.2</v>
      </c>
      <c r="S38" s="58">
        <v>8.4613999999999994</v>
      </c>
      <c r="T38" s="58">
        <v>7728.6</v>
      </c>
      <c r="U38" s="57">
        <v>0</v>
      </c>
    </row>
    <row r="39" spans="2:21" x14ac:dyDescent="0.25">
      <c r="B39" s="53" t="s">
        <v>395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4">
        <v>70037.919999999998</v>
      </c>
      <c r="M39" s="54">
        <v>7783.27</v>
      </c>
      <c r="N39" s="55">
        <v>0</v>
      </c>
      <c r="O39" s="54">
        <v>77821.19</v>
      </c>
      <c r="P39" s="54">
        <v>85014.6</v>
      </c>
      <c r="Q39" s="54">
        <v>7193.41</v>
      </c>
      <c r="R39" s="54">
        <v>92743.2</v>
      </c>
      <c r="S39" s="54">
        <v>8.4613999999999994</v>
      </c>
      <c r="T39" s="54">
        <v>7728.6</v>
      </c>
      <c r="U39" s="55">
        <v>0</v>
      </c>
    </row>
    <row r="40" spans="2:21" x14ac:dyDescent="0.25">
      <c r="B40" s="56" t="s">
        <v>396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8">
        <v>58109.96</v>
      </c>
      <c r="M40" s="58">
        <v>6303.96</v>
      </c>
      <c r="N40" s="57">
        <v>0</v>
      </c>
      <c r="O40" s="58">
        <v>64413.919999999998</v>
      </c>
      <c r="P40" s="58">
        <v>66143.88</v>
      </c>
      <c r="Q40" s="58">
        <v>1729.96</v>
      </c>
      <c r="R40" s="58">
        <v>72156.960000000006</v>
      </c>
      <c r="S40" s="58">
        <v>2.6154000000000002</v>
      </c>
      <c r="T40" s="58">
        <v>6013.08</v>
      </c>
      <c r="U40" s="57">
        <v>0</v>
      </c>
    </row>
    <row r="41" spans="2:21" x14ac:dyDescent="0.25">
      <c r="B41" s="53" t="s">
        <v>397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4">
        <v>58109.96</v>
      </c>
      <c r="M41" s="54">
        <v>6303.96</v>
      </c>
      <c r="N41" s="55">
        <v>0</v>
      </c>
      <c r="O41" s="54">
        <v>64413.919999999998</v>
      </c>
      <c r="P41" s="54">
        <v>66143.88</v>
      </c>
      <c r="Q41" s="54">
        <v>1729.96</v>
      </c>
      <c r="R41" s="54">
        <v>72156.960000000006</v>
      </c>
      <c r="S41" s="54">
        <v>2.6154000000000002</v>
      </c>
      <c r="T41" s="54">
        <v>6013.08</v>
      </c>
      <c r="U41" s="55">
        <v>0</v>
      </c>
    </row>
    <row r="42" spans="2:21" x14ac:dyDescent="0.25">
      <c r="B42" s="56" t="s">
        <v>483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  <c r="L42" s="58">
        <v>5174.3999999999996</v>
      </c>
      <c r="M42" s="58">
        <v>511.85</v>
      </c>
      <c r="N42" s="57">
        <v>0</v>
      </c>
      <c r="O42" s="58">
        <v>5686.25</v>
      </c>
      <c r="P42" s="58">
        <v>39600</v>
      </c>
      <c r="Q42" s="58">
        <v>33913.75</v>
      </c>
      <c r="R42" s="58">
        <v>43200</v>
      </c>
      <c r="S42" s="58">
        <v>85.640799999999999</v>
      </c>
      <c r="T42" s="58">
        <v>3600</v>
      </c>
      <c r="U42" s="57">
        <v>0</v>
      </c>
    </row>
    <row r="43" spans="2:21" x14ac:dyDescent="0.25">
      <c r="B43" s="56" t="s">
        <v>398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8">
        <v>28062.41</v>
      </c>
      <c r="M43" s="58">
        <v>263.68</v>
      </c>
      <c r="N43" s="57">
        <v>0</v>
      </c>
      <c r="O43" s="58">
        <v>28326.09</v>
      </c>
      <c r="P43" s="57">
        <v>0</v>
      </c>
      <c r="Q43" s="58">
        <v>-28326.09</v>
      </c>
      <c r="R43" s="57">
        <v>0</v>
      </c>
      <c r="S43" s="57">
        <v>0</v>
      </c>
      <c r="T43" s="57">
        <v>0</v>
      </c>
      <c r="U43" s="57">
        <v>0</v>
      </c>
    </row>
    <row r="44" spans="2:21" x14ac:dyDescent="0.25">
      <c r="B44" s="56" t="s">
        <v>484</v>
      </c>
      <c r="C44" s="57">
        <v>0</v>
      </c>
      <c r="D44" s="57">
        <v>0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8">
        <v>4289.2</v>
      </c>
      <c r="M44" s="57">
        <v>0</v>
      </c>
      <c r="N44" s="57">
        <v>0</v>
      </c>
      <c r="O44" s="58">
        <v>4289.2</v>
      </c>
      <c r="P44" s="57">
        <v>0</v>
      </c>
      <c r="Q44" s="58">
        <v>-4289.2</v>
      </c>
      <c r="R44" s="57">
        <v>0</v>
      </c>
      <c r="S44" s="57">
        <v>0</v>
      </c>
      <c r="T44" s="57">
        <v>0</v>
      </c>
      <c r="U44" s="57">
        <v>0</v>
      </c>
    </row>
    <row r="45" spans="2:21" x14ac:dyDescent="0.25">
      <c r="B45" s="53" t="s">
        <v>399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4">
        <v>37526.01</v>
      </c>
      <c r="M45" s="54">
        <v>775.53</v>
      </c>
      <c r="N45" s="55">
        <v>0</v>
      </c>
      <c r="O45" s="54">
        <v>38301.54</v>
      </c>
      <c r="P45" s="54">
        <v>39600</v>
      </c>
      <c r="Q45" s="54">
        <v>1298.46</v>
      </c>
      <c r="R45" s="54">
        <v>43200</v>
      </c>
      <c r="S45" s="54">
        <v>3.2789000000000001</v>
      </c>
      <c r="T45" s="54">
        <v>3600</v>
      </c>
      <c r="U45" s="55">
        <v>0</v>
      </c>
    </row>
    <row r="46" spans="2:21" x14ac:dyDescent="0.25">
      <c r="B46" s="56" t="s">
        <v>400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8">
        <v>7065.4</v>
      </c>
      <c r="M46" s="58">
        <v>712.93</v>
      </c>
      <c r="N46" s="57">
        <v>0</v>
      </c>
      <c r="O46" s="58">
        <v>7778.33</v>
      </c>
      <c r="P46" s="58">
        <v>9350</v>
      </c>
      <c r="Q46" s="58">
        <v>1571.67</v>
      </c>
      <c r="R46" s="58">
        <v>10200</v>
      </c>
      <c r="S46" s="58">
        <v>16.8093</v>
      </c>
      <c r="T46" s="58">
        <v>850</v>
      </c>
      <c r="U46" s="57">
        <v>0</v>
      </c>
    </row>
    <row r="47" spans="2:21" x14ac:dyDescent="0.25">
      <c r="B47" s="53" t="s">
        <v>401</v>
      </c>
      <c r="C47" s="5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4">
        <v>7065.4</v>
      </c>
      <c r="M47" s="54">
        <v>712.93</v>
      </c>
      <c r="N47" s="55">
        <v>0</v>
      </c>
      <c r="O47" s="54">
        <v>7778.33</v>
      </c>
      <c r="P47" s="54">
        <v>9350</v>
      </c>
      <c r="Q47" s="54">
        <v>1571.67</v>
      </c>
      <c r="R47" s="54">
        <v>10200</v>
      </c>
      <c r="S47" s="54">
        <v>16.8093</v>
      </c>
      <c r="T47" s="54">
        <v>850</v>
      </c>
      <c r="U47" s="55">
        <v>0</v>
      </c>
    </row>
    <row r="48" spans="2:21" x14ac:dyDescent="0.25">
      <c r="B48" s="56" t="s">
        <v>402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8">
        <v>2541.8000000000002</v>
      </c>
      <c r="M48" s="58">
        <v>57.54</v>
      </c>
      <c r="N48" s="57">
        <v>0</v>
      </c>
      <c r="O48" s="58">
        <v>2599.34</v>
      </c>
      <c r="P48" s="58">
        <v>8800</v>
      </c>
      <c r="Q48" s="58">
        <v>6200.66</v>
      </c>
      <c r="R48" s="58">
        <v>9600</v>
      </c>
      <c r="S48" s="58">
        <v>70.462000000000003</v>
      </c>
      <c r="T48" s="58">
        <v>800</v>
      </c>
      <c r="U48" s="57">
        <v>0</v>
      </c>
    </row>
    <row r="49" spans="2:21" x14ac:dyDescent="0.25">
      <c r="B49" s="53" t="s">
        <v>403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4">
        <v>2541.8000000000002</v>
      </c>
      <c r="M49" s="54">
        <v>57.54</v>
      </c>
      <c r="N49" s="55">
        <v>0</v>
      </c>
      <c r="O49" s="54">
        <v>2599.34</v>
      </c>
      <c r="P49" s="54">
        <v>8800</v>
      </c>
      <c r="Q49" s="54">
        <v>6200.66</v>
      </c>
      <c r="R49" s="54">
        <v>9600</v>
      </c>
      <c r="S49" s="54">
        <v>70.462000000000003</v>
      </c>
      <c r="T49" s="54">
        <v>800</v>
      </c>
      <c r="U49" s="55">
        <v>0</v>
      </c>
    </row>
    <row r="50" spans="2:21" x14ac:dyDescent="0.25">
      <c r="B50" s="56" t="s">
        <v>485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8">
        <v>33543.68</v>
      </c>
      <c r="M50" s="58">
        <v>3908.53</v>
      </c>
      <c r="N50" s="57">
        <v>0</v>
      </c>
      <c r="O50" s="58">
        <v>37452.21</v>
      </c>
      <c r="P50" s="58">
        <v>79200</v>
      </c>
      <c r="Q50" s="58">
        <v>41747.79</v>
      </c>
      <c r="R50" s="58">
        <v>86400</v>
      </c>
      <c r="S50" s="58">
        <v>52.7119</v>
      </c>
      <c r="T50" s="58">
        <v>7200</v>
      </c>
      <c r="U50" s="57">
        <v>0</v>
      </c>
    </row>
    <row r="51" spans="2:21" x14ac:dyDescent="0.25">
      <c r="B51" s="56" t="s">
        <v>486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8">
        <v>9955.9</v>
      </c>
      <c r="M51" s="58">
        <v>7359.45</v>
      </c>
      <c r="N51" s="57">
        <v>0</v>
      </c>
      <c r="O51" s="58">
        <v>17315.349999999999</v>
      </c>
      <c r="P51" s="57">
        <v>0</v>
      </c>
      <c r="Q51" s="58">
        <v>-17315.349999999999</v>
      </c>
      <c r="R51" s="57">
        <v>0</v>
      </c>
      <c r="S51" s="57">
        <v>0</v>
      </c>
      <c r="T51" s="57">
        <v>0</v>
      </c>
      <c r="U51" s="57">
        <v>0</v>
      </c>
    </row>
    <row r="52" spans="2:21" x14ac:dyDescent="0.25">
      <c r="B52" s="56" t="s">
        <v>487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8">
        <v>-58.16</v>
      </c>
      <c r="M52" s="58">
        <v>211.35</v>
      </c>
      <c r="N52" s="57">
        <v>0</v>
      </c>
      <c r="O52" s="58">
        <v>153.19</v>
      </c>
      <c r="P52" s="57">
        <v>0</v>
      </c>
      <c r="Q52" s="58">
        <v>-153.19</v>
      </c>
      <c r="R52" s="57">
        <v>0</v>
      </c>
      <c r="S52" s="57">
        <v>0</v>
      </c>
      <c r="T52" s="57">
        <v>0</v>
      </c>
      <c r="U52" s="57">
        <v>0</v>
      </c>
    </row>
    <row r="53" spans="2:21" x14ac:dyDescent="0.25">
      <c r="B53" s="56" t="s">
        <v>488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8">
        <v>396.8</v>
      </c>
      <c r="M53" s="57">
        <v>0</v>
      </c>
      <c r="N53" s="57">
        <v>0</v>
      </c>
      <c r="O53" s="58">
        <v>396.8</v>
      </c>
      <c r="P53" s="57">
        <v>0</v>
      </c>
      <c r="Q53" s="58">
        <v>-396.8</v>
      </c>
      <c r="R53" s="57">
        <v>0</v>
      </c>
      <c r="S53" s="57">
        <v>0</v>
      </c>
      <c r="T53" s="57">
        <v>0</v>
      </c>
      <c r="U53" s="57">
        <v>0</v>
      </c>
    </row>
    <row r="54" spans="2:21" x14ac:dyDescent="0.25">
      <c r="B54" s="53" t="s">
        <v>404</v>
      </c>
      <c r="C54" s="55">
        <v>0</v>
      </c>
      <c r="D54" s="55">
        <v>0</v>
      </c>
      <c r="E54" s="55">
        <v>0</v>
      </c>
      <c r="F54" s="55">
        <v>0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4">
        <v>43838.22</v>
      </c>
      <c r="M54" s="54">
        <v>11479.33</v>
      </c>
      <c r="N54" s="55">
        <v>0</v>
      </c>
      <c r="O54" s="54">
        <v>55317.55</v>
      </c>
      <c r="P54" s="54">
        <v>79200</v>
      </c>
      <c r="Q54" s="54">
        <v>23882.45</v>
      </c>
      <c r="R54" s="54">
        <v>86400</v>
      </c>
      <c r="S54" s="54">
        <v>30.154599999999999</v>
      </c>
      <c r="T54" s="54">
        <v>7200</v>
      </c>
      <c r="U54" s="55">
        <v>0</v>
      </c>
    </row>
    <row r="55" spans="2:21" x14ac:dyDescent="0.25">
      <c r="B55" s="56" t="s">
        <v>489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8">
        <v>1342.69</v>
      </c>
      <c r="M55" s="58">
        <v>986.3</v>
      </c>
      <c r="N55" s="57">
        <v>0</v>
      </c>
      <c r="O55" s="58">
        <v>2328.9899999999998</v>
      </c>
      <c r="P55" s="58">
        <v>143452.65</v>
      </c>
      <c r="Q55" s="58">
        <v>141123.66</v>
      </c>
      <c r="R55" s="58">
        <v>156493.79999999999</v>
      </c>
      <c r="S55" s="58">
        <v>98.376499999999993</v>
      </c>
      <c r="T55" s="58">
        <v>13041.15</v>
      </c>
      <c r="U55" s="57">
        <v>0</v>
      </c>
    </row>
    <row r="56" spans="2:21" x14ac:dyDescent="0.25">
      <c r="B56" s="56" t="s">
        <v>491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140.76</v>
      </c>
      <c r="M56" s="57">
        <v>0</v>
      </c>
      <c r="N56" s="57">
        <v>0</v>
      </c>
      <c r="O56" s="58">
        <v>140.76</v>
      </c>
      <c r="P56" s="57">
        <v>0</v>
      </c>
      <c r="Q56" s="58">
        <v>-140.76</v>
      </c>
      <c r="R56" s="57">
        <v>0</v>
      </c>
      <c r="S56" s="57">
        <v>0</v>
      </c>
      <c r="T56" s="57">
        <v>0</v>
      </c>
      <c r="U56" s="57">
        <v>0</v>
      </c>
    </row>
    <row r="57" spans="2:21" x14ac:dyDescent="0.25">
      <c r="B57" s="56" t="s">
        <v>492</v>
      </c>
      <c r="C57" s="57">
        <v>0</v>
      </c>
      <c r="D57" s="57">
        <v>0</v>
      </c>
      <c r="E57" s="57">
        <v>0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8">
        <v>112954.34</v>
      </c>
      <c r="M57" s="58">
        <v>10754.17</v>
      </c>
      <c r="N57" s="57">
        <v>0</v>
      </c>
      <c r="O57" s="58">
        <v>123708.51</v>
      </c>
      <c r="P57" s="57">
        <v>0</v>
      </c>
      <c r="Q57" s="58">
        <v>-123708.51</v>
      </c>
      <c r="R57" s="57">
        <v>0</v>
      </c>
      <c r="S57" s="57">
        <v>0</v>
      </c>
      <c r="T57" s="57">
        <v>0</v>
      </c>
      <c r="U57" s="57">
        <v>0</v>
      </c>
    </row>
    <row r="58" spans="2:21" x14ac:dyDescent="0.25">
      <c r="B58" s="53" t="s">
        <v>405</v>
      </c>
      <c r="C58" s="55">
        <v>0</v>
      </c>
      <c r="D58" s="55">
        <v>0</v>
      </c>
      <c r="E58" s="55">
        <v>0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4">
        <v>114437.79</v>
      </c>
      <c r="M58" s="54">
        <v>11740.47</v>
      </c>
      <c r="N58" s="55">
        <v>0</v>
      </c>
      <c r="O58" s="54">
        <v>126178.26</v>
      </c>
      <c r="P58" s="54">
        <v>143452.65</v>
      </c>
      <c r="Q58" s="54">
        <v>17274.39</v>
      </c>
      <c r="R58" s="54">
        <v>156493.79999999999</v>
      </c>
      <c r="S58" s="54">
        <v>12.0419</v>
      </c>
      <c r="T58" s="54">
        <v>13041.15</v>
      </c>
      <c r="U58" s="55">
        <v>0</v>
      </c>
    </row>
    <row r="59" spans="2:21" x14ac:dyDescent="0.25">
      <c r="B59" s="56" t="s">
        <v>493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80136.05</v>
      </c>
      <c r="M59" s="58">
        <v>2338.88</v>
      </c>
      <c r="N59" s="57">
        <v>0</v>
      </c>
      <c r="O59" s="58">
        <v>82474.929999999993</v>
      </c>
      <c r="P59" s="58">
        <v>94239.09</v>
      </c>
      <c r="Q59" s="58">
        <v>11764.16</v>
      </c>
      <c r="R59" s="58">
        <v>102806.28</v>
      </c>
      <c r="S59" s="58">
        <v>12.4833</v>
      </c>
      <c r="T59" s="58">
        <v>8567.19</v>
      </c>
      <c r="U59" s="57">
        <v>0</v>
      </c>
    </row>
    <row r="60" spans="2:21" x14ac:dyDescent="0.25">
      <c r="B60" s="53" t="s">
        <v>406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4">
        <v>80136.05</v>
      </c>
      <c r="M60" s="54">
        <v>2338.88</v>
      </c>
      <c r="N60" s="55">
        <v>0</v>
      </c>
      <c r="O60" s="54">
        <v>82474.929999999993</v>
      </c>
      <c r="P60" s="54">
        <v>94239.09</v>
      </c>
      <c r="Q60" s="54">
        <v>11764.16</v>
      </c>
      <c r="R60" s="54">
        <v>102806.28</v>
      </c>
      <c r="S60" s="54">
        <v>12.4833</v>
      </c>
      <c r="T60" s="54">
        <v>8567.19</v>
      </c>
      <c r="U60" s="55">
        <v>0</v>
      </c>
    </row>
    <row r="61" spans="2:21" x14ac:dyDescent="0.25">
      <c r="B61" s="53" t="s">
        <v>407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4">
        <v>882257.14</v>
      </c>
      <c r="M61" s="54">
        <v>85121.41</v>
      </c>
      <c r="N61" s="55">
        <v>0</v>
      </c>
      <c r="O61" s="54">
        <v>967378.55</v>
      </c>
      <c r="P61" s="54">
        <v>808716</v>
      </c>
      <c r="Q61" s="54">
        <v>-158662.54999999999</v>
      </c>
      <c r="R61" s="54">
        <v>863372</v>
      </c>
      <c r="S61" s="54">
        <v>-19.6191</v>
      </c>
      <c r="T61" s="54">
        <v>43656</v>
      </c>
      <c r="U61" s="55">
        <v>0</v>
      </c>
    </row>
    <row r="62" spans="2:21" x14ac:dyDescent="0.25">
      <c r="B62" s="56" t="s">
        <v>408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79994.16</v>
      </c>
      <c r="M62" s="58">
        <v>4826.1899999999996</v>
      </c>
      <c r="N62" s="57">
        <v>0</v>
      </c>
      <c r="O62" s="58">
        <v>84820.35</v>
      </c>
      <c r="P62" s="58">
        <v>110000</v>
      </c>
      <c r="Q62" s="58">
        <v>25179.65</v>
      </c>
      <c r="R62" s="58">
        <v>110000</v>
      </c>
      <c r="S62" s="58">
        <v>22.890599999999999</v>
      </c>
      <c r="T62" s="57">
        <v>0</v>
      </c>
      <c r="U62" s="57">
        <v>0</v>
      </c>
    </row>
    <row r="63" spans="2:21" x14ac:dyDescent="0.25">
      <c r="B63" s="53" t="s">
        <v>409</v>
      </c>
      <c r="C63" s="55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4">
        <v>79994.16</v>
      </c>
      <c r="M63" s="54">
        <v>4826.1899999999996</v>
      </c>
      <c r="N63" s="55">
        <v>0</v>
      </c>
      <c r="O63" s="54">
        <v>84820.35</v>
      </c>
      <c r="P63" s="54">
        <v>110000</v>
      </c>
      <c r="Q63" s="54">
        <v>25179.65</v>
      </c>
      <c r="R63" s="54">
        <v>110000</v>
      </c>
      <c r="S63" s="54">
        <v>22.890599999999999</v>
      </c>
      <c r="T63" s="55">
        <v>0</v>
      </c>
      <c r="U63" s="55">
        <v>0</v>
      </c>
    </row>
    <row r="64" spans="2:21" x14ac:dyDescent="0.25">
      <c r="B64" s="56" t="s">
        <v>410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8">
        <v>9784.8799999999992</v>
      </c>
      <c r="M64" s="57">
        <v>0</v>
      </c>
      <c r="N64" s="57">
        <v>0</v>
      </c>
      <c r="O64" s="58">
        <v>9784.8799999999992</v>
      </c>
      <c r="P64" s="57">
        <v>0</v>
      </c>
      <c r="Q64" s="58">
        <v>-9784.8799999999992</v>
      </c>
      <c r="R64" s="57">
        <v>0</v>
      </c>
      <c r="S64" s="57">
        <v>0</v>
      </c>
      <c r="T64" s="57">
        <v>0</v>
      </c>
      <c r="U64" s="57">
        <v>0</v>
      </c>
    </row>
    <row r="65" spans="2:21" x14ac:dyDescent="0.25">
      <c r="B65" s="56" t="s">
        <v>494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8">
        <v>565.59</v>
      </c>
      <c r="M65" s="57">
        <v>0</v>
      </c>
      <c r="N65" s="57">
        <v>0</v>
      </c>
      <c r="O65" s="58">
        <v>565.59</v>
      </c>
      <c r="P65" s="57">
        <v>0</v>
      </c>
      <c r="Q65" s="58">
        <v>-565.59</v>
      </c>
      <c r="R65" s="57">
        <v>0</v>
      </c>
      <c r="S65" s="57">
        <v>0</v>
      </c>
      <c r="T65" s="57">
        <v>0</v>
      </c>
      <c r="U65" s="57">
        <v>0</v>
      </c>
    </row>
    <row r="66" spans="2:21" x14ac:dyDescent="0.25">
      <c r="B66" s="56" t="s">
        <v>495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8">
        <v>131004.64</v>
      </c>
      <c r="M66" s="58">
        <v>6271.11</v>
      </c>
      <c r="N66" s="57">
        <v>0</v>
      </c>
      <c r="O66" s="58">
        <v>137275.75</v>
      </c>
      <c r="P66" s="58">
        <v>314000</v>
      </c>
      <c r="Q66" s="58">
        <v>176724.25</v>
      </c>
      <c r="R66" s="58">
        <v>328000</v>
      </c>
      <c r="S66" s="58">
        <v>56.281599999999997</v>
      </c>
      <c r="T66" s="58">
        <v>14000</v>
      </c>
      <c r="U66" s="57">
        <v>0</v>
      </c>
    </row>
    <row r="67" spans="2:21" x14ac:dyDescent="0.25">
      <c r="B67" s="56" t="s">
        <v>496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8">
        <v>24548.45</v>
      </c>
      <c r="M67" s="57">
        <v>0</v>
      </c>
      <c r="N67" s="57">
        <v>0</v>
      </c>
      <c r="O67" s="58">
        <v>24548.45</v>
      </c>
      <c r="P67" s="57">
        <v>0</v>
      </c>
      <c r="Q67" s="58">
        <v>-24548.45</v>
      </c>
      <c r="R67" s="57">
        <v>0</v>
      </c>
      <c r="S67" s="57">
        <v>0</v>
      </c>
      <c r="T67" s="57">
        <v>0</v>
      </c>
      <c r="U67" s="57">
        <v>0</v>
      </c>
    </row>
    <row r="68" spans="2:21" x14ac:dyDescent="0.25">
      <c r="B68" s="56" t="s">
        <v>411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37616.81</v>
      </c>
      <c r="M68" s="58">
        <v>11569.2</v>
      </c>
      <c r="N68" s="57">
        <v>0</v>
      </c>
      <c r="O68" s="58">
        <v>49186.01</v>
      </c>
      <c r="P68" s="57">
        <v>0</v>
      </c>
      <c r="Q68" s="58">
        <v>-49186.01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5">
      <c r="B69" s="56" t="s">
        <v>497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8">
        <v>25620.47</v>
      </c>
      <c r="M69" s="58">
        <v>8737.86</v>
      </c>
      <c r="N69" s="57">
        <v>0</v>
      </c>
      <c r="O69" s="58">
        <v>34358.33</v>
      </c>
      <c r="P69" s="57">
        <v>0</v>
      </c>
      <c r="Q69" s="58">
        <v>-34358.33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5">
      <c r="B70" s="56" t="s">
        <v>498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8">
        <v>120826.55</v>
      </c>
      <c r="M70" s="58">
        <v>8588.4699999999993</v>
      </c>
      <c r="N70" s="57">
        <v>0</v>
      </c>
      <c r="O70" s="58">
        <v>129415.02</v>
      </c>
      <c r="P70" s="57">
        <v>0</v>
      </c>
      <c r="Q70" s="58">
        <v>-129415.02</v>
      </c>
      <c r="R70" s="57">
        <v>0</v>
      </c>
      <c r="S70" s="57">
        <v>0</v>
      </c>
      <c r="T70" s="57">
        <v>0</v>
      </c>
      <c r="U70" s="57">
        <v>0</v>
      </c>
    </row>
    <row r="71" spans="2:21" x14ac:dyDescent="0.25">
      <c r="B71" s="56" t="s">
        <v>499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41072.769999999997</v>
      </c>
      <c r="M71" s="58">
        <v>3659.75</v>
      </c>
      <c r="N71" s="57">
        <v>0</v>
      </c>
      <c r="O71" s="58">
        <v>44732.52</v>
      </c>
      <c r="P71" s="57">
        <v>0</v>
      </c>
      <c r="Q71" s="58">
        <v>-44732.52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5">
      <c r="B72" s="56" t="s">
        <v>500</v>
      </c>
      <c r="C72" s="57">
        <v>0</v>
      </c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8">
        <v>26021.599999999999</v>
      </c>
      <c r="M72" s="58">
        <v>749.22</v>
      </c>
      <c r="N72" s="57">
        <v>0</v>
      </c>
      <c r="O72" s="58">
        <v>26770.82</v>
      </c>
      <c r="P72" s="57">
        <v>0</v>
      </c>
      <c r="Q72" s="58">
        <v>-26770.82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5">
      <c r="B73" s="53" t="s">
        <v>501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4">
        <v>417061.76</v>
      </c>
      <c r="M73" s="54">
        <v>39575.61</v>
      </c>
      <c r="N73" s="55">
        <v>0</v>
      </c>
      <c r="O73" s="54">
        <v>456637.37</v>
      </c>
      <c r="P73" s="54">
        <v>314000</v>
      </c>
      <c r="Q73" s="54">
        <v>-142637.37</v>
      </c>
      <c r="R73" s="54">
        <v>328000</v>
      </c>
      <c r="S73" s="54">
        <v>-45.425899999999999</v>
      </c>
      <c r="T73" s="54">
        <v>14000</v>
      </c>
      <c r="U73" s="55">
        <v>0</v>
      </c>
    </row>
    <row r="74" spans="2:21" x14ac:dyDescent="0.25">
      <c r="B74" s="56" t="s">
        <v>412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8">
        <v>146033.45000000001</v>
      </c>
      <c r="M74" s="58">
        <v>19591.68</v>
      </c>
      <c r="N74" s="57">
        <v>0</v>
      </c>
      <c r="O74" s="58">
        <v>165625.13</v>
      </c>
      <c r="P74" s="58">
        <v>140000</v>
      </c>
      <c r="Q74" s="58">
        <v>-25625.13</v>
      </c>
      <c r="R74" s="58">
        <v>150000</v>
      </c>
      <c r="S74" s="58">
        <v>-18.303699999999999</v>
      </c>
      <c r="T74" s="58">
        <v>10000</v>
      </c>
      <c r="U74" s="57">
        <v>0</v>
      </c>
    </row>
    <row r="75" spans="2:21" x14ac:dyDescent="0.25">
      <c r="B75" s="56" t="s">
        <v>451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8">
        <v>240</v>
      </c>
      <c r="M75" s="57">
        <v>0</v>
      </c>
      <c r="N75" s="57">
        <v>0</v>
      </c>
      <c r="O75" s="58">
        <v>240</v>
      </c>
      <c r="P75" s="57">
        <v>0</v>
      </c>
      <c r="Q75" s="58">
        <v>-240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5">
      <c r="B76" s="53" t="s">
        <v>413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4">
        <v>146273.45000000001</v>
      </c>
      <c r="M76" s="54">
        <v>19591.68</v>
      </c>
      <c r="N76" s="55">
        <v>0</v>
      </c>
      <c r="O76" s="54">
        <v>165865.13</v>
      </c>
      <c r="P76" s="54">
        <v>140000</v>
      </c>
      <c r="Q76" s="54">
        <v>-25865.13</v>
      </c>
      <c r="R76" s="54">
        <v>150000</v>
      </c>
      <c r="S76" s="54">
        <v>-18.475100000000001</v>
      </c>
      <c r="T76" s="54">
        <v>10000</v>
      </c>
      <c r="U76" s="55">
        <v>0</v>
      </c>
    </row>
    <row r="77" spans="2:21" x14ac:dyDescent="0.25">
      <c r="B77" s="56" t="s">
        <v>502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8">
        <v>63270.879999999997</v>
      </c>
      <c r="M77" s="58">
        <v>1451.36</v>
      </c>
      <c r="N77" s="57">
        <v>0</v>
      </c>
      <c r="O77" s="58">
        <v>64722.239999999998</v>
      </c>
      <c r="P77" s="58">
        <v>35000</v>
      </c>
      <c r="Q77" s="58">
        <v>-29722.240000000002</v>
      </c>
      <c r="R77" s="58">
        <v>38000</v>
      </c>
      <c r="S77" s="58">
        <v>-84.920699999999997</v>
      </c>
      <c r="T77" s="58">
        <v>3000</v>
      </c>
      <c r="U77" s="57">
        <v>0</v>
      </c>
    </row>
    <row r="78" spans="2:21" x14ac:dyDescent="0.25">
      <c r="B78" s="53" t="s">
        <v>415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4">
        <v>63270.879999999997</v>
      </c>
      <c r="M78" s="54">
        <v>1451.36</v>
      </c>
      <c r="N78" s="55">
        <v>0</v>
      </c>
      <c r="O78" s="54">
        <v>64722.239999999998</v>
      </c>
      <c r="P78" s="54">
        <v>35000</v>
      </c>
      <c r="Q78" s="54">
        <v>-29722.240000000002</v>
      </c>
      <c r="R78" s="54">
        <v>38000</v>
      </c>
      <c r="S78" s="54">
        <v>-84.920699999999997</v>
      </c>
      <c r="T78" s="54">
        <v>3000</v>
      </c>
      <c r="U78" s="55">
        <v>0</v>
      </c>
    </row>
    <row r="79" spans="2:21" x14ac:dyDescent="0.25">
      <c r="B79" s="53" t="s">
        <v>416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4">
        <v>49096.89</v>
      </c>
      <c r="M79" s="54">
        <v>7020.57</v>
      </c>
      <c r="N79" s="55">
        <v>0</v>
      </c>
      <c r="O79" s="54">
        <v>56117.46</v>
      </c>
      <c r="P79" s="54">
        <v>70500</v>
      </c>
      <c r="Q79" s="54">
        <v>14382.54</v>
      </c>
      <c r="R79" s="54">
        <v>85500</v>
      </c>
      <c r="S79" s="54">
        <v>20.4008</v>
      </c>
      <c r="T79" s="54">
        <v>4000</v>
      </c>
      <c r="U79" s="55">
        <v>0</v>
      </c>
    </row>
    <row r="80" spans="2:21" x14ac:dyDescent="0.25">
      <c r="B80" s="56" t="s">
        <v>417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1705.39</v>
      </c>
      <c r="M80" s="57">
        <v>0</v>
      </c>
      <c r="N80" s="57">
        <v>0</v>
      </c>
      <c r="O80" s="58">
        <v>1705.39</v>
      </c>
      <c r="P80" s="58">
        <v>28000</v>
      </c>
      <c r="Q80" s="58">
        <v>26294.61</v>
      </c>
      <c r="R80" s="58">
        <v>28000</v>
      </c>
      <c r="S80" s="58">
        <v>93.909300000000002</v>
      </c>
      <c r="T80" s="57">
        <v>0</v>
      </c>
      <c r="U80" s="57">
        <v>0</v>
      </c>
    </row>
    <row r="81" spans="2:21" x14ac:dyDescent="0.25">
      <c r="B81" s="53" t="s">
        <v>418</v>
      </c>
      <c r="C81" s="55">
        <v>0</v>
      </c>
      <c r="D81" s="55">
        <v>0</v>
      </c>
      <c r="E81" s="55">
        <v>0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4">
        <v>1705.39</v>
      </c>
      <c r="M81" s="55">
        <v>0</v>
      </c>
      <c r="N81" s="55">
        <v>0</v>
      </c>
      <c r="O81" s="54">
        <v>1705.39</v>
      </c>
      <c r="P81" s="54">
        <v>28000</v>
      </c>
      <c r="Q81" s="54">
        <v>26294.61</v>
      </c>
      <c r="R81" s="54">
        <v>28000</v>
      </c>
      <c r="S81" s="54">
        <v>93.909300000000002</v>
      </c>
      <c r="T81" s="55">
        <v>0</v>
      </c>
      <c r="U81" s="55">
        <v>0</v>
      </c>
    </row>
    <row r="82" spans="2:21" x14ac:dyDescent="0.25">
      <c r="B82" s="56" t="s">
        <v>419</v>
      </c>
      <c r="C82" s="57">
        <v>0</v>
      </c>
      <c r="D82" s="57">
        <v>0</v>
      </c>
      <c r="E82" s="57">
        <v>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8">
        <v>1996.65</v>
      </c>
      <c r="M82" s="57">
        <v>0</v>
      </c>
      <c r="N82" s="57">
        <v>0</v>
      </c>
      <c r="O82" s="58">
        <v>1996.65</v>
      </c>
      <c r="P82" s="57">
        <v>0</v>
      </c>
      <c r="Q82" s="58">
        <v>-1996.65</v>
      </c>
      <c r="R82" s="57">
        <v>0</v>
      </c>
      <c r="S82" s="57">
        <v>0</v>
      </c>
      <c r="T82" s="57">
        <v>0</v>
      </c>
      <c r="U82" s="57">
        <v>0</v>
      </c>
    </row>
    <row r="83" spans="2:21" x14ac:dyDescent="0.25">
      <c r="B83" s="56" t="s">
        <v>420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8">
        <v>26509.81</v>
      </c>
      <c r="M83" s="58">
        <v>2787.11</v>
      </c>
      <c r="N83" s="57">
        <v>0</v>
      </c>
      <c r="O83" s="58">
        <v>29296.92</v>
      </c>
      <c r="P83" s="58">
        <v>31500</v>
      </c>
      <c r="Q83" s="58">
        <v>2203.08</v>
      </c>
      <c r="R83" s="58">
        <v>34500</v>
      </c>
      <c r="S83" s="58">
        <v>6.9939</v>
      </c>
      <c r="T83" s="58">
        <v>3000</v>
      </c>
      <c r="U83" s="57">
        <v>0</v>
      </c>
    </row>
    <row r="84" spans="2:21" x14ac:dyDescent="0.25">
      <c r="B84" s="56" t="s">
        <v>421</v>
      </c>
      <c r="C84" s="57">
        <v>0</v>
      </c>
      <c r="D84" s="57">
        <v>0</v>
      </c>
      <c r="E84" s="57">
        <v>0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8">
        <v>1644.75</v>
      </c>
      <c r="M84" s="58">
        <v>167.3</v>
      </c>
      <c r="N84" s="57">
        <v>0</v>
      </c>
      <c r="O84" s="58">
        <v>1812.05</v>
      </c>
      <c r="P84" s="57">
        <v>0</v>
      </c>
      <c r="Q84" s="58">
        <v>-1812.05</v>
      </c>
      <c r="R84" s="57">
        <v>0</v>
      </c>
      <c r="S84" s="57">
        <v>0</v>
      </c>
      <c r="T84" s="57">
        <v>0</v>
      </c>
      <c r="U84" s="57">
        <v>0</v>
      </c>
    </row>
    <row r="85" spans="2:21" x14ac:dyDescent="0.25">
      <c r="B85" s="56" t="s">
        <v>422</v>
      </c>
      <c r="C85" s="57">
        <v>0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8">
        <v>679.37</v>
      </c>
      <c r="M85" s="58">
        <v>82.33</v>
      </c>
      <c r="N85" s="57">
        <v>0</v>
      </c>
      <c r="O85" s="58">
        <v>761.7</v>
      </c>
      <c r="P85" s="57">
        <v>0</v>
      </c>
      <c r="Q85" s="58">
        <v>-761.7</v>
      </c>
      <c r="R85" s="57">
        <v>0</v>
      </c>
      <c r="S85" s="57">
        <v>0</v>
      </c>
      <c r="T85" s="57">
        <v>0</v>
      </c>
      <c r="U85" s="57">
        <v>0</v>
      </c>
    </row>
    <row r="86" spans="2:21" x14ac:dyDescent="0.25">
      <c r="B86" s="53" t="s">
        <v>423</v>
      </c>
      <c r="C86" s="55">
        <v>0</v>
      </c>
      <c r="D86" s="55">
        <v>0</v>
      </c>
      <c r="E86" s="55">
        <v>0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4">
        <v>30830.58</v>
      </c>
      <c r="M86" s="54">
        <v>3036.74</v>
      </c>
      <c r="N86" s="55">
        <v>0</v>
      </c>
      <c r="O86" s="54">
        <v>33867.32</v>
      </c>
      <c r="P86" s="54">
        <v>31500</v>
      </c>
      <c r="Q86" s="54">
        <v>-2367.3200000000002</v>
      </c>
      <c r="R86" s="54">
        <v>34500</v>
      </c>
      <c r="S86" s="54">
        <v>-7.5152999999999999</v>
      </c>
      <c r="T86" s="54">
        <v>3000</v>
      </c>
      <c r="U86" s="55">
        <v>0</v>
      </c>
    </row>
    <row r="87" spans="2:21" x14ac:dyDescent="0.25">
      <c r="B87" s="56" t="s">
        <v>424</v>
      </c>
      <c r="C87" s="57">
        <v>0</v>
      </c>
      <c r="D87" s="57">
        <v>0</v>
      </c>
      <c r="E87" s="57">
        <v>0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8">
        <v>16560.919999999998</v>
      </c>
      <c r="M87" s="58">
        <v>3983.83</v>
      </c>
      <c r="N87" s="57">
        <v>0</v>
      </c>
      <c r="O87" s="58">
        <v>20544.75</v>
      </c>
      <c r="P87" s="58">
        <v>11000</v>
      </c>
      <c r="Q87" s="58">
        <v>-9544.75</v>
      </c>
      <c r="R87" s="58">
        <v>23000</v>
      </c>
      <c r="S87" s="58">
        <v>-86.770499999999998</v>
      </c>
      <c r="T87" s="58">
        <v>1000</v>
      </c>
      <c r="U87" s="57">
        <v>0</v>
      </c>
    </row>
    <row r="88" spans="2:21" x14ac:dyDescent="0.25">
      <c r="B88" s="53" t="s">
        <v>425</v>
      </c>
      <c r="C88" s="55">
        <v>0</v>
      </c>
      <c r="D88" s="55">
        <v>0</v>
      </c>
      <c r="E88" s="55">
        <v>0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4">
        <v>16560.919999999998</v>
      </c>
      <c r="M88" s="54">
        <v>3983.83</v>
      </c>
      <c r="N88" s="55">
        <v>0</v>
      </c>
      <c r="O88" s="54">
        <v>20544.75</v>
      </c>
      <c r="P88" s="54">
        <v>11000</v>
      </c>
      <c r="Q88" s="54">
        <v>-9544.75</v>
      </c>
      <c r="R88" s="54">
        <v>23000</v>
      </c>
      <c r="S88" s="54">
        <v>-86.770499999999998</v>
      </c>
      <c r="T88" s="54">
        <v>1000</v>
      </c>
      <c r="U88" s="55">
        <v>0</v>
      </c>
    </row>
    <row r="89" spans="2:21" x14ac:dyDescent="0.25">
      <c r="B89" s="56" t="s">
        <v>426</v>
      </c>
      <c r="C89" s="57">
        <v>0</v>
      </c>
      <c r="D89" s="57">
        <v>0</v>
      </c>
      <c r="E89" s="57">
        <v>0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8">
        <v>126560</v>
      </c>
      <c r="M89" s="58">
        <v>12656</v>
      </c>
      <c r="N89" s="57">
        <v>0</v>
      </c>
      <c r="O89" s="58">
        <v>139216</v>
      </c>
      <c r="P89" s="58">
        <v>139216</v>
      </c>
      <c r="Q89" s="57">
        <v>0</v>
      </c>
      <c r="R89" s="58">
        <v>151872</v>
      </c>
      <c r="S89" s="57">
        <v>0</v>
      </c>
      <c r="T89" s="58">
        <v>12656</v>
      </c>
      <c r="U89" s="57">
        <v>0</v>
      </c>
    </row>
    <row r="90" spans="2:21" x14ac:dyDescent="0.25">
      <c r="B90" s="53" t="s">
        <v>427</v>
      </c>
      <c r="C90" s="55">
        <v>0</v>
      </c>
      <c r="D90" s="55">
        <v>0</v>
      </c>
      <c r="E90" s="55">
        <v>0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4">
        <v>126560</v>
      </c>
      <c r="M90" s="54">
        <v>12656</v>
      </c>
      <c r="N90" s="55">
        <v>0</v>
      </c>
      <c r="O90" s="54">
        <v>139216</v>
      </c>
      <c r="P90" s="54">
        <v>139216</v>
      </c>
      <c r="Q90" s="55">
        <v>0</v>
      </c>
      <c r="R90" s="54">
        <v>151872</v>
      </c>
      <c r="S90" s="55">
        <v>0</v>
      </c>
      <c r="T90" s="54">
        <v>12656</v>
      </c>
      <c r="U90" s="55">
        <v>0</v>
      </c>
    </row>
    <row r="91" spans="2:21" x14ac:dyDescent="0.25">
      <c r="B91" s="56" t="s">
        <v>503</v>
      </c>
      <c r="C91" s="57">
        <v>0</v>
      </c>
      <c r="D91" s="57">
        <v>0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7">
        <v>0</v>
      </c>
      <c r="M91" s="57">
        <v>0</v>
      </c>
      <c r="N91" s="57">
        <v>0</v>
      </c>
      <c r="O91" s="57">
        <v>0</v>
      </c>
      <c r="P91" s="58">
        <v>291666.69</v>
      </c>
      <c r="Q91" s="58">
        <v>291666.69</v>
      </c>
      <c r="R91" s="58">
        <v>333333.36</v>
      </c>
      <c r="S91" s="58">
        <v>100</v>
      </c>
      <c r="T91" s="58">
        <v>41666.67</v>
      </c>
      <c r="U91" s="57">
        <v>0</v>
      </c>
    </row>
    <row r="92" spans="2:21" x14ac:dyDescent="0.25">
      <c r="B92" s="56" t="s">
        <v>504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8">
        <v>365240.23</v>
      </c>
      <c r="M92" s="58">
        <v>60873.37</v>
      </c>
      <c r="N92" s="57">
        <v>0</v>
      </c>
      <c r="O92" s="58">
        <v>426113.6</v>
      </c>
      <c r="P92" s="57">
        <v>0</v>
      </c>
      <c r="Q92" s="58">
        <v>-426113.6</v>
      </c>
      <c r="R92" s="57">
        <v>0</v>
      </c>
      <c r="S92" s="57">
        <v>0</v>
      </c>
      <c r="T92" s="57">
        <v>0</v>
      </c>
      <c r="U92" s="57">
        <v>0</v>
      </c>
    </row>
    <row r="93" spans="2:21" x14ac:dyDescent="0.25">
      <c r="B93" s="53" t="s">
        <v>414</v>
      </c>
      <c r="C93" s="55">
        <v>0</v>
      </c>
      <c r="D93" s="55">
        <v>0</v>
      </c>
      <c r="E93" s="55">
        <v>0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4">
        <v>365240.23</v>
      </c>
      <c r="M93" s="54">
        <v>60873.37</v>
      </c>
      <c r="N93" s="55">
        <v>0</v>
      </c>
      <c r="O93" s="54">
        <v>426113.6</v>
      </c>
      <c r="P93" s="54">
        <v>291666.69</v>
      </c>
      <c r="Q93" s="54">
        <v>-134446.91</v>
      </c>
      <c r="R93" s="54">
        <v>333333.36</v>
      </c>
      <c r="S93" s="54">
        <v>-46.0961</v>
      </c>
      <c r="T93" s="54">
        <v>41666.67</v>
      </c>
      <c r="U93" s="55">
        <v>0</v>
      </c>
    </row>
    <row r="94" spans="2:21" x14ac:dyDescent="0.25">
      <c r="B94" s="53" t="s">
        <v>428</v>
      </c>
      <c r="C94" s="55">
        <v>0</v>
      </c>
      <c r="D94" s="55">
        <v>0</v>
      </c>
      <c r="E94" s="55">
        <v>0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4">
        <v>81980.34</v>
      </c>
      <c r="M94" s="54">
        <v>12158.62</v>
      </c>
      <c r="N94" s="55">
        <v>0</v>
      </c>
      <c r="O94" s="54">
        <v>94138.96</v>
      </c>
      <c r="P94" s="54">
        <v>73238.740000000005</v>
      </c>
      <c r="Q94" s="54">
        <v>-20900.22</v>
      </c>
      <c r="R94" s="54">
        <v>80022.47</v>
      </c>
      <c r="S94" s="54">
        <v>-28.537099999999999</v>
      </c>
      <c r="T94" s="54">
        <v>6564.9</v>
      </c>
      <c r="U94" s="55">
        <v>0</v>
      </c>
    </row>
    <row r="95" spans="2:21" x14ac:dyDescent="0.25">
      <c r="B95" s="56" t="s">
        <v>505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8">
        <v>49970.52</v>
      </c>
      <c r="M95" s="58">
        <v>7645.44</v>
      </c>
      <c r="N95" s="57">
        <v>0</v>
      </c>
      <c r="O95" s="58">
        <v>57615.96</v>
      </c>
      <c r="P95" s="58">
        <v>25220.29</v>
      </c>
      <c r="Q95" s="58">
        <v>-32395.67</v>
      </c>
      <c r="R95" s="58">
        <v>27554.82</v>
      </c>
      <c r="S95" s="58">
        <v>-128.45079999999999</v>
      </c>
      <c r="T95" s="58">
        <v>2259.2199999999998</v>
      </c>
      <c r="U95" s="57">
        <v>0</v>
      </c>
    </row>
    <row r="96" spans="2:21" x14ac:dyDescent="0.25">
      <c r="B96" s="53" t="s">
        <v>429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4">
        <v>49970.52</v>
      </c>
      <c r="M96" s="54">
        <v>7645.44</v>
      </c>
      <c r="N96" s="55">
        <v>0</v>
      </c>
      <c r="O96" s="54">
        <v>57615.96</v>
      </c>
      <c r="P96" s="54">
        <v>25220.29</v>
      </c>
      <c r="Q96" s="54">
        <v>-32395.67</v>
      </c>
      <c r="R96" s="54">
        <v>27554.82</v>
      </c>
      <c r="S96" s="54">
        <v>-128.45079999999999</v>
      </c>
      <c r="T96" s="54">
        <v>2259.2199999999998</v>
      </c>
      <c r="U96" s="55">
        <v>0</v>
      </c>
    </row>
    <row r="97" spans="2:21" x14ac:dyDescent="0.25">
      <c r="B97" s="56" t="s">
        <v>430</v>
      </c>
      <c r="C97" s="57">
        <v>0</v>
      </c>
      <c r="D97" s="57">
        <v>0</v>
      </c>
      <c r="E97" s="57">
        <v>0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8">
        <v>32413.84</v>
      </c>
      <c r="M97" s="58">
        <v>3719.7</v>
      </c>
      <c r="N97" s="57">
        <v>0</v>
      </c>
      <c r="O97" s="58">
        <v>36133.54</v>
      </c>
      <c r="P97" s="58">
        <v>41604.78</v>
      </c>
      <c r="Q97" s="58">
        <v>5471.24</v>
      </c>
      <c r="R97" s="58">
        <v>45458.7</v>
      </c>
      <c r="S97" s="58">
        <v>13.150499999999999</v>
      </c>
      <c r="T97" s="58">
        <v>3729.6</v>
      </c>
      <c r="U97" s="57">
        <v>0</v>
      </c>
    </row>
    <row r="98" spans="2:21" x14ac:dyDescent="0.25">
      <c r="B98" s="53" t="s">
        <v>431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32413.84</v>
      </c>
      <c r="M98" s="54">
        <v>3719.7</v>
      </c>
      <c r="N98" s="55">
        <v>0</v>
      </c>
      <c r="O98" s="54">
        <v>36133.54</v>
      </c>
      <c r="P98" s="54">
        <v>41604.78</v>
      </c>
      <c r="Q98" s="54">
        <v>5471.24</v>
      </c>
      <c r="R98" s="54">
        <v>45458.7</v>
      </c>
      <c r="S98" s="54">
        <v>13.150499999999999</v>
      </c>
      <c r="T98" s="54">
        <v>3729.6</v>
      </c>
      <c r="U98" s="55">
        <v>0</v>
      </c>
    </row>
    <row r="99" spans="2:21" x14ac:dyDescent="0.25">
      <c r="B99" s="56" t="s">
        <v>506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8">
        <v>-404.02</v>
      </c>
      <c r="M99" s="58">
        <v>793.48</v>
      </c>
      <c r="N99" s="57">
        <v>0</v>
      </c>
      <c r="O99" s="58">
        <v>389.46</v>
      </c>
      <c r="P99" s="58">
        <v>6413.67</v>
      </c>
      <c r="Q99" s="58">
        <v>6024.21</v>
      </c>
      <c r="R99" s="58">
        <v>7008.95</v>
      </c>
      <c r="S99" s="58">
        <v>93.927700000000002</v>
      </c>
      <c r="T99" s="58">
        <v>576.08000000000004</v>
      </c>
      <c r="U99" s="57">
        <v>0</v>
      </c>
    </row>
    <row r="100" spans="2:21" x14ac:dyDescent="0.25">
      <c r="B100" s="53" t="s">
        <v>432</v>
      </c>
      <c r="C100" s="55">
        <v>0</v>
      </c>
      <c r="D100" s="55">
        <v>0</v>
      </c>
      <c r="E100" s="55">
        <v>0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  <c r="K100" s="55">
        <v>0</v>
      </c>
      <c r="L100" s="54">
        <v>-404.02</v>
      </c>
      <c r="M100" s="54">
        <v>793.48</v>
      </c>
      <c r="N100" s="55">
        <v>0</v>
      </c>
      <c r="O100" s="54">
        <v>389.46</v>
      </c>
      <c r="P100" s="54">
        <v>6413.67</v>
      </c>
      <c r="Q100" s="54">
        <v>6024.21</v>
      </c>
      <c r="R100" s="54">
        <v>7008.95</v>
      </c>
      <c r="S100" s="54">
        <v>93.927700000000002</v>
      </c>
      <c r="T100" s="54">
        <v>576.08000000000004</v>
      </c>
      <c r="U100" s="55">
        <v>0</v>
      </c>
    </row>
    <row r="101" spans="2:21" x14ac:dyDescent="0.25">
      <c r="B101" s="53" t="s">
        <v>433</v>
      </c>
      <c r="C101" s="55">
        <v>0</v>
      </c>
      <c r="D101" s="55">
        <v>0</v>
      </c>
      <c r="E101" s="55">
        <v>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4">
        <v>2874224.74</v>
      </c>
      <c r="M101" s="54">
        <v>311783.17</v>
      </c>
      <c r="N101" s="55">
        <v>0</v>
      </c>
      <c r="O101" s="54">
        <v>3186007.91</v>
      </c>
      <c r="P101" s="54">
        <v>2860699.51</v>
      </c>
      <c r="Q101" s="54">
        <v>-325308.40000000002</v>
      </c>
      <c r="R101" s="54">
        <v>3113563.27</v>
      </c>
      <c r="S101" s="54">
        <v>-11.371600000000001</v>
      </c>
      <c r="T101" s="54">
        <v>241644.93</v>
      </c>
      <c r="U101" s="55">
        <v>0</v>
      </c>
    </row>
    <row r="102" spans="2:21" x14ac:dyDescent="0.25">
      <c r="B102" s="53" t="s">
        <v>434</v>
      </c>
      <c r="C102" s="55">
        <v>0</v>
      </c>
      <c r="D102" s="55">
        <v>0</v>
      </c>
      <c r="E102" s="55">
        <v>0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4">
        <v>-3211930.72</v>
      </c>
      <c r="M102" s="54">
        <v>-316626.84000000003</v>
      </c>
      <c r="N102" s="55">
        <v>0</v>
      </c>
      <c r="O102" s="54">
        <v>-3528557.56</v>
      </c>
      <c r="P102" s="54">
        <v>-3339663.37</v>
      </c>
      <c r="Q102" s="54">
        <v>188894.19</v>
      </c>
      <c r="R102" s="54">
        <v>-3461470.17</v>
      </c>
      <c r="S102" s="54">
        <v>-5.6561000000000003</v>
      </c>
      <c r="T102" s="54">
        <v>-351241</v>
      </c>
      <c r="U102" s="55">
        <v>0</v>
      </c>
    </row>
    <row r="103" spans="2:21" x14ac:dyDescent="0.25">
      <c r="B103" s="56" t="s">
        <v>507</v>
      </c>
      <c r="C103" s="57">
        <v>0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58">
        <v>317311.06</v>
      </c>
      <c r="Q103" s="58">
        <v>317311.06</v>
      </c>
      <c r="R103" s="58">
        <v>346157.52</v>
      </c>
      <c r="S103" s="58">
        <v>100</v>
      </c>
      <c r="T103" s="58">
        <v>28846.46</v>
      </c>
      <c r="U103" s="57">
        <v>0</v>
      </c>
    </row>
    <row r="104" spans="2:21" x14ac:dyDescent="0.25">
      <c r="B104" s="56" t="s">
        <v>508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8">
        <v>186511.2</v>
      </c>
      <c r="M104" s="58">
        <v>18651.11</v>
      </c>
      <c r="N104" s="57">
        <v>0</v>
      </c>
      <c r="O104" s="58">
        <v>205162.31</v>
      </c>
      <c r="P104" s="57">
        <v>0</v>
      </c>
      <c r="Q104" s="58">
        <v>-205162.31</v>
      </c>
      <c r="R104" s="57">
        <v>0</v>
      </c>
      <c r="S104" s="57">
        <v>0</v>
      </c>
      <c r="T104" s="57">
        <v>0</v>
      </c>
      <c r="U104" s="57">
        <v>0</v>
      </c>
    </row>
    <row r="105" spans="2:21" x14ac:dyDescent="0.25">
      <c r="B105" s="56" t="s">
        <v>509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8">
        <v>200.84</v>
      </c>
      <c r="M105" s="58">
        <v>18.36</v>
      </c>
      <c r="N105" s="57">
        <v>0</v>
      </c>
      <c r="O105" s="58">
        <v>219.2</v>
      </c>
      <c r="P105" s="57">
        <v>0</v>
      </c>
      <c r="Q105" s="58">
        <v>-219.2</v>
      </c>
      <c r="R105" s="57">
        <v>0</v>
      </c>
      <c r="S105" s="57">
        <v>0</v>
      </c>
      <c r="T105" s="57">
        <v>0</v>
      </c>
      <c r="U105" s="57">
        <v>0</v>
      </c>
    </row>
    <row r="106" spans="2:21" x14ac:dyDescent="0.25">
      <c r="B106" s="56" t="s">
        <v>510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8">
        <v>2714.17</v>
      </c>
      <c r="M106" s="58">
        <v>277.07</v>
      </c>
      <c r="N106" s="57">
        <v>0</v>
      </c>
      <c r="O106" s="58">
        <v>2991.24</v>
      </c>
      <c r="P106" s="57">
        <v>0</v>
      </c>
      <c r="Q106" s="58">
        <v>-2991.24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5">
      <c r="B107" s="56" t="s">
        <v>511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8">
        <v>1538.8</v>
      </c>
      <c r="M107" s="58">
        <v>151.93</v>
      </c>
      <c r="N107" s="57">
        <v>0</v>
      </c>
      <c r="O107" s="58">
        <v>1690.73</v>
      </c>
      <c r="P107" s="57">
        <v>0</v>
      </c>
      <c r="Q107" s="58">
        <v>-1690.73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5">
      <c r="B108" s="56" t="s">
        <v>512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8">
        <v>102588.64</v>
      </c>
      <c r="M108" s="58">
        <v>10412.879999999999</v>
      </c>
      <c r="N108" s="57">
        <v>0</v>
      </c>
      <c r="O108" s="58">
        <v>113001.52</v>
      </c>
      <c r="P108" s="57">
        <v>0</v>
      </c>
      <c r="Q108" s="58">
        <v>-113001.52</v>
      </c>
      <c r="R108" s="57">
        <v>0</v>
      </c>
      <c r="S108" s="57">
        <v>0</v>
      </c>
      <c r="T108" s="57">
        <v>0</v>
      </c>
      <c r="U108" s="57">
        <v>0</v>
      </c>
    </row>
    <row r="109" spans="2:21" x14ac:dyDescent="0.25">
      <c r="B109" s="56" t="s">
        <v>513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3282.92</v>
      </c>
      <c r="M109" s="58">
        <v>328.29</v>
      </c>
      <c r="N109" s="57">
        <v>0</v>
      </c>
      <c r="O109" s="58">
        <v>3611.21</v>
      </c>
      <c r="P109" s="57">
        <v>0</v>
      </c>
      <c r="Q109" s="58">
        <v>-3611.21</v>
      </c>
      <c r="R109" s="57">
        <v>0</v>
      </c>
      <c r="S109" s="57">
        <v>0</v>
      </c>
      <c r="T109" s="57">
        <v>0</v>
      </c>
      <c r="U109" s="57">
        <v>0</v>
      </c>
    </row>
    <row r="110" spans="2:21" x14ac:dyDescent="0.25">
      <c r="B110" s="53" t="s">
        <v>435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4">
        <v>296836.57</v>
      </c>
      <c r="M110" s="54">
        <v>29839.64</v>
      </c>
      <c r="N110" s="55">
        <v>0</v>
      </c>
      <c r="O110" s="54">
        <v>326676.21000000002</v>
      </c>
      <c r="P110" s="54">
        <v>317311.06</v>
      </c>
      <c r="Q110" s="54">
        <v>-9365.15</v>
      </c>
      <c r="R110" s="54">
        <v>346157.52</v>
      </c>
      <c r="S110" s="54">
        <v>-2.9514</v>
      </c>
      <c r="T110" s="54">
        <v>28846.46</v>
      </c>
      <c r="U110" s="55">
        <v>0</v>
      </c>
    </row>
    <row r="111" spans="2:21" x14ac:dyDescent="0.25">
      <c r="B111" s="53" t="s">
        <v>436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4">
        <v>6558.35</v>
      </c>
      <c r="M111" s="54">
        <v>485.05</v>
      </c>
      <c r="N111" s="55">
        <v>0</v>
      </c>
      <c r="O111" s="54">
        <v>7043.4</v>
      </c>
      <c r="P111" s="54">
        <v>9742.92</v>
      </c>
      <c r="Q111" s="54">
        <v>2699.52</v>
      </c>
      <c r="R111" s="54">
        <v>10628.64</v>
      </c>
      <c r="S111" s="54">
        <v>27.7075</v>
      </c>
      <c r="T111" s="54">
        <v>885.72</v>
      </c>
      <c r="U111" s="55">
        <v>0</v>
      </c>
    </row>
    <row r="112" spans="2:21" x14ac:dyDescent="0.25">
      <c r="B112" s="56" t="s">
        <v>514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7">
        <v>0</v>
      </c>
      <c r="P112" s="58">
        <v>9742.92</v>
      </c>
      <c r="Q112" s="58">
        <v>9742.92</v>
      </c>
      <c r="R112" s="58">
        <v>10628.64</v>
      </c>
      <c r="S112" s="58">
        <v>100</v>
      </c>
      <c r="T112" s="58">
        <v>885.72</v>
      </c>
      <c r="U112" s="57">
        <v>0</v>
      </c>
    </row>
    <row r="113" spans="2:21" x14ac:dyDescent="0.25">
      <c r="B113" s="56" t="s">
        <v>515</v>
      </c>
      <c r="C113" s="57">
        <v>0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7">
        <v>0</v>
      </c>
      <c r="P113" s="57">
        <v>0</v>
      </c>
      <c r="Q113" s="57">
        <v>0</v>
      </c>
      <c r="R113" s="57">
        <v>0</v>
      </c>
      <c r="S113" s="57">
        <v>0</v>
      </c>
      <c r="T113" s="57">
        <v>0</v>
      </c>
      <c r="U113" s="57">
        <v>0</v>
      </c>
    </row>
    <row r="114" spans="2:21" x14ac:dyDescent="0.25">
      <c r="B114" s="56" t="s">
        <v>437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8">
        <v>4513.8100000000004</v>
      </c>
      <c r="M114" s="58">
        <v>485.05</v>
      </c>
      <c r="N114" s="57">
        <v>0</v>
      </c>
      <c r="O114" s="58">
        <v>4998.8599999999997</v>
      </c>
      <c r="P114" s="57">
        <v>0</v>
      </c>
      <c r="Q114" s="58">
        <v>-4998.8599999999997</v>
      </c>
      <c r="R114" s="57">
        <v>0</v>
      </c>
      <c r="S114" s="57">
        <v>0</v>
      </c>
      <c r="T114" s="57">
        <v>0</v>
      </c>
      <c r="U114" s="57">
        <v>0</v>
      </c>
    </row>
    <row r="115" spans="2:21" x14ac:dyDescent="0.25">
      <c r="B115" s="56" t="s">
        <v>516</v>
      </c>
      <c r="C115" s="57">
        <v>0</v>
      </c>
      <c r="D115" s="57">
        <v>0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8">
        <v>542.87</v>
      </c>
      <c r="M115" s="57">
        <v>0</v>
      </c>
      <c r="N115" s="57">
        <v>0</v>
      </c>
      <c r="O115" s="58">
        <v>542.87</v>
      </c>
      <c r="P115" s="57">
        <v>0</v>
      </c>
      <c r="Q115" s="58">
        <v>-542.87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5">
      <c r="B116" s="53" t="s">
        <v>438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4">
        <v>5056.68</v>
      </c>
      <c r="M116" s="54">
        <v>485.05</v>
      </c>
      <c r="N116" s="55">
        <v>0</v>
      </c>
      <c r="O116" s="54">
        <v>5541.73</v>
      </c>
      <c r="P116" s="54">
        <v>9742.92</v>
      </c>
      <c r="Q116" s="54">
        <v>4201.1899999999996</v>
      </c>
      <c r="R116" s="54">
        <v>10628.64</v>
      </c>
      <c r="S116" s="54">
        <v>43.120399999999997</v>
      </c>
      <c r="T116" s="54">
        <v>885.72</v>
      </c>
      <c r="U116" s="55">
        <v>0</v>
      </c>
    </row>
    <row r="117" spans="2:21" x14ac:dyDescent="0.25">
      <c r="B117" s="56" t="s">
        <v>525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8">
        <v>12.13</v>
      </c>
      <c r="M117" s="57">
        <v>0</v>
      </c>
      <c r="N117" s="57">
        <v>0</v>
      </c>
      <c r="O117" s="58">
        <v>12.13</v>
      </c>
      <c r="P117" s="57">
        <v>0</v>
      </c>
      <c r="Q117" s="58">
        <v>-12.13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5">
      <c r="B118" s="56" t="s">
        <v>526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8">
        <v>1443.89</v>
      </c>
      <c r="M118" s="57">
        <v>0</v>
      </c>
      <c r="N118" s="57">
        <v>0</v>
      </c>
      <c r="O118" s="58">
        <v>1443.89</v>
      </c>
      <c r="P118" s="57">
        <v>0</v>
      </c>
      <c r="Q118" s="58">
        <v>-1443.89</v>
      </c>
      <c r="R118" s="57">
        <v>0</v>
      </c>
      <c r="S118" s="57">
        <v>0</v>
      </c>
      <c r="T118" s="57">
        <v>0</v>
      </c>
      <c r="U118" s="57">
        <v>0</v>
      </c>
    </row>
    <row r="119" spans="2:21" x14ac:dyDescent="0.25">
      <c r="B119" s="53" t="s">
        <v>518</v>
      </c>
      <c r="C119" s="55">
        <v>0</v>
      </c>
      <c r="D119" s="55">
        <v>0</v>
      </c>
      <c r="E119" s="55">
        <v>0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4">
        <v>1456.02</v>
      </c>
      <c r="M119" s="55">
        <v>0</v>
      </c>
      <c r="N119" s="55">
        <v>0</v>
      </c>
      <c r="O119" s="54">
        <v>1456.02</v>
      </c>
      <c r="P119" s="55">
        <v>0</v>
      </c>
      <c r="Q119" s="54">
        <v>-1456.02</v>
      </c>
      <c r="R119" s="55">
        <v>0</v>
      </c>
      <c r="S119" s="55">
        <v>0</v>
      </c>
      <c r="T119" s="55">
        <v>0</v>
      </c>
      <c r="U119" s="55">
        <v>0</v>
      </c>
    </row>
    <row r="120" spans="2:21" x14ac:dyDescent="0.25">
      <c r="B120" s="56" t="s">
        <v>439</v>
      </c>
      <c r="C120" s="57">
        <v>0</v>
      </c>
      <c r="D120" s="57">
        <v>0</v>
      </c>
      <c r="E120" s="57">
        <v>0</v>
      </c>
      <c r="F120" s="57">
        <v>0</v>
      </c>
      <c r="G120" s="57">
        <v>0</v>
      </c>
      <c r="H120" s="57">
        <v>0</v>
      </c>
      <c r="I120" s="57">
        <v>0</v>
      </c>
      <c r="J120" s="57">
        <v>0</v>
      </c>
      <c r="K120" s="57">
        <v>0</v>
      </c>
      <c r="L120" s="58">
        <v>45.65</v>
      </c>
      <c r="M120" s="57">
        <v>0</v>
      </c>
      <c r="N120" s="57">
        <v>0</v>
      </c>
      <c r="O120" s="58">
        <v>45.65</v>
      </c>
      <c r="P120" s="57">
        <v>0</v>
      </c>
      <c r="Q120" s="58">
        <v>-45.65</v>
      </c>
      <c r="R120" s="57">
        <v>0</v>
      </c>
      <c r="S120" s="57">
        <v>0</v>
      </c>
      <c r="T120" s="57">
        <v>0</v>
      </c>
      <c r="U120" s="57">
        <v>0</v>
      </c>
    </row>
    <row r="121" spans="2:21" x14ac:dyDescent="0.25">
      <c r="B121" s="53" t="s">
        <v>440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4">
        <v>45.65</v>
      </c>
      <c r="M121" s="55">
        <v>0</v>
      </c>
      <c r="N121" s="55">
        <v>0</v>
      </c>
      <c r="O121" s="54">
        <v>45.65</v>
      </c>
      <c r="P121" s="55">
        <v>0</v>
      </c>
      <c r="Q121" s="54">
        <v>-45.65</v>
      </c>
      <c r="R121" s="55">
        <v>0</v>
      </c>
      <c r="S121" s="55">
        <v>0</v>
      </c>
      <c r="T121" s="55">
        <v>0</v>
      </c>
      <c r="U121" s="55">
        <v>0</v>
      </c>
    </row>
    <row r="122" spans="2:21" x14ac:dyDescent="0.25">
      <c r="B122" s="53" t="s">
        <v>441</v>
      </c>
      <c r="C122" s="55">
        <v>0</v>
      </c>
      <c r="D122" s="55">
        <v>0</v>
      </c>
      <c r="E122" s="55">
        <v>0</v>
      </c>
      <c r="F122" s="55">
        <v>0</v>
      </c>
      <c r="G122" s="55">
        <v>0</v>
      </c>
      <c r="H122" s="55">
        <v>0</v>
      </c>
      <c r="I122" s="55">
        <v>0</v>
      </c>
      <c r="J122" s="55">
        <v>0</v>
      </c>
      <c r="K122" s="55">
        <v>0</v>
      </c>
      <c r="L122" s="54">
        <v>-2908535.8</v>
      </c>
      <c r="M122" s="54">
        <v>-286302.15000000002</v>
      </c>
      <c r="N122" s="55">
        <v>0</v>
      </c>
      <c r="O122" s="54">
        <v>-3194837.95</v>
      </c>
      <c r="P122" s="54">
        <v>-3012609.39</v>
      </c>
      <c r="Q122" s="54">
        <v>182228.56</v>
      </c>
      <c r="R122" s="54">
        <v>-3104684.01</v>
      </c>
      <c r="S122" s="54">
        <v>-6.0488999999999997</v>
      </c>
      <c r="T122" s="54">
        <v>-321508.82</v>
      </c>
      <c r="U122" s="55">
        <v>0</v>
      </c>
    </row>
    <row r="123" spans="2:21" x14ac:dyDescent="0.25">
      <c r="B123" s="53" t="s">
        <v>442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5">
      <c r="B124" s="53" t="s">
        <v>443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</row>
    <row r="125" spans="2:21" x14ac:dyDescent="0.25">
      <c r="B125" s="53" t="s">
        <v>444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5">
      <c r="B126" s="53" t="s">
        <v>445</v>
      </c>
      <c r="C126" s="55">
        <v>0</v>
      </c>
      <c r="D126" s="55">
        <v>0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4">
        <v>-2908535.8</v>
      </c>
      <c r="M126" s="54">
        <v>-286302.15000000002</v>
      </c>
      <c r="N126" s="55">
        <v>0</v>
      </c>
      <c r="O126" s="54">
        <v>-3194837.95</v>
      </c>
      <c r="P126" s="54">
        <v>-3012609.39</v>
      </c>
      <c r="Q126" s="54">
        <v>182228.56</v>
      </c>
      <c r="R126" s="54">
        <v>-3104684.01</v>
      </c>
      <c r="S126" s="54">
        <v>-6.0488999999999997</v>
      </c>
      <c r="T126" s="54">
        <v>-321508.82</v>
      </c>
      <c r="U126" s="55">
        <v>0</v>
      </c>
    </row>
    <row r="127" spans="2:21" x14ac:dyDescent="0.25">
      <c r="B127" s="53" t="s">
        <v>452</v>
      </c>
      <c r="C127" s="55">
        <v>0</v>
      </c>
      <c r="D127" s="55">
        <v>0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4">
        <v>416.82</v>
      </c>
      <c r="M127" s="55">
        <v>0</v>
      </c>
      <c r="N127" s="55">
        <v>0</v>
      </c>
      <c r="O127" s="54">
        <v>416.82</v>
      </c>
      <c r="P127" s="55">
        <v>0</v>
      </c>
      <c r="Q127" s="54">
        <v>-416.82</v>
      </c>
      <c r="R127" s="55">
        <v>0</v>
      </c>
      <c r="S127" s="55">
        <v>0</v>
      </c>
      <c r="T127" s="55">
        <v>0</v>
      </c>
      <c r="U127" s="55">
        <v>0</v>
      </c>
    </row>
    <row r="128" spans="2:21" x14ac:dyDescent="0.25">
      <c r="B128" s="56" t="s">
        <v>519</v>
      </c>
      <c r="C128" s="57">
        <v>0</v>
      </c>
      <c r="D128" s="57">
        <v>0</v>
      </c>
      <c r="E128" s="57">
        <v>0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8">
        <v>416.82</v>
      </c>
      <c r="M128" s="57">
        <v>0</v>
      </c>
      <c r="N128" s="57">
        <v>0</v>
      </c>
      <c r="O128" s="58">
        <v>416.82</v>
      </c>
      <c r="P128" s="57">
        <v>0</v>
      </c>
      <c r="Q128" s="58">
        <v>-416.82</v>
      </c>
      <c r="R128" s="57">
        <v>0</v>
      </c>
      <c r="S128" s="57">
        <v>0</v>
      </c>
      <c r="T128" s="57">
        <v>0</v>
      </c>
      <c r="U128" s="57">
        <v>0</v>
      </c>
    </row>
    <row r="129" spans="2:21" x14ac:dyDescent="0.25">
      <c r="B129" s="56" t="s">
        <v>530</v>
      </c>
      <c r="C129" s="57">
        <v>0</v>
      </c>
      <c r="D129" s="57">
        <v>0</v>
      </c>
      <c r="E129" s="57">
        <v>0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0</v>
      </c>
      <c r="L129" s="57">
        <v>0</v>
      </c>
      <c r="M129" s="57">
        <v>0</v>
      </c>
      <c r="N129" s="57">
        <v>0</v>
      </c>
      <c r="O129" s="57">
        <v>0</v>
      </c>
      <c r="P129" s="57">
        <v>0</v>
      </c>
      <c r="Q129" s="57">
        <v>0</v>
      </c>
      <c r="R129" s="57">
        <v>0</v>
      </c>
      <c r="S129" s="57">
        <v>0</v>
      </c>
      <c r="T129" s="57">
        <v>0</v>
      </c>
      <c r="U129" s="57">
        <v>0</v>
      </c>
    </row>
    <row r="130" spans="2:21" x14ac:dyDescent="0.25">
      <c r="B130" s="53" t="s">
        <v>520</v>
      </c>
      <c r="C130" s="55">
        <v>0</v>
      </c>
      <c r="D130" s="55">
        <v>0</v>
      </c>
      <c r="E130" s="55">
        <v>0</v>
      </c>
      <c r="F130" s="55">
        <v>0</v>
      </c>
      <c r="G130" s="55">
        <v>0</v>
      </c>
      <c r="H130" s="55">
        <v>0</v>
      </c>
      <c r="I130" s="55">
        <v>0</v>
      </c>
      <c r="J130" s="55">
        <v>0</v>
      </c>
      <c r="K130" s="55">
        <v>0</v>
      </c>
      <c r="L130" s="54">
        <v>416.82</v>
      </c>
      <c r="M130" s="55">
        <v>0</v>
      </c>
      <c r="N130" s="55">
        <v>0</v>
      </c>
      <c r="O130" s="54">
        <v>416.82</v>
      </c>
      <c r="P130" s="55">
        <v>0</v>
      </c>
      <c r="Q130" s="54">
        <v>-416.82</v>
      </c>
      <c r="R130" s="55">
        <v>0</v>
      </c>
      <c r="S130" s="55">
        <v>0</v>
      </c>
      <c r="T130" s="55">
        <v>0</v>
      </c>
      <c r="U130" s="55">
        <v>0</v>
      </c>
    </row>
    <row r="131" spans="2:21" x14ac:dyDescent="0.25">
      <c r="B131" s="56" t="s">
        <v>527</v>
      </c>
      <c r="C131" s="57">
        <v>0</v>
      </c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7">
        <v>0</v>
      </c>
      <c r="M131" s="57">
        <v>0</v>
      </c>
      <c r="N131" s="57">
        <v>0</v>
      </c>
      <c r="O131" s="57">
        <v>0</v>
      </c>
      <c r="P131" s="57">
        <v>0</v>
      </c>
      <c r="Q131" s="57">
        <v>0</v>
      </c>
      <c r="R131" s="57">
        <v>0</v>
      </c>
      <c r="S131" s="57">
        <v>0</v>
      </c>
      <c r="T131" s="57">
        <v>0</v>
      </c>
      <c r="U131" s="57">
        <v>0</v>
      </c>
    </row>
    <row r="132" spans="2:21" x14ac:dyDescent="0.25">
      <c r="B132" s="53" t="s">
        <v>528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5">
        <v>0</v>
      </c>
      <c r="L132" s="55">
        <v>0</v>
      </c>
      <c r="M132" s="55">
        <v>0</v>
      </c>
      <c r="N132" s="55">
        <v>0</v>
      </c>
      <c r="O132" s="55">
        <v>0</v>
      </c>
      <c r="P132" s="55">
        <v>0</v>
      </c>
      <c r="Q132" s="55">
        <v>0</v>
      </c>
      <c r="R132" s="55">
        <v>0</v>
      </c>
      <c r="S132" s="55">
        <v>0</v>
      </c>
      <c r="T132" s="55">
        <v>0</v>
      </c>
      <c r="U132" s="55">
        <v>0</v>
      </c>
    </row>
    <row r="133" spans="2:21" x14ac:dyDescent="0.25">
      <c r="B133" s="59" t="s">
        <v>521</v>
      </c>
      <c r="C133" s="61">
        <v>0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61">
        <v>0</v>
      </c>
      <c r="K133" s="61">
        <v>0</v>
      </c>
      <c r="L133" s="60">
        <v>-2908118.98</v>
      </c>
      <c r="M133" s="60">
        <v>-286302.15000000002</v>
      </c>
      <c r="N133" s="61">
        <v>0</v>
      </c>
      <c r="O133" s="60">
        <v>-3194421.13</v>
      </c>
      <c r="P133" s="60">
        <v>-3012609.39</v>
      </c>
      <c r="Q133" s="60">
        <v>181811.74</v>
      </c>
      <c r="R133" s="60">
        <v>-3104684.01</v>
      </c>
      <c r="S133" s="60">
        <v>-6.0350000000000001</v>
      </c>
      <c r="T133" s="60">
        <v>-321508.82</v>
      </c>
      <c r="U133" s="61">
        <v>0</v>
      </c>
    </row>
    <row r="134" spans="2:21" x14ac:dyDescent="0.25">
      <c r="B134" s="53" t="s">
        <v>522</v>
      </c>
      <c r="C134" s="55">
        <v>0</v>
      </c>
      <c r="D134" s="55">
        <v>0</v>
      </c>
      <c r="E134" s="55">
        <v>0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4">
        <v>22394.508099999999</v>
      </c>
      <c r="M134" s="54">
        <v>20947.0003</v>
      </c>
      <c r="N134" s="55">
        <v>0</v>
      </c>
      <c r="O134" s="54">
        <v>43341.508399999999</v>
      </c>
      <c r="P134" s="54">
        <v>20395.930499999999</v>
      </c>
      <c r="Q134" s="54">
        <v>-22945.5779</v>
      </c>
      <c r="R134" s="54">
        <v>19626.965499999998</v>
      </c>
      <c r="S134" s="54">
        <v>-112.5008</v>
      </c>
      <c r="T134" s="54">
        <v>19762.864300000001</v>
      </c>
      <c r="U134" s="55">
        <v>0</v>
      </c>
    </row>
    <row r="135" spans="2:21" x14ac:dyDescent="0.25">
      <c r="B135" s="53" t="s">
        <v>446</v>
      </c>
      <c r="C135" s="55">
        <v>0</v>
      </c>
      <c r="D135" s="55">
        <v>0</v>
      </c>
      <c r="E135" s="55">
        <v>0</v>
      </c>
      <c r="F135" s="55">
        <v>0</v>
      </c>
      <c r="G135" s="55">
        <v>0</v>
      </c>
      <c r="H135" s="55">
        <v>0</v>
      </c>
      <c r="I135" s="55">
        <v>0</v>
      </c>
      <c r="J135" s="55">
        <v>0</v>
      </c>
      <c r="K135" s="55">
        <v>0</v>
      </c>
      <c r="L135" s="54">
        <v>-9454.6866000000009</v>
      </c>
      <c r="M135" s="54">
        <v>-10392.772300000001</v>
      </c>
      <c r="N135" s="55">
        <v>0</v>
      </c>
      <c r="O135" s="54">
        <v>-19847.458900000001</v>
      </c>
      <c r="P135" s="54">
        <v>-8564.9686000000002</v>
      </c>
      <c r="Q135" s="54">
        <v>11282.490299999999</v>
      </c>
      <c r="R135" s="54">
        <v>-8530.3102999999992</v>
      </c>
      <c r="S135" s="54">
        <v>-131.72829999999999</v>
      </c>
      <c r="T135" s="54">
        <v>-8054.8310000000001</v>
      </c>
      <c r="U135" s="55">
        <v>0</v>
      </c>
    </row>
    <row r="136" spans="2:21" x14ac:dyDescent="0.25">
      <c r="B136" s="53" t="s">
        <v>447</v>
      </c>
      <c r="C136" s="55">
        <v>0</v>
      </c>
      <c r="D136" s="55">
        <v>0</v>
      </c>
      <c r="E136" s="55">
        <v>0</v>
      </c>
      <c r="F136" s="55">
        <v>0</v>
      </c>
      <c r="G136" s="55">
        <v>0</v>
      </c>
      <c r="H136" s="55">
        <v>0</v>
      </c>
      <c r="I136" s="55">
        <v>0</v>
      </c>
      <c r="J136" s="55">
        <v>0</v>
      </c>
      <c r="K136" s="55">
        <v>0</v>
      </c>
      <c r="L136" s="54">
        <v>-8253.2384999999995</v>
      </c>
      <c r="M136" s="54">
        <v>-8363.66</v>
      </c>
      <c r="N136" s="55">
        <v>0</v>
      </c>
      <c r="O136" s="54">
        <v>-16616.898499999999</v>
      </c>
      <c r="P136" s="54">
        <v>-7691.7150000000001</v>
      </c>
      <c r="Q136" s="54">
        <v>8925.1834999999992</v>
      </c>
      <c r="R136" s="54">
        <v>-7617.0681999999997</v>
      </c>
      <c r="S136" s="54">
        <v>-116.0363</v>
      </c>
      <c r="T136" s="54">
        <v>-6665.942</v>
      </c>
      <c r="U136" s="55">
        <v>0</v>
      </c>
    </row>
    <row r="137" spans="2:21" x14ac:dyDescent="0.25">
      <c r="B137" s="53" t="s">
        <v>448</v>
      </c>
      <c r="C137" s="55">
        <v>0</v>
      </c>
      <c r="D137" s="55">
        <v>0</v>
      </c>
      <c r="E137" s="55">
        <v>0</v>
      </c>
      <c r="F137" s="55">
        <v>0</v>
      </c>
      <c r="G137" s="55">
        <v>0</v>
      </c>
      <c r="H137" s="55">
        <v>0</v>
      </c>
      <c r="I137" s="55">
        <v>0</v>
      </c>
      <c r="J137" s="55">
        <v>0</v>
      </c>
      <c r="K137" s="55">
        <v>0</v>
      </c>
      <c r="L137" s="54">
        <v>9567.5519999999997</v>
      </c>
      <c r="M137" s="54">
        <v>9543.4050000000007</v>
      </c>
      <c r="N137" s="55">
        <v>0</v>
      </c>
      <c r="O137" s="54">
        <v>19110.956999999999</v>
      </c>
      <c r="P137" s="54">
        <v>9019.7885999999999</v>
      </c>
      <c r="Q137" s="54">
        <v>-10091.1684</v>
      </c>
      <c r="R137" s="54">
        <v>8505.9835999999996</v>
      </c>
      <c r="S137" s="54">
        <v>-111.8781</v>
      </c>
      <c r="T137" s="54">
        <v>10716.9607</v>
      </c>
      <c r="U137" s="55">
        <v>0</v>
      </c>
    </row>
    <row r="138" spans="2:21" x14ac:dyDescent="0.25">
      <c r="B138" s="56" t="s">
        <v>523</v>
      </c>
      <c r="C138" s="57">
        <v>0</v>
      </c>
      <c r="D138" s="57">
        <v>0</v>
      </c>
      <c r="E138" s="57">
        <v>0</v>
      </c>
      <c r="F138" s="57">
        <v>0</v>
      </c>
      <c r="G138" s="57">
        <v>0</v>
      </c>
      <c r="H138" s="57">
        <v>0</v>
      </c>
      <c r="I138" s="57">
        <v>0</v>
      </c>
      <c r="J138" s="57">
        <v>0</v>
      </c>
      <c r="K138" s="57">
        <v>0</v>
      </c>
      <c r="L138" s="58">
        <v>-271.77</v>
      </c>
      <c r="M138" s="58">
        <v>-30</v>
      </c>
      <c r="N138" s="57">
        <v>0</v>
      </c>
      <c r="O138" s="58">
        <v>-301.77</v>
      </c>
      <c r="P138" s="58">
        <v>-304</v>
      </c>
      <c r="Q138" s="58">
        <v>-2.23</v>
      </c>
      <c r="R138" s="58">
        <v>-335</v>
      </c>
      <c r="S138" s="58">
        <v>0.73360000000000003</v>
      </c>
      <c r="T138" s="58">
        <v>-30</v>
      </c>
      <c r="U138" s="57">
        <v>0</v>
      </c>
    </row>
    <row r="139" spans="2:21" x14ac:dyDescent="0.25">
      <c r="B139" s="56" t="s">
        <v>524</v>
      </c>
      <c r="C139" s="57">
        <v>0</v>
      </c>
      <c r="D139" s="57">
        <v>0</v>
      </c>
      <c r="E139" s="57">
        <v>0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8">
        <v>-304</v>
      </c>
      <c r="M139" s="58">
        <v>-30</v>
      </c>
      <c r="N139" s="57">
        <v>0</v>
      </c>
      <c r="O139" s="58">
        <v>-334</v>
      </c>
      <c r="P139" s="58">
        <v>-334</v>
      </c>
      <c r="Q139" s="57">
        <v>0</v>
      </c>
      <c r="R139" s="58">
        <v>-365</v>
      </c>
      <c r="S139" s="57">
        <v>0</v>
      </c>
      <c r="T139" s="58">
        <v>-30</v>
      </c>
      <c r="U139" s="57">
        <v>0</v>
      </c>
    </row>
    <row r="140" spans="2:21" x14ac:dyDescent="0.25">
      <c r="B140" s="56" t="s">
        <v>449</v>
      </c>
      <c r="C140" s="57">
        <v>0</v>
      </c>
      <c r="D140" s="57">
        <v>0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8">
        <v>-25</v>
      </c>
      <c r="M140" s="58">
        <v>-4</v>
      </c>
      <c r="N140" s="57">
        <v>0</v>
      </c>
      <c r="O140" s="58">
        <v>-29</v>
      </c>
      <c r="P140" s="57">
        <v>0</v>
      </c>
      <c r="Q140" s="58">
        <v>29</v>
      </c>
      <c r="R140" s="57">
        <v>0</v>
      </c>
      <c r="S140" s="57">
        <v>0</v>
      </c>
      <c r="T140" s="57">
        <v>0</v>
      </c>
      <c r="U140" s="57">
        <v>0</v>
      </c>
    </row>
    <row r="141" spans="2:21" x14ac:dyDescent="0.25">
      <c r="B141" s="59" t="s">
        <v>450</v>
      </c>
      <c r="C141" s="61">
        <v>0</v>
      </c>
      <c r="D141" s="61">
        <v>0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  <c r="J141" s="61">
        <v>0</v>
      </c>
      <c r="K141" s="61">
        <v>0</v>
      </c>
      <c r="L141" s="60">
        <v>-3570612.6</v>
      </c>
      <c r="M141" s="60">
        <v>-377015.16</v>
      </c>
      <c r="N141" s="61">
        <v>0</v>
      </c>
      <c r="O141" s="60">
        <v>-3947627.76</v>
      </c>
      <c r="P141" s="60">
        <v>-3621587.14</v>
      </c>
      <c r="Q141" s="60">
        <v>326040.62</v>
      </c>
      <c r="R141" s="60">
        <v>-3784174.89</v>
      </c>
      <c r="S141" s="60">
        <v>-9.0027000000000008</v>
      </c>
      <c r="T141" s="60">
        <v>-392021.95</v>
      </c>
      <c r="U141" s="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E4D6-2FF1-4FCB-9CE1-9F914C094131}">
  <sheetPr codeName="Hoja7">
    <tabColor theme="0" tint="-0.14999847407452621"/>
    <outlinePr summaryBelow="0"/>
    <pageSetUpPr fitToPage="1"/>
  </sheetPr>
  <dimension ref="A1:HS128"/>
  <sheetViews>
    <sheetView showGridLines="0" zoomScale="75" zoomScaleNormal="75" workbookViewId="0">
      <pane xSplit="3" ySplit="6" topLeftCell="D69" activePane="bottomRight" state="frozen"/>
      <selection activeCell="B1" sqref="B1:B65536"/>
      <selection pane="topRight" activeCell="B1" sqref="B1:B65536"/>
      <selection pane="bottomLeft" activeCell="B1" sqref="B1:B65536"/>
      <selection pane="bottomRight" activeCell="X114" sqref="D8:X114"/>
    </sheetView>
  </sheetViews>
  <sheetFormatPr baseColWidth="10" defaultColWidth="11.44140625" defaultRowHeight="13.8" outlineLevelRow="1" x14ac:dyDescent="0.25"/>
  <cols>
    <col min="1" max="1" width="22.77734375" style="21" hidden="1" customWidth="1"/>
    <col min="2" max="2" width="35.77734375" style="4" customWidth="1"/>
    <col min="3" max="3" width="0.6640625" style="21" customWidth="1"/>
    <col min="4" max="8" width="11.77734375" style="21" customWidth="1"/>
    <col min="9" max="15" width="5.44140625" style="21" customWidth="1"/>
    <col min="16" max="16" width="0.6640625" style="21" customWidth="1"/>
    <col min="17" max="18" width="11.109375" style="21" customWidth="1"/>
    <col min="19" max="19" width="12.33203125" style="21" bestFit="1" customWidth="1"/>
    <col min="20" max="20" width="5.109375" style="21" customWidth="1"/>
    <col min="21" max="21" width="0.6640625" style="21" customWidth="1"/>
    <col min="22" max="22" width="11.6640625" style="21" bestFit="1" customWidth="1"/>
    <col min="23" max="23" width="0.6640625" style="21" customWidth="1"/>
    <col min="24" max="24" width="12.44140625" style="21" bestFit="1" customWidth="1"/>
    <col min="25" max="16384" width="11.44140625" style="21"/>
  </cols>
  <sheetData>
    <row r="1" spans="1:26" ht="14.4" customHeight="1" x14ac:dyDescent="0.25">
      <c r="B1" s="20"/>
      <c r="Z1" s="21">
        <f>+PETRAL!Z1</f>
        <v>5</v>
      </c>
    </row>
    <row r="2" spans="1:26" s="7" customFormat="1" ht="14.4" customHeight="1" x14ac:dyDescent="0.25">
      <c r="B2" s="7" t="s">
        <v>0</v>
      </c>
      <c r="X2" s="7" t="s">
        <v>1</v>
      </c>
    </row>
    <row r="3" spans="1:26" s="7" customFormat="1" ht="14.4" customHeight="1" x14ac:dyDescent="0.25">
      <c r="B3" s="8">
        <f>+PETRAL!B3</f>
        <v>46143</v>
      </c>
      <c r="D3" s="67" t="s">
        <v>109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X3" s="7" t="s">
        <v>1</v>
      </c>
    </row>
    <row r="4" spans="1:26" s="22" customFormat="1" ht="1.95" customHeight="1" x14ac:dyDescent="0.25">
      <c r="B4" s="7"/>
    </row>
    <row r="5" spans="1:26" s="7" customFormat="1" x14ac:dyDescent="0.25">
      <c r="B5" s="9"/>
      <c r="D5" s="10"/>
      <c r="E5" s="10"/>
      <c r="F5" s="10"/>
      <c r="G5" s="10"/>
      <c r="H5" s="10"/>
      <c r="I5" s="1"/>
      <c r="J5" s="10"/>
      <c r="K5" s="10"/>
      <c r="L5" s="10"/>
      <c r="M5" s="10"/>
      <c r="N5" s="10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26" ht="12.75" customHeight="1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+PETRAL!X6</f>
        <v>45778</v>
      </c>
    </row>
    <row r="7" spans="1:26" ht="4.2" customHeight="1" x14ac:dyDescent="0.25">
      <c r="B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4" customFormat="1" x14ac:dyDescent="0.25">
      <c r="B8" s="3" t="s">
        <v>24</v>
      </c>
      <c r="D8" s="2">
        <v>1171040.5699999998</v>
      </c>
      <c r="E8" s="2">
        <v>955778.87000000011</v>
      </c>
      <c r="F8" s="2">
        <v>1222513.05</v>
      </c>
      <c r="G8" s="2">
        <v>1057662.0900000001</v>
      </c>
      <c r="H8" s="2">
        <v>915690.05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5322684.6300000008</v>
      </c>
      <c r="R8" s="2">
        <v>5247975</v>
      </c>
      <c r="S8" s="2">
        <v>74709.63000000082</v>
      </c>
      <c r="T8" s="2">
        <v>1.4235896703014177</v>
      </c>
      <c r="V8" s="2">
        <v>11025680</v>
      </c>
      <c r="X8" s="2">
        <v>5013071.84</v>
      </c>
    </row>
    <row r="9" spans="1:26" x14ac:dyDescent="0.25">
      <c r="A9" s="53" t="s">
        <v>371</v>
      </c>
      <c r="B9" s="16" t="s">
        <v>25</v>
      </c>
      <c r="D9" s="26">
        <v>844069.75</v>
      </c>
      <c r="E9" s="26">
        <v>808897.03</v>
      </c>
      <c r="F9" s="26">
        <v>859884.72</v>
      </c>
      <c r="G9" s="26">
        <v>814061.18</v>
      </c>
      <c r="H9" s="26">
        <v>588616.35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Q9" s="26">
        <v>3915529.0300000003</v>
      </c>
      <c r="R9" s="26">
        <v>4047975</v>
      </c>
      <c r="S9" s="16">
        <v>-132445.96999999974</v>
      </c>
      <c r="T9" s="16">
        <v>-3.271906817606328</v>
      </c>
      <c r="V9" s="26">
        <v>8635680</v>
      </c>
      <c r="X9" s="16">
        <v>3661399.28</v>
      </c>
    </row>
    <row r="10" spans="1:26" x14ac:dyDescent="0.25"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Q10" s="26">
        <v>0</v>
      </c>
      <c r="R10" s="26">
        <v>0</v>
      </c>
      <c r="S10" s="16">
        <v>0</v>
      </c>
      <c r="T10" s="16">
        <v>0</v>
      </c>
      <c r="V10" s="26">
        <v>0</v>
      </c>
      <c r="X10" s="16">
        <v>0</v>
      </c>
    </row>
    <row r="11" spans="1:26" x14ac:dyDescent="0.25">
      <c r="A11" s="53" t="s">
        <v>374</v>
      </c>
      <c r="B11" s="16" t="s">
        <v>27</v>
      </c>
      <c r="D11" s="26">
        <v>273123.92</v>
      </c>
      <c r="E11" s="26">
        <v>85124.65</v>
      </c>
      <c r="F11" s="26">
        <v>336325.55</v>
      </c>
      <c r="G11" s="26">
        <v>188440.91</v>
      </c>
      <c r="H11" s="26">
        <v>293507.15999999997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Q11" s="26">
        <v>1176522.19</v>
      </c>
      <c r="R11" s="26">
        <v>900000</v>
      </c>
      <c r="S11" s="16">
        <v>276522.18999999994</v>
      </c>
      <c r="T11" s="16">
        <v>30.72468777777777</v>
      </c>
      <c r="V11" s="26">
        <v>1750000</v>
      </c>
      <c r="X11" s="16">
        <v>1160979.28</v>
      </c>
    </row>
    <row r="12" spans="1:26" x14ac:dyDescent="0.25">
      <c r="A12" s="53" t="s">
        <v>375</v>
      </c>
      <c r="B12" s="16" t="s">
        <v>28</v>
      </c>
      <c r="D12" s="26">
        <v>53846.9</v>
      </c>
      <c r="E12" s="26">
        <v>61757.19</v>
      </c>
      <c r="F12" s="26">
        <v>26302.78</v>
      </c>
      <c r="G12" s="26">
        <v>55160</v>
      </c>
      <c r="H12" s="26">
        <v>33566.54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Q12" s="26">
        <v>230633.41</v>
      </c>
      <c r="R12" s="26">
        <v>300000</v>
      </c>
      <c r="S12" s="16">
        <v>-69366.59</v>
      </c>
      <c r="T12" s="16">
        <v>-23.122196666666667</v>
      </c>
      <c r="V12" s="26">
        <v>640000</v>
      </c>
      <c r="X12" s="16">
        <v>190693.28</v>
      </c>
    </row>
    <row r="13" spans="1:26" x14ac:dyDescent="0.25">
      <c r="A13" s="53" t="s">
        <v>376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Q13" s="26">
        <v>0</v>
      </c>
      <c r="R13" s="26">
        <v>0</v>
      </c>
      <c r="S13" s="16">
        <v>0</v>
      </c>
      <c r="T13" s="16">
        <v>0</v>
      </c>
      <c r="V13" s="26">
        <v>0</v>
      </c>
      <c r="X13" s="16">
        <v>0</v>
      </c>
    </row>
    <row r="14" spans="1:26" ht="3.6" customHeight="1" x14ac:dyDescent="0.25"/>
    <row r="15" spans="1:26" s="4" customFormat="1" x14ac:dyDescent="0.25">
      <c r="B15" s="27" t="s">
        <v>30</v>
      </c>
      <c r="D15" s="28">
        <v>-380007.34</v>
      </c>
      <c r="E15" s="28">
        <v>-445325.4</v>
      </c>
      <c r="F15" s="28">
        <v>-133696.12999999998</v>
      </c>
      <c r="G15" s="28">
        <v>-304286.12</v>
      </c>
      <c r="H15" s="28">
        <v>-251189.65000000002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Q15" s="28">
        <v>-1514504.64</v>
      </c>
      <c r="R15" s="28">
        <v>-1802144.85</v>
      </c>
      <c r="S15" s="28">
        <v>287640.20999999996</v>
      </c>
      <c r="T15" s="28">
        <v>-15.960992813646468</v>
      </c>
      <c r="V15" s="28">
        <v>-3912743.4</v>
      </c>
      <c r="X15" s="28">
        <v>-1595430.35</v>
      </c>
    </row>
    <row r="16" spans="1:26" x14ac:dyDescent="0.25">
      <c r="A16" s="53" t="s">
        <v>379</v>
      </c>
      <c r="B16" s="16" t="s">
        <v>31</v>
      </c>
      <c r="D16" s="26">
        <v>-119578.39</v>
      </c>
      <c r="E16" s="26">
        <v>-127935.08</v>
      </c>
      <c r="F16" s="26">
        <v>-77787.759999999995</v>
      </c>
      <c r="G16" s="26">
        <v>-107266.88</v>
      </c>
      <c r="H16" s="26">
        <v>-138748.29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26">
        <v>-571316.4</v>
      </c>
      <c r="R16" s="26">
        <v>-797144.85</v>
      </c>
      <c r="S16" s="16">
        <v>225828.44999999995</v>
      </c>
      <c r="T16" s="16">
        <v>-28.329663046810122</v>
      </c>
      <c r="V16" s="26">
        <v>-1768743.4</v>
      </c>
      <c r="X16" s="16">
        <v>-699598.52</v>
      </c>
    </row>
    <row r="17" spans="1:227" x14ac:dyDescent="0.25">
      <c r="A17" s="53" t="s">
        <v>381</v>
      </c>
      <c r="B17" s="16" t="s">
        <v>32</v>
      </c>
      <c r="D17" s="26">
        <v>-260428.95</v>
      </c>
      <c r="E17" s="26">
        <v>-317390.32</v>
      </c>
      <c r="F17" s="26">
        <v>-52458.38</v>
      </c>
      <c r="G17" s="26">
        <v>-197019.24</v>
      </c>
      <c r="H17" s="26">
        <v>-111426.36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26">
        <v>-938723.25</v>
      </c>
      <c r="R17" s="26">
        <v>-1005000</v>
      </c>
      <c r="S17" s="16">
        <v>66276.75</v>
      </c>
      <c r="T17" s="16">
        <v>-6.5947014925373137</v>
      </c>
      <c r="V17" s="26">
        <v>-2144000</v>
      </c>
      <c r="X17" s="16">
        <v>-895831.83000000007</v>
      </c>
    </row>
    <row r="18" spans="1:227" hidden="1" x14ac:dyDescent="0.25"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26">
        <v>0</v>
      </c>
      <c r="R18" s="26">
        <v>0</v>
      </c>
      <c r="S18" s="16">
        <v>0</v>
      </c>
      <c r="T18" s="16">
        <v>0</v>
      </c>
      <c r="V18" s="26">
        <v>0</v>
      </c>
      <c r="X18" s="16">
        <v>0</v>
      </c>
    </row>
    <row r="19" spans="1:227" s="29" customFormat="1" hidden="1" x14ac:dyDescent="0.25">
      <c r="A19" s="21"/>
      <c r="B19" s="29" t="s">
        <v>34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1"/>
      <c r="Q19" s="26">
        <v>0</v>
      </c>
      <c r="R19" s="26">
        <v>0</v>
      </c>
      <c r="S19" s="16">
        <v>0</v>
      </c>
      <c r="T19" s="29">
        <v>0</v>
      </c>
      <c r="U19" s="21"/>
      <c r="V19" s="26">
        <v>0</v>
      </c>
      <c r="W19" s="21"/>
      <c r="X19" s="16">
        <v>0</v>
      </c>
    </row>
    <row r="20" spans="1:227" x14ac:dyDescent="0.25">
      <c r="B20" s="16" t="s">
        <v>35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26">
        <v>0</v>
      </c>
      <c r="R20" s="26">
        <v>0</v>
      </c>
      <c r="S20" s="16">
        <v>0</v>
      </c>
      <c r="T20" s="16">
        <v>0</v>
      </c>
      <c r="V20" s="26">
        <v>0</v>
      </c>
      <c r="X20" s="16">
        <v>0</v>
      </c>
    </row>
    <row r="21" spans="1:227" x14ac:dyDescent="0.25">
      <c r="A21" s="53" t="s">
        <v>478</v>
      </c>
      <c r="B21" s="16" t="s">
        <v>36</v>
      </c>
      <c r="D21" s="26">
        <v>0</v>
      </c>
      <c r="E21" s="26">
        <v>0</v>
      </c>
      <c r="F21" s="26">
        <v>-3449.99</v>
      </c>
      <c r="G21" s="26">
        <v>0</v>
      </c>
      <c r="H21" s="26">
        <v>-1015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Q21" s="26">
        <v>-4464.99</v>
      </c>
      <c r="R21" s="26">
        <v>0</v>
      </c>
      <c r="S21" s="16">
        <v>-4464.99</v>
      </c>
      <c r="T21" s="16">
        <v>0</v>
      </c>
      <c r="V21" s="26">
        <v>0</v>
      </c>
      <c r="X21" s="16">
        <v>0</v>
      </c>
    </row>
    <row r="22" spans="1:227" s="29" customFormat="1" hidden="1" x14ac:dyDescent="0.25">
      <c r="A22" s="21"/>
      <c r="B22" s="29" t="s">
        <v>37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1"/>
      <c r="Q22" s="29">
        <v>0</v>
      </c>
      <c r="R22" s="29">
        <v>0</v>
      </c>
      <c r="S22" s="29">
        <v>0</v>
      </c>
      <c r="T22" s="29">
        <v>0</v>
      </c>
      <c r="U22" s="21"/>
      <c r="V22" s="29">
        <v>0</v>
      </c>
      <c r="W22" s="21"/>
      <c r="X22" s="29">
        <v>0</v>
      </c>
    </row>
    <row r="23" spans="1:227" ht="4.5" customHeight="1" x14ac:dyDescent="0.25">
      <c r="B23" s="30"/>
    </row>
    <row r="24" spans="1:227" ht="12.75" customHeight="1" x14ac:dyDescent="0.25">
      <c r="B24" s="3" t="s">
        <v>38</v>
      </c>
      <c r="C24" s="4"/>
      <c r="D24" s="2">
        <v>791033.22999999975</v>
      </c>
      <c r="E24" s="2">
        <v>510453.47000000009</v>
      </c>
      <c r="F24" s="2">
        <v>1088816.9200000002</v>
      </c>
      <c r="G24" s="2">
        <v>753375.97000000009</v>
      </c>
      <c r="H24" s="2">
        <v>664500.4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3808179.9900000012</v>
      </c>
      <c r="R24" s="2">
        <v>3445830.15</v>
      </c>
      <c r="S24" s="2">
        <v>362349.84000000078</v>
      </c>
      <c r="T24" s="2">
        <v>10.515603620219087</v>
      </c>
      <c r="U24" s="4"/>
      <c r="V24" s="2">
        <v>7112936.5999999996</v>
      </c>
      <c r="W24" s="4"/>
      <c r="X24" s="2">
        <v>3417641.4899999998</v>
      </c>
    </row>
    <row r="25" spans="1:227" ht="4.2" customHeight="1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27" x14ac:dyDescent="0.25"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26">
        <v>0</v>
      </c>
      <c r="R26" s="26">
        <v>0</v>
      </c>
      <c r="S26" s="16">
        <v>0</v>
      </c>
      <c r="T26" s="16">
        <v>0</v>
      </c>
      <c r="V26" s="26">
        <v>0</v>
      </c>
      <c r="X26" s="16">
        <v>0</v>
      </c>
    </row>
    <row r="27" spans="1:227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27" s="32" customFormat="1" ht="12.75" customHeight="1" x14ac:dyDescent="0.25">
      <c r="A28" s="21"/>
      <c r="B28" s="3" t="s">
        <v>40</v>
      </c>
      <c r="C28" s="4"/>
      <c r="D28" s="2">
        <v>791033.22999999975</v>
      </c>
      <c r="E28" s="2">
        <v>510453.47000000009</v>
      </c>
      <c r="F28" s="2">
        <v>1088816.9200000002</v>
      </c>
      <c r="G28" s="2">
        <v>753375.97000000009</v>
      </c>
      <c r="H28" s="2">
        <v>664500.4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3808179.9900000012</v>
      </c>
      <c r="R28" s="2">
        <v>3445830.15</v>
      </c>
      <c r="S28" s="2">
        <v>362349.84000000078</v>
      </c>
      <c r="T28" s="32">
        <v>10.515603620219087</v>
      </c>
      <c r="U28" s="21"/>
      <c r="V28" s="2">
        <v>7112936.5999999996</v>
      </c>
      <c r="W28" s="4"/>
      <c r="X28" s="2">
        <v>3417641.4899999998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</row>
    <row r="29" spans="1:227" ht="3.6" customHeight="1" x14ac:dyDescent="0.25">
      <c r="B29" s="30"/>
    </row>
    <row r="30" spans="1:227" s="4" customFormat="1" collapsed="1" x14ac:dyDescent="0.25">
      <c r="B30" s="27" t="s">
        <v>41</v>
      </c>
      <c r="D30" s="28">
        <v>-167083.49000000002</v>
      </c>
      <c r="E30" s="28">
        <v>-199245.36000000002</v>
      </c>
      <c r="F30" s="28">
        <v>-168976.35000000003</v>
      </c>
      <c r="G30" s="28">
        <v>-160871.15</v>
      </c>
      <c r="H30" s="28">
        <v>-164645.54000000004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Q30" s="28">
        <v>-860821.89</v>
      </c>
      <c r="R30" s="28">
        <v>-928141.88</v>
      </c>
      <c r="S30" s="28">
        <v>67319.989999999991</v>
      </c>
      <c r="T30" s="28">
        <v>-7.2532003404479486</v>
      </c>
      <c r="V30" s="28">
        <v>-2172021.48</v>
      </c>
      <c r="X30" s="28">
        <v>-780384.43</v>
      </c>
    </row>
    <row r="31" spans="1:227" s="4" customFormat="1" hidden="1" outlineLevel="1" x14ac:dyDescent="0.25">
      <c r="B31" s="16" t="s">
        <v>42</v>
      </c>
      <c r="D31" s="16">
        <v>-167083.49000000002</v>
      </c>
      <c r="E31" s="16">
        <v>-199245.36000000002</v>
      </c>
      <c r="F31" s="16">
        <v>-168976.35000000003</v>
      </c>
      <c r="G31" s="16">
        <v>-160871.15</v>
      </c>
      <c r="H31" s="16">
        <v>-164645.54000000004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-860821.89</v>
      </c>
      <c r="R31" s="16">
        <v>-928141.88</v>
      </c>
      <c r="S31" s="16">
        <v>67319.989999999991</v>
      </c>
      <c r="T31" s="28">
        <v>-7.2532003404479486</v>
      </c>
      <c r="U31" s="21"/>
      <c r="V31" s="16">
        <v>-2172021.48</v>
      </c>
      <c r="W31" s="21"/>
      <c r="X31" s="16">
        <v>-780384.43</v>
      </c>
    </row>
    <row r="32" spans="1:227" s="4" customFormat="1" ht="3" hidden="1" customHeight="1" outlineLevel="1" x14ac:dyDescent="0.25">
      <c r="B32" s="31"/>
    </row>
    <row r="33" spans="1:24" hidden="1" outlineLevel="1" x14ac:dyDescent="0.25">
      <c r="A33" s="53" t="s">
        <v>390</v>
      </c>
      <c r="B33" s="16" t="s">
        <v>43</v>
      </c>
      <c r="C33" s="4"/>
      <c r="D33" s="26">
        <v>-106436.85</v>
      </c>
      <c r="E33" s="26">
        <v>-146001.06</v>
      </c>
      <c r="F33" s="26">
        <v>-94427.89</v>
      </c>
      <c r="G33" s="26">
        <v>-99041.96</v>
      </c>
      <c r="H33" s="26">
        <v>-94680.08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26">
        <v>-540587.84</v>
      </c>
      <c r="R33" s="26">
        <v>-523020.72</v>
      </c>
      <c r="S33" s="16">
        <v>-17567.119999999995</v>
      </c>
      <c r="T33" s="16">
        <v>3.3587808911279842</v>
      </c>
      <c r="V33" s="26">
        <v>-1205715.67</v>
      </c>
      <c r="X33" s="16">
        <v>-474804.85</v>
      </c>
    </row>
    <row r="34" spans="1:24" hidden="1" outlineLevel="1" x14ac:dyDescent="0.25">
      <c r="A34" s="53" t="s">
        <v>392</v>
      </c>
      <c r="B34" s="16" t="s">
        <v>44</v>
      </c>
      <c r="C34" s="4"/>
      <c r="D34" s="26">
        <v>-5946.48</v>
      </c>
      <c r="E34" s="26">
        <v>-5197.26</v>
      </c>
      <c r="F34" s="26">
        <v>-8114.44</v>
      </c>
      <c r="G34" s="26">
        <v>-3904.9</v>
      </c>
      <c r="H34" s="26">
        <v>-10960.45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26">
        <v>-34123.53</v>
      </c>
      <c r="R34" s="26">
        <v>-40071.25</v>
      </c>
      <c r="S34" s="16">
        <v>5947.7200000000012</v>
      </c>
      <c r="T34" s="16">
        <v>-14.842861153570205</v>
      </c>
      <c r="V34" s="26">
        <v>-97697.77</v>
      </c>
      <c r="X34" s="16">
        <v>-22934.83</v>
      </c>
    </row>
    <row r="35" spans="1:24" hidden="1" outlineLevel="1" x14ac:dyDescent="0.25">
      <c r="A35" s="53" t="s">
        <v>393</v>
      </c>
      <c r="B35" s="16" t="s">
        <v>45</v>
      </c>
      <c r="C35" s="4"/>
      <c r="D35" s="26">
        <v>-9437.85</v>
      </c>
      <c r="E35" s="26">
        <v>-10807.28</v>
      </c>
      <c r="F35" s="26">
        <v>-18247.810000000001</v>
      </c>
      <c r="G35" s="26">
        <v>-12990.4</v>
      </c>
      <c r="H35" s="26">
        <v>-19652.7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26">
        <v>-71136.040000000008</v>
      </c>
      <c r="R35" s="26">
        <v>-106070.91</v>
      </c>
      <c r="S35" s="16">
        <v>34934.869999999995</v>
      </c>
      <c r="T35" s="16">
        <v>-32.93539199390294</v>
      </c>
      <c r="V35" s="26">
        <v>-243953.31</v>
      </c>
      <c r="X35" s="16">
        <v>-62879.05</v>
      </c>
    </row>
    <row r="36" spans="1:24" hidden="1" outlineLevel="1" x14ac:dyDescent="0.25">
      <c r="A36" s="53" t="s">
        <v>395</v>
      </c>
      <c r="B36" s="16" t="s">
        <v>46</v>
      </c>
      <c r="C36" s="4"/>
      <c r="D36" s="26">
        <v>-10898.35</v>
      </c>
      <c r="E36" s="26">
        <v>-7528.37</v>
      </c>
      <c r="F36" s="26">
        <v>-11263.49</v>
      </c>
      <c r="G36" s="26">
        <v>3249.31</v>
      </c>
      <c r="H36" s="26">
        <v>-7781.14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26">
        <v>-34222.04</v>
      </c>
      <c r="R36" s="26">
        <v>-45833.1</v>
      </c>
      <c r="S36" s="16">
        <v>11611.059999999998</v>
      </c>
      <c r="T36" s="16">
        <v>-25.333350787967646</v>
      </c>
      <c r="V36" s="26">
        <v>-111745.8</v>
      </c>
      <c r="X36" s="16">
        <v>-32690.400000000001</v>
      </c>
    </row>
    <row r="37" spans="1:24" hidden="1" outlineLevel="1" x14ac:dyDescent="0.25">
      <c r="A37" s="53" t="s">
        <v>397</v>
      </c>
      <c r="B37" s="16" t="s">
        <v>47</v>
      </c>
      <c r="C37" s="4"/>
      <c r="D37" s="26">
        <v>-5844.39</v>
      </c>
      <c r="E37" s="26">
        <v>-8418.4599999999991</v>
      </c>
      <c r="F37" s="26">
        <v>-5903.92</v>
      </c>
      <c r="G37" s="26">
        <v>-5330.18</v>
      </c>
      <c r="H37" s="26">
        <v>-5793.57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26">
        <v>-31290.519999999997</v>
      </c>
      <c r="R37" s="26">
        <v>-35659.449999999997</v>
      </c>
      <c r="S37" s="16">
        <v>4368.93</v>
      </c>
      <c r="T37" s="16">
        <v>-12.251815437422621</v>
      </c>
      <c r="V37" s="26">
        <v>-86941.45</v>
      </c>
      <c r="X37" s="16">
        <v>-30459.86</v>
      </c>
    </row>
    <row r="38" spans="1:24" hidden="1" outlineLevel="1" x14ac:dyDescent="0.25">
      <c r="A38" s="53" t="s">
        <v>399</v>
      </c>
      <c r="B38" s="16" t="s">
        <v>48</v>
      </c>
      <c r="C38" s="4"/>
      <c r="D38" s="26">
        <v>-3940.29</v>
      </c>
      <c r="E38" s="26">
        <v>-4756.12</v>
      </c>
      <c r="F38" s="26">
        <v>-2926.23</v>
      </c>
      <c r="G38" s="26">
        <v>-379.22</v>
      </c>
      <c r="H38" s="26">
        <v>-5351.98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26">
        <v>-17353.839999999997</v>
      </c>
      <c r="R38" s="26">
        <v>-18000</v>
      </c>
      <c r="S38" s="16">
        <v>646.16000000000349</v>
      </c>
      <c r="T38" s="16">
        <v>-3.5897777777777975</v>
      </c>
      <c r="V38" s="26">
        <v>-43200</v>
      </c>
      <c r="X38" s="16">
        <v>-20776.960000000003</v>
      </c>
    </row>
    <row r="39" spans="1:24" hidden="1" outlineLevel="1" x14ac:dyDescent="0.25">
      <c r="A39" s="53" t="s">
        <v>401</v>
      </c>
      <c r="B39" s="16" t="s">
        <v>49</v>
      </c>
      <c r="C39" s="4"/>
      <c r="D39" s="26">
        <v>-5435.43</v>
      </c>
      <c r="E39" s="26">
        <v>-8.6999999999999993</v>
      </c>
      <c r="F39" s="26">
        <v>0</v>
      </c>
      <c r="G39" s="26">
        <v>-12.75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26">
        <v>-5456.88</v>
      </c>
      <c r="R39" s="26">
        <v>-4250</v>
      </c>
      <c r="S39" s="16">
        <v>-1206.8800000000001</v>
      </c>
      <c r="T39" s="16">
        <v>28.397176470588235</v>
      </c>
      <c r="V39" s="26">
        <v>-10200</v>
      </c>
      <c r="X39" s="16">
        <v>-2613.6299999999997</v>
      </c>
    </row>
    <row r="40" spans="1:24" hidden="1" outlineLevel="1" x14ac:dyDescent="0.25">
      <c r="A40" s="53" t="s">
        <v>403</v>
      </c>
      <c r="B40" s="16" t="s">
        <v>50</v>
      </c>
      <c r="C40" s="4"/>
      <c r="D40" s="26">
        <v>-28.93</v>
      </c>
      <c r="E40" s="26">
        <v>-40.14</v>
      </c>
      <c r="F40" s="26">
        <v>0</v>
      </c>
      <c r="G40" s="26">
        <v>-199.01</v>
      </c>
      <c r="H40" s="26">
        <v>-578.26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26">
        <v>-846.33999999999992</v>
      </c>
      <c r="R40" s="26">
        <v>-4000</v>
      </c>
      <c r="S40" s="16">
        <v>3153.66</v>
      </c>
      <c r="T40" s="16">
        <v>-78.841499999999996</v>
      </c>
      <c r="V40" s="26">
        <v>-9600</v>
      </c>
      <c r="X40" s="16">
        <v>-1473.8799999999999</v>
      </c>
    </row>
    <row r="41" spans="1:24" hidden="1" outlineLevel="1" x14ac:dyDescent="0.25">
      <c r="A41" s="53" t="s">
        <v>404</v>
      </c>
      <c r="B41" s="16" t="s">
        <v>51</v>
      </c>
      <c r="C41" s="4"/>
      <c r="D41" s="26">
        <v>-6980.65</v>
      </c>
      <c r="E41" s="26">
        <v>-4484.72</v>
      </c>
      <c r="F41" s="26">
        <v>-8437</v>
      </c>
      <c r="G41" s="26">
        <v>-7381.07</v>
      </c>
      <c r="H41" s="26">
        <v>-7914.73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26">
        <v>-35198.17</v>
      </c>
      <c r="R41" s="26">
        <v>-36000</v>
      </c>
      <c r="S41" s="16">
        <v>801.83000000000175</v>
      </c>
      <c r="T41" s="16">
        <v>-2.2273055555555605</v>
      </c>
      <c r="V41" s="26">
        <v>-86400</v>
      </c>
      <c r="X41" s="16">
        <v>-34927.270000000004</v>
      </c>
    </row>
    <row r="42" spans="1:24" hidden="1" outlineLevel="1" x14ac:dyDescent="0.25">
      <c r="A42" s="53" t="s">
        <v>405</v>
      </c>
      <c r="B42" s="16" t="s">
        <v>52</v>
      </c>
      <c r="C42" s="4"/>
      <c r="D42" s="26">
        <v>-12153.54</v>
      </c>
      <c r="E42" s="26">
        <v>-11988.96</v>
      </c>
      <c r="F42" s="26">
        <v>-11700.03</v>
      </c>
      <c r="G42" s="26">
        <v>-11887.56</v>
      </c>
      <c r="H42" s="26">
        <v>-11981.9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26">
        <v>-59711.99</v>
      </c>
      <c r="R42" s="26">
        <v>-65516.800000000003</v>
      </c>
      <c r="S42" s="16">
        <v>5804.8100000000049</v>
      </c>
      <c r="T42" s="16">
        <v>-8.860032846537079</v>
      </c>
      <c r="V42" s="26">
        <v>-157240.32000000001</v>
      </c>
      <c r="X42" s="16">
        <v>-58782.799999999996</v>
      </c>
    </row>
    <row r="43" spans="1:24" hidden="1" outlineLevel="1" x14ac:dyDescent="0.25">
      <c r="A43" s="53" t="s">
        <v>406</v>
      </c>
      <c r="B43" s="16" t="s">
        <v>53</v>
      </c>
      <c r="C43" s="4"/>
      <c r="D43" s="26">
        <v>19.27</v>
      </c>
      <c r="E43" s="26">
        <v>-14.29</v>
      </c>
      <c r="F43" s="26">
        <v>-7955.54</v>
      </c>
      <c r="G43" s="26">
        <v>-22993.41</v>
      </c>
      <c r="H43" s="26">
        <v>49.27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26">
        <v>-30894.7</v>
      </c>
      <c r="R43" s="26">
        <v>-49719.65</v>
      </c>
      <c r="S43" s="16">
        <v>18824.95</v>
      </c>
      <c r="T43" s="16">
        <v>-37.862193317933659</v>
      </c>
      <c r="V43" s="26">
        <v>-119327.16</v>
      </c>
      <c r="X43" s="16">
        <v>-38040.899999999994</v>
      </c>
    </row>
    <row r="44" spans="1:24" ht="3" customHeight="1" x14ac:dyDescent="0.25">
      <c r="B44" s="30"/>
    </row>
    <row r="45" spans="1:24" s="4" customFormat="1" x14ac:dyDescent="0.25">
      <c r="B45" s="27" t="s">
        <v>54</v>
      </c>
      <c r="D45" s="28">
        <v>-73760.099999999991</v>
      </c>
      <c r="E45" s="28">
        <v>-131615.29999999999</v>
      </c>
      <c r="F45" s="28">
        <v>-96764.81</v>
      </c>
      <c r="G45" s="28">
        <v>-92506.02</v>
      </c>
      <c r="H45" s="28">
        <v>-97393.13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Q45" s="28">
        <v>-492039.36</v>
      </c>
      <c r="R45" s="28">
        <v>-400670</v>
      </c>
      <c r="S45" s="28">
        <v>-91369.36</v>
      </c>
      <c r="T45" s="28">
        <v>22.804143060373875</v>
      </c>
      <c r="V45" s="28">
        <v>-911892</v>
      </c>
      <c r="W45" s="21">
        <v>0</v>
      </c>
      <c r="X45" s="28">
        <v>-370459.64999999997</v>
      </c>
    </row>
    <row r="46" spans="1:24" x14ac:dyDescent="0.25">
      <c r="A46" s="53" t="s">
        <v>409</v>
      </c>
      <c r="B46" s="16" t="s">
        <v>55</v>
      </c>
      <c r="D46" s="26">
        <v>-18300</v>
      </c>
      <c r="E46" s="26">
        <v>-28016.81</v>
      </c>
      <c r="F46" s="26">
        <v>-1.31</v>
      </c>
      <c r="G46" s="26">
        <v>-4531.57</v>
      </c>
      <c r="H46" s="26">
        <v>-24493.32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26">
        <v>-75343.009999999995</v>
      </c>
      <c r="R46" s="26">
        <v>-40940</v>
      </c>
      <c r="S46" s="16">
        <v>-34403.009999999995</v>
      </c>
      <c r="T46" s="16">
        <v>84.032755251587673</v>
      </c>
      <c r="V46" s="26">
        <v>-119820</v>
      </c>
      <c r="X46" s="16">
        <v>-44169.82</v>
      </c>
    </row>
    <row r="47" spans="1:24" x14ac:dyDescent="0.25">
      <c r="A47" s="53" t="s">
        <v>501</v>
      </c>
      <c r="B47" s="16" t="s">
        <v>56</v>
      </c>
      <c r="D47" s="26">
        <v>-10335.879999999999</v>
      </c>
      <c r="E47" s="26">
        <v>-75697.490000000005</v>
      </c>
      <c r="F47" s="26">
        <v>-62322.06</v>
      </c>
      <c r="G47" s="26">
        <v>-36500.46</v>
      </c>
      <c r="H47" s="26">
        <v>-20426.61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26">
        <v>-205282.5</v>
      </c>
      <c r="R47" s="26">
        <v>-189000</v>
      </c>
      <c r="S47" s="16">
        <v>-16282.5</v>
      </c>
      <c r="T47" s="16">
        <v>8.6150793650793638</v>
      </c>
      <c r="V47" s="26">
        <v>-384000</v>
      </c>
      <c r="X47" s="16">
        <v>-119119.56999999999</v>
      </c>
    </row>
    <row r="48" spans="1:24" x14ac:dyDescent="0.25">
      <c r="A48" s="53" t="s">
        <v>413</v>
      </c>
      <c r="B48" s="16" t="s">
        <v>57</v>
      </c>
      <c r="D48" s="26">
        <v>-29609.8</v>
      </c>
      <c r="E48" s="26">
        <v>-4375.92</v>
      </c>
      <c r="F48" s="26">
        <v>-17524.22</v>
      </c>
      <c r="G48" s="26">
        <v>-22403.02</v>
      </c>
      <c r="H48" s="26">
        <v>-23457.11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26">
        <v>-97370.07</v>
      </c>
      <c r="R48" s="26">
        <v>-66000</v>
      </c>
      <c r="S48" s="16">
        <v>-31370.070000000007</v>
      </c>
      <c r="T48" s="16">
        <v>47.530409090909103</v>
      </c>
      <c r="V48" s="26">
        <v>-158400</v>
      </c>
      <c r="X48" s="16">
        <v>-88566.88</v>
      </c>
    </row>
    <row r="49" spans="1:24" x14ac:dyDescent="0.25">
      <c r="A49" s="53" t="s">
        <v>415</v>
      </c>
      <c r="B49" s="16" t="s">
        <v>58</v>
      </c>
      <c r="D49" s="26">
        <v>-615.6</v>
      </c>
      <c r="E49" s="26">
        <v>-3713.66</v>
      </c>
      <c r="F49" s="26">
        <v>-1036.49</v>
      </c>
      <c r="G49" s="26">
        <v>-10613.02</v>
      </c>
      <c r="H49" s="26">
        <v>-12051.48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26">
        <v>-28030.25</v>
      </c>
      <c r="R49" s="26">
        <v>-20450</v>
      </c>
      <c r="S49" s="16">
        <v>-7580.25</v>
      </c>
      <c r="T49" s="16">
        <v>37.067237163814184</v>
      </c>
      <c r="V49" s="26">
        <v>-47400</v>
      </c>
      <c r="X49" s="16">
        <v>-22219.440000000002</v>
      </c>
    </row>
    <row r="50" spans="1:24" ht="12.75" customHeight="1" collapsed="1" x14ac:dyDescent="0.25">
      <c r="B50" s="16" t="s">
        <v>59</v>
      </c>
      <c r="D50" s="26">
        <v>-2242.8200000000002</v>
      </c>
      <c r="E50" s="26">
        <v>-7155.42</v>
      </c>
      <c r="F50" s="26">
        <v>-3224.73</v>
      </c>
      <c r="G50" s="26">
        <v>-5801.95</v>
      </c>
      <c r="H50" s="26">
        <v>-4308.6100000000006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Q50" s="26">
        <v>-22733.53</v>
      </c>
      <c r="R50" s="26">
        <v>-21000</v>
      </c>
      <c r="S50" s="16">
        <v>-1733.5299999999988</v>
      </c>
      <c r="T50" s="16">
        <v>8.254904761904756</v>
      </c>
      <c r="V50" s="16">
        <v>-50400</v>
      </c>
      <c r="X50" s="16">
        <v>-33103.94</v>
      </c>
    </row>
    <row r="51" spans="1:24" ht="17.25" hidden="1" customHeight="1" outlineLevel="1" x14ac:dyDescent="0.25">
      <c r="A51" s="53" t="s">
        <v>418</v>
      </c>
      <c r="B51" s="16" t="s">
        <v>60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26">
        <v>0</v>
      </c>
      <c r="R51" s="26">
        <v>0</v>
      </c>
      <c r="S51" s="16">
        <v>0</v>
      </c>
      <c r="T51" s="16">
        <v>0</v>
      </c>
      <c r="V51" s="26">
        <v>0</v>
      </c>
      <c r="X51" s="16">
        <v>0</v>
      </c>
    </row>
    <row r="52" spans="1:24" hidden="1" outlineLevel="1" x14ac:dyDescent="0.25">
      <c r="B52" s="16" t="s">
        <v>61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26">
        <v>0</v>
      </c>
      <c r="R52" s="26">
        <v>0</v>
      </c>
      <c r="S52" s="16">
        <v>0</v>
      </c>
      <c r="T52" s="16">
        <v>0</v>
      </c>
      <c r="V52" s="26">
        <v>0</v>
      </c>
      <c r="X52" s="16">
        <v>0</v>
      </c>
    </row>
    <row r="53" spans="1:24" hidden="1" outlineLevel="1" x14ac:dyDescent="0.25">
      <c r="B53" s="16" t="s">
        <v>62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26">
        <v>0</v>
      </c>
      <c r="R53" s="26">
        <v>0</v>
      </c>
      <c r="S53" s="16">
        <v>0</v>
      </c>
      <c r="T53" s="16">
        <v>0</v>
      </c>
      <c r="V53" s="26">
        <v>0</v>
      </c>
      <c r="X53" s="16">
        <v>0</v>
      </c>
    </row>
    <row r="54" spans="1:24" hidden="1" outlineLevel="1" x14ac:dyDescent="0.25">
      <c r="A54" s="53" t="s">
        <v>423</v>
      </c>
      <c r="B54" s="16" t="s">
        <v>63</v>
      </c>
      <c r="D54" s="26">
        <v>-2442.8200000000002</v>
      </c>
      <c r="E54" s="26">
        <v>-4145.42</v>
      </c>
      <c r="F54" s="26">
        <v>-2024.73</v>
      </c>
      <c r="G54" s="26">
        <v>-1831.58</v>
      </c>
      <c r="H54" s="26">
        <v>-2654.61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26">
        <v>-13099.16</v>
      </c>
      <c r="R54" s="26">
        <v>-16000</v>
      </c>
      <c r="S54" s="16">
        <v>2900.84</v>
      </c>
      <c r="T54" s="16">
        <v>-18.13025</v>
      </c>
      <c r="V54" s="26">
        <v>-38400</v>
      </c>
      <c r="X54" s="16">
        <v>-27772.959999999999</v>
      </c>
    </row>
    <row r="55" spans="1:24" hidden="1" outlineLevel="1" x14ac:dyDescent="0.25">
      <c r="A55" s="53" t="s">
        <v>425</v>
      </c>
      <c r="B55" s="16" t="s">
        <v>64</v>
      </c>
      <c r="D55" s="26">
        <v>200</v>
      </c>
      <c r="E55" s="26">
        <v>-3010</v>
      </c>
      <c r="F55" s="26">
        <v>-1200</v>
      </c>
      <c r="G55" s="26">
        <v>-3970.37</v>
      </c>
      <c r="H55" s="26">
        <v>-1654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26">
        <v>-9634.369999999999</v>
      </c>
      <c r="R55" s="26">
        <v>-5000</v>
      </c>
      <c r="S55" s="16">
        <v>-4634.369999999999</v>
      </c>
      <c r="T55" s="16">
        <v>92.687399999999968</v>
      </c>
      <c r="V55" s="26">
        <v>-12000</v>
      </c>
      <c r="X55" s="16">
        <v>-5330.98</v>
      </c>
    </row>
    <row r="56" spans="1:24" x14ac:dyDescent="0.25">
      <c r="A56" s="53" t="s">
        <v>427</v>
      </c>
      <c r="B56" s="16" t="s">
        <v>65</v>
      </c>
      <c r="D56" s="26">
        <v>-12656</v>
      </c>
      <c r="E56" s="26">
        <v>-12656</v>
      </c>
      <c r="F56" s="26">
        <v>-12656</v>
      </c>
      <c r="G56" s="26">
        <v>-12656</v>
      </c>
      <c r="H56" s="26">
        <v>-12656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26">
        <v>-63280</v>
      </c>
      <c r="R56" s="26">
        <v>-63280</v>
      </c>
      <c r="S56" s="16">
        <v>0</v>
      </c>
      <c r="T56" s="16">
        <v>0</v>
      </c>
      <c r="V56" s="26">
        <v>-151872</v>
      </c>
      <c r="X56" s="16">
        <v>-63280</v>
      </c>
    </row>
    <row r="57" spans="1:24" ht="3.6" customHeight="1" x14ac:dyDescent="0.25">
      <c r="B57" s="30"/>
      <c r="T57" s="21" t="s">
        <v>1</v>
      </c>
    </row>
    <row r="58" spans="1:24" x14ac:dyDescent="0.25">
      <c r="A58" s="53" t="s">
        <v>414</v>
      </c>
      <c r="B58" s="27" t="s">
        <v>66</v>
      </c>
      <c r="C58" s="4"/>
      <c r="D58" s="62">
        <v>-40468.160000000003</v>
      </c>
      <c r="E58" s="62">
        <v>-40468.17</v>
      </c>
      <c r="F58" s="62">
        <v>-40468.160000000003</v>
      </c>
      <c r="G58" s="62">
        <v>-40468.160000000003</v>
      </c>
      <c r="H58" s="62">
        <v>-40468.160000000003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4"/>
      <c r="Q58" s="62">
        <v>-202340.81000000003</v>
      </c>
      <c r="R58" s="62">
        <v>-202340.8</v>
      </c>
      <c r="S58" s="28">
        <v>-1.0000000038417056E-2</v>
      </c>
      <c r="T58" s="28">
        <v>4.9421570135222633E-6</v>
      </c>
      <c r="U58" s="4"/>
      <c r="V58" s="62">
        <v>-485617.91999999998</v>
      </c>
      <c r="W58" s="4"/>
      <c r="X58" s="62">
        <v>0</v>
      </c>
    </row>
    <row r="59" spans="1:24" ht="3.6" customHeight="1" x14ac:dyDescent="0.25">
      <c r="B59" s="30"/>
      <c r="T59" s="21" t="s">
        <v>1</v>
      </c>
    </row>
    <row r="60" spans="1:24" s="4" customFormat="1" x14ac:dyDescent="0.25">
      <c r="B60" s="27" t="s">
        <v>67</v>
      </c>
      <c r="D60" s="28">
        <v>-11699.29</v>
      </c>
      <c r="E60" s="28">
        <v>-10567.169999999998</v>
      </c>
      <c r="F60" s="28">
        <v>-11637.529999999999</v>
      </c>
      <c r="G60" s="28">
        <v>-11274.4</v>
      </c>
      <c r="H60" s="28">
        <v>-11650.300000000001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Q60" s="28">
        <v>-56828.689999999995</v>
      </c>
      <c r="R60" s="28">
        <v>-55895.28</v>
      </c>
      <c r="S60" s="28">
        <v>-933.40999999999804</v>
      </c>
      <c r="T60" s="28">
        <v>1.6699263336725354</v>
      </c>
      <c r="V60" s="28">
        <v>-135983.9</v>
      </c>
      <c r="X60" s="28">
        <v>-26466.400000000001</v>
      </c>
    </row>
    <row r="61" spans="1:24" x14ac:dyDescent="0.25">
      <c r="A61" s="53" t="s">
        <v>429</v>
      </c>
      <c r="B61" s="16" t="s">
        <v>68</v>
      </c>
      <c r="D61" s="26">
        <v>-7985.81</v>
      </c>
      <c r="E61" s="26">
        <v>-7213</v>
      </c>
      <c r="F61" s="26">
        <v>-7985.81</v>
      </c>
      <c r="G61" s="26">
        <v>-7728.21</v>
      </c>
      <c r="H61" s="26">
        <v>-7985.81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26">
        <v>-38898.639999999999</v>
      </c>
      <c r="R61" s="26">
        <v>-37850.19</v>
      </c>
      <c r="S61" s="16">
        <v>-1048.4499999999971</v>
      </c>
      <c r="T61" s="16">
        <v>2.7699993051553955</v>
      </c>
      <c r="V61" s="26">
        <v>-92491.13</v>
      </c>
      <c r="X61" s="16">
        <v>-11832.77</v>
      </c>
    </row>
    <row r="62" spans="1:24" x14ac:dyDescent="0.25">
      <c r="A62" s="53" t="s">
        <v>431</v>
      </c>
      <c r="B62" s="16" t="s">
        <v>69</v>
      </c>
      <c r="D62" s="26">
        <v>-2865.09</v>
      </c>
      <c r="E62" s="26">
        <v>-2587.87</v>
      </c>
      <c r="F62" s="26">
        <v>-2803.33</v>
      </c>
      <c r="G62" s="26">
        <v>-2725.16</v>
      </c>
      <c r="H62" s="26">
        <v>-2816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26">
        <v>-13797.45</v>
      </c>
      <c r="R62" s="26">
        <v>-13912.56</v>
      </c>
      <c r="S62" s="16">
        <v>115.10999999999876</v>
      </c>
      <c r="T62" s="16">
        <v>-0.82738187652020034</v>
      </c>
      <c r="V62" s="26">
        <v>-33462.86</v>
      </c>
      <c r="X62" s="16">
        <v>-11613.24</v>
      </c>
    </row>
    <row r="63" spans="1:24" x14ac:dyDescent="0.25">
      <c r="A63" s="53" t="s">
        <v>432</v>
      </c>
      <c r="B63" s="16" t="s">
        <v>70</v>
      </c>
      <c r="D63" s="26">
        <v>-848.39</v>
      </c>
      <c r="E63" s="26">
        <v>-766.3</v>
      </c>
      <c r="F63" s="26">
        <v>-848.39</v>
      </c>
      <c r="G63" s="26">
        <v>-821.03</v>
      </c>
      <c r="H63" s="26">
        <v>-848.49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Q63" s="26">
        <v>-4132.5999999999995</v>
      </c>
      <c r="R63" s="26">
        <v>-4132.53</v>
      </c>
      <c r="S63" s="16">
        <v>-6.9999999999708962E-2</v>
      </c>
      <c r="T63" s="16">
        <v>1.6938776003975521E-3</v>
      </c>
      <c r="V63" s="26">
        <v>-10029.91</v>
      </c>
      <c r="X63" s="16">
        <v>-3020.3900000000003</v>
      </c>
    </row>
    <row r="64" spans="1:24" ht="3.6" customHeight="1" x14ac:dyDescent="0.25">
      <c r="B64" s="30"/>
      <c r="T64" s="21" t="s">
        <v>1</v>
      </c>
    </row>
    <row r="65" spans="1:24" ht="12.75" customHeight="1" x14ac:dyDescent="0.25">
      <c r="A65" s="4"/>
      <c r="B65" s="2" t="s">
        <v>71</v>
      </c>
      <c r="C65" s="4"/>
      <c r="D65" s="2">
        <v>-293011.04000000004</v>
      </c>
      <c r="E65" s="2">
        <v>-381896</v>
      </c>
      <c r="F65" s="2">
        <v>-317846.85000000009</v>
      </c>
      <c r="G65" s="2">
        <v>-305119.73</v>
      </c>
      <c r="H65" s="2">
        <v>-314157.13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4"/>
      <c r="Q65" s="2">
        <v>-1612030.75</v>
      </c>
      <c r="R65" s="2">
        <v>-1587047.96</v>
      </c>
      <c r="S65" s="2">
        <v>-24982.790000000045</v>
      </c>
      <c r="T65" s="2">
        <v>1.5741672986366491</v>
      </c>
      <c r="U65" s="4"/>
      <c r="V65" s="2">
        <v>-3705515.3</v>
      </c>
      <c r="W65" s="4"/>
      <c r="X65" s="2">
        <v>-1177310.48</v>
      </c>
    </row>
    <row r="66" spans="1:24" ht="3.75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1</v>
      </c>
      <c r="U66" s="4"/>
      <c r="V66" s="4"/>
      <c r="W66" s="4"/>
      <c r="X66" s="4"/>
    </row>
    <row r="67" spans="1:24" ht="12.75" customHeight="1" x14ac:dyDescent="0.25">
      <c r="A67" s="4"/>
      <c r="B67" s="2" t="s">
        <v>72</v>
      </c>
      <c r="C67" s="4"/>
      <c r="D67" s="2">
        <v>498022.18999999971</v>
      </c>
      <c r="E67" s="2">
        <v>128557.47000000009</v>
      </c>
      <c r="F67" s="2">
        <v>770970.07000000007</v>
      </c>
      <c r="G67" s="2">
        <v>448256.24000000011</v>
      </c>
      <c r="H67" s="2">
        <v>350343.27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4"/>
      <c r="Q67" s="2">
        <v>2196149.2400000012</v>
      </c>
      <c r="R67" s="2">
        <v>1858782.19</v>
      </c>
      <c r="S67" s="2">
        <v>337367.05000000075</v>
      </c>
      <c r="T67" s="2">
        <v>18.149896841867243</v>
      </c>
      <c r="U67" s="4"/>
      <c r="V67" s="2">
        <v>3407421.3</v>
      </c>
      <c r="W67" s="4"/>
      <c r="X67" s="2">
        <v>2240331.0099999998</v>
      </c>
    </row>
    <row r="68" spans="1:24" ht="3.6" customHeight="1" x14ac:dyDescent="0.25">
      <c r="B68" s="30"/>
      <c r="T68" s="21" t="s">
        <v>1</v>
      </c>
    </row>
    <row r="69" spans="1:24" x14ac:dyDescent="0.25">
      <c r="A69" s="53" t="s">
        <v>435</v>
      </c>
      <c r="B69" s="16" t="s">
        <v>73</v>
      </c>
      <c r="D69" s="26">
        <v>-124102.92</v>
      </c>
      <c r="E69" s="26">
        <v>-124200.37</v>
      </c>
      <c r="F69" s="26">
        <v>-124235.77</v>
      </c>
      <c r="G69" s="26">
        <v>-124473.22</v>
      </c>
      <c r="H69" s="26">
        <v>-124419.75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Q69" s="26">
        <v>-621432.03</v>
      </c>
      <c r="R69" s="26">
        <v>-617024.55000000005</v>
      </c>
      <c r="S69" s="16">
        <v>-4407.4799999999814</v>
      </c>
      <c r="T69" s="16">
        <v>0.71431193458995768</v>
      </c>
      <c r="V69" s="26">
        <v>-1480858.92</v>
      </c>
      <c r="X69" s="16">
        <v>-609804.24</v>
      </c>
    </row>
    <row r="70" spans="1:24" hidden="1" x14ac:dyDescent="0.25">
      <c r="B70" s="16" t="s">
        <v>74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Q70" s="16">
        <v>0</v>
      </c>
      <c r="R70" s="16">
        <v>0</v>
      </c>
      <c r="S70" s="16">
        <v>0</v>
      </c>
      <c r="T70" s="16">
        <v>0</v>
      </c>
      <c r="V70" s="16">
        <v>0</v>
      </c>
      <c r="X70" s="16">
        <v>0</v>
      </c>
    </row>
    <row r="71" spans="1:24" ht="3.6" hidden="1" customHeight="1" x14ac:dyDescent="0.25">
      <c r="B71" s="21"/>
      <c r="T71" s="21" t="s">
        <v>1</v>
      </c>
      <c r="X71" s="16">
        <v>0</v>
      </c>
    </row>
    <row r="72" spans="1:24" s="4" customFormat="1" hidden="1" x14ac:dyDescent="0.25">
      <c r="B72" s="2" t="s">
        <v>75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0</v>
      </c>
      <c r="X72" s="16">
        <v>0</v>
      </c>
    </row>
    <row r="73" spans="1:24" ht="5.4" hidden="1" customHeight="1" x14ac:dyDescent="0.25">
      <c r="B73" s="21"/>
      <c r="T73" s="21">
        <v>0</v>
      </c>
      <c r="X73" s="16">
        <v>0</v>
      </c>
    </row>
    <row r="74" spans="1:24" collapsed="1" x14ac:dyDescent="0.25">
      <c r="A74" s="53" t="s">
        <v>436</v>
      </c>
      <c r="B74" s="16" t="s">
        <v>76</v>
      </c>
      <c r="D74" s="26">
        <v>-899.7</v>
      </c>
      <c r="E74" s="26">
        <v>-571.47</v>
      </c>
      <c r="F74" s="26">
        <v>-634.51</v>
      </c>
      <c r="G74" s="26">
        <v>-551.41</v>
      </c>
      <c r="H74" s="26">
        <v>-546.75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Q74" s="26">
        <v>-3203.84</v>
      </c>
      <c r="R74" s="26">
        <v>-879.25</v>
      </c>
      <c r="S74" s="16">
        <v>-1578.1299999999999</v>
      </c>
      <c r="T74" s="16">
        <v>179.48592550469149</v>
      </c>
      <c r="V74" s="16">
        <v>-2110.1999999999998</v>
      </c>
      <c r="X74" s="16">
        <v>-1842.34</v>
      </c>
    </row>
    <row r="75" spans="1:24" ht="12" hidden="1" customHeight="1" outlineLevel="1" x14ac:dyDescent="0.25">
      <c r="B75" s="29" t="s">
        <v>77</v>
      </c>
      <c r="C75" s="29"/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Q75" s="26">
        <v>0</v>
      </c>
      <c r="R75" s="26">
        <v>0</v>
      </c>
      <c r="S75" s="29">
        <v>0</v>
      </c>
      <c r="T75" s="29">
        <v>0</v>
      </c>
      <c r="V75" s="26">
        <v>0</v>
      </c>
      <c r="X75" s="26">
        <v>0</v>
      </c>
    </row>
    <row r="76" spans="1:24" hidden="1" outlineLevel="1" x14ac:dyDescent="0.25">
      <c r="B76" s="29" t="s">
        <v>78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26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</row>
    <row r="77" spans="1:24" hidden="1" outlineLevel="1" x14ac:dyDescent="0.25">
      <c r="A77" s="53" t="s">
        <v>438</v>
      </c>
      <c r="B77" s="29" t="s">
        <v>79</v>
      </c>
      <c r="C77" s="29"/>
      <c r="D77" s="26">
        <v>-899.7</v>
      </c>
      <c r="E77" s="26">
        <v>-571.47</v>
      </c>
      <c r="F77" s="26">
        <v>-634.51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26">
        <v>-2105.6799999999998</v>
      </c>
      <c r="R77" s="26">
        <v>-527.54999999999995</v>
      </c>
      <c r="S77" s="29">
        <v>-1578.1299999999999</v>
      </c>
      <c r="T77" s="29">
        <v>299.14320917448583</v>
      </c>
      <c r="V77" s="26">
        <v>-2110.1999999999998</v>
      </c>
      <c r="X77" s="26">
        <v>0</v>
      </c>
    </row>
    <row r="78" spans="1:24" hidden="1" outlineLevel="1" x14ac:dyDescent="0.25">
      <c r="A78" s="53" t="s">
        <v>518</v>
      </c>
      <c r="B78" s="29" t="s">
        <v>80</v>
      </c>
      <c r="C78" s="29"/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Q78" s="26">
        <v>0</v>
      </c>
      <c r="R78" s="26">
        <v>0</v>
      </c>
      <c r="S78" s="29">
        <v>0</v>
      </c>
      <c r="T78" s="29">
        <v>0</v>
      </c>
      <c r="V78" s="26">
        <v>0</v>
      </c>
      <c r="X78" s="26">
        <v>0</v>
      </c>
    </row>
    <row r="79" spans="1:24" hidden="1" outlineLevel="1" x14ac:dyDescent="0.25">
      <c r="B79" s="29" t="s">
        <v>81</v>
      </c>
      <c r="C79" s="29"/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Q79" s="26">
        <v>0</v>
      </c>
      <c r="R79" s="26">
        <v>0</v>
      </c>
      <c r="S79" s="29">
        <v>0</v>
      </c>
      <c r="T79" s="29">
        <v>0</v>
      </c>
      <c r="V79" s="26">
        <v>0</v>
      </c>
      <c r="X79" s="26">
        <v>0</v>
      </c>
    </row>
    <row r="80" spans="1:24" hidden="1" outlineLevel="1" x14ac:dyDescent="0.25">
      <c r="A80" s="53" t="s">
        <v>440</v>
      </c>
      <c r="B80" s="29" t="s">
        <v>82</v>
      </c>
      <c r="C80" s="29"/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Q80" s="26">
        <v>0</v>
      </c>
      <c r="R80" s="26">
        <v>0</v>
      </c>
      <c r="S80" s="29">
        <v>0</v>
      </c>
      <c r="T80" s="29">
        <v>0</v>
      </c>
      <c r="V80" s="26">
        <v>0</v>
      </c>
      <c r="X80" s="26">
        <v>0</v>
      </c>
    </row>
    <row r="81" spans="1:24" hidden="1" outlineLevel="1" x14ac:dyDescent="0.25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>
        <v>0</v>
      </c>
      <c r="V81" s="29">
        <v>0</v>
      </c>
      <c r="X81" s="29"/>
    </row>
    <row r="82" spans="1:24" hidden="1" outlineLevel="1" x14ac:dyDescent="0.25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>
        <v>0</v>
      </c>
      <c r="V82" s="29">
        <v>0</v>
      </c>
      <c r="X82" s="29"/>
    </row>
    <row r="83" spans="1:24" hidden="1" outlineLevel="1" x14ac:dyDescent="0.25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Q83" s="29"/>
      <c r="R83" s="29"/>
      <c r="S83" s="29"/>
      <c r="T83" s="29">
        <v>0</v>
      </c>
      <c r="V83" s="29">
        <v>0</v>
      </c>
      <c r="X83" s="29"/>
    </row>
    <row r="84" spans="1:24" hidden="1" outlineLevel="1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Q84" s="29"/>
      <c r="R84" s="29"/>
      <c r="S84" s="29"/>
      <c r="T84" s="29">
        <v>0</v>
      </c>
      <c r="V84" s="29">
        <v>0</v>
      </c>
      <c r="X84" s="29"/>
    </row>
    <row r="85" spans="1:24" hidden="1" outlineLevel="1" x14ac:dyDescent="0.25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Q85" s="29"/>
      <c r="R85" s="29"/>
      <c r="S85" s="29"/>
      <c r="T85" s="29">
        <v>0</v>
      </c>
      <c r="V85" s="29">
        <v>0</v>
      </c>
      <c r="X85" s="29"/>
    </row>
    <row r="86" spans="1:24" ht="4.2" customHeight="1" x14ac:dyDescent="0.25">
      <c r="B86" s="21"/>
    </row>
    <row r="87" spans="1:24" s="4" customFormat="1" x14ac:dyDescent="0.25">
      <c r="B87" s="2" t="s">
        <v>83</v>
      </c>
      <c r="D87" s="2">
        <v>373019.56999999972</v>
      </c>
      <c r="E87" s="2">
        <v>3785.6300000000929</v>
      </c>
      <c r="F87" s="2">
        <v>646099.79</v>
      </c>
      <c r="G87" s="2">
        <v>323231.61000000016</v>
      </c>
      <c r="H87" s="2">
        <v>225376.77000000002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1571513.370000001</v>
      </c>
      <c r="R87" s="2">
        <v>1240878.3899999999</v>
      </c>
      <c r="S87" s="2">
        <v>331381.44000000076</v>
      </c>
      <c r="T87" s="2">
        <v>26.705392137580926</v>
      </c>
      <c r="V87" s="2">
        <v>1924452.18</v>
      </c>
      <c r="X87" s="2">
        <v>1628684.4299999997</v>
      </c>
    </row>
    <row r="88" spans="1:24" ht="3.6" customHeight="1" x14ac:dyDescent="0.25">
      <c r="T88" s="21" t="s">
        <v>1</v>
      </c>
    </row>
    <row r="89" spans="1:24" s="4" customFormat="1" x14ac:dyDescent="0.25">
      <c r="B89" s="2" t="s">
        <v>84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Q89" s="2">
        <v>0</v>
      </c>
      <c r="R89" s="33">
        <v>0</v>
      </c>
      <c r="S89" s="2">
        <v>0</v>
      </c>
      <c r="T89" s="2">
        <v>0</v>
      </c>
      <c r="V89" s="33">
        <v>0</v>
      </c>
      <c r="X89" s="33">
        <v>0</v>
      </c>
    </row>
    <row r="90" spans="1:24" x14ac:dyDescent="0.25">
      <c r="A90" s="4"/>
      <c r="B90" s="2" t="s">
        <v>85</v>
      </c>
      <c r="C90" s="4"/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4"/>
      <c r="Q90" s="2">
        <v>0</v>
      </c>
      <c r="R90" s="33">
        <v>0</v>
      </c>
      <c r="S90" s="2">
        <v>0</v>
      </c>
      <c r="T90" s="2">
        <v>0</v>
      </c>
      <c r="U90" s="4"/>
      <c r="V90" s="33">
        <v>0</v>
      </c>
      <c r="W90" s="4"/>
      <c r="X90" s="33">
        <v>0</v>
      </c>
    </row>
    <row r="91" spans="1:24" s="29" customFormat="1" ht="15" hidden="1" customHeight="1" x14ac:dyDescent="0.25">
      <c r="A91" s="21"/>
      <c r="B91" s="29" t="s">
        <v>86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1"/>
      <c r="Q91" s="29">
        <v>0</v>
      </c>
      <c r="R91" s="29">
        <v>0</v>
      </c>
      <c r="S91" s="29">
        <v>0</v>
      </c>
      <c r="T91" s="29">
        <v>0</v>
      </c>
      <c r="U91" s="21"/>
      <c r="V91" s="29">
        <v>0</v>
      </c>
      <c r="W91" s="21"/>
      <c r="X91" s="29">
        <v>0</v>
      </c>
    </row>
    <row r="92" spans="1:24" ht="3.6" customHeight="1" x14ac:dyDescent="0.25">
      <c r="B92" s="21"/>
      <c r="T92" s="21" t="s">
        <v>1</v>
      </c>
    </row>
    <row r="93" spans="1:24" x14ac:dyDescent="0.25">
      <c r="A93" s="4"/>
      <c r="B93" s="2" t="s">
        <v>87</v>
      </c>
      <c r="C93" s="4"/>
      <c r="D93" s="33">
        <v>373019.56999999972</v>
      </c>
      <c r="E93" s="33">
        <v>3785.6300000000929</v>
      </c>
      <c r="F93" s="33">
        <v>646099.79</v>
      </c>
      <c r="G93" s="33">
        <v>323231.61000000016</v>
      </c>
      <c r="H93" s="33">
        <v>225376.77000000002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4"/>
      <c r="Q93" s="33">
        <v>1571513.370000001</v>
      </c>
      <c r="R93" s="33">
        <v>1240878.3899999999</v>
      </c>
      <c r="S93" s="33">
        <v>330634.98000000115</v>
      </c>
      <c r="T93" s="2">
        <v>26.645236363573161</v>
      </c>
      <c r="U93" s="4"/>
      <c r="V93" s="33">
        <v>1924452.18</v>
      </c>
      <c r="W93" s="4"/>
      <c r="X93" s="33">
        <v>1628684.4299999997</v>
      </c>
    </row>
    <row r="94" spans="1:24" ht="3.6" customHeight="1" x14ac:dyDescent="0.25">
      <c r="B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 t="s">
        <v>1</v>
      </c>
      <c r="U94" s="4"/>
      <c r="V94" s="4"/>
      <c r="W94" s="4"/>
      <c r="X94" s="4"/>
    </row>
    <row r="95" spans="1:24" s="4" customFormat="1" x14ac:dyDescent="0.25">
      <c r="B95" s="3" t="s">
        <v>88</v>
      </c>
      <c r="D95" s="2">
        <v>-16937.080000000002</v>
      </c>
      <c r="E95" s="2">
        <v>-15298.01</v>
      </c>
      <c r="F95" s="2">
        <v>-16566.18</v>
      </c>
      <c r="G95" s="2">
        <v>-13608.95</v>
      </c>
      <c r="H95" s="2">
        <v>-15332.22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Q95" s="2">
        <v>-77742.44</v>
      </c>
      <c r="R95" s="2">
        <v>-93006.9</v>
      </c>
      <c r="S95" s="2">
        <v>15264.459999999992</v>
      </c>
      <c r="T95" s="2">
        <v>-16.412180171578662</v>
      </c>
      <c r="V95" s="2">
        <v>-188380.58</v>
      </c>
      <c r="X95" s="2">
        <v>-135160.5</v>
      </c>
    </row>
    <row r="96" spans="1:24" x14ac:dyDescent="0.25">
      <c r="A96" s="53" t="s">
        <v>339</v>
      </c>
      <c r="B96" s="16" t="s">
        <v>89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26">
        <v>0</v>
      </c>
      <c r="R96" s="26">
        <v>0</v>
      </c>
      <c r="S96" s="16">
        <v>0</v>
      </c>
      <c r="T96" s="16">
        <v>0</v>
      </c>
      <c r="V96" s="26">
        <v>0</v>
      </c>
      <c r="X96" s="16">
        <v>0</v>
      </c>
    </row>
    <row r="97" spans="1:24" x14ac:dyDescent="0.25">
      <c r="A97" s="53" t="s">
        <v>455</v>
      </c>
      <c r="B97" s="16" t="s">
        <v>90</v>
      </c>
      <c r="D97" s="26">
        <v>-16937.080000000002</v>
      </c>
      <c r="E97" s="26">
        <v>-15298.01</v>
      </c>
      <c r="F97" s="26">
        <v>-16566.18</v>
      </c>
      <c r="G97" s="26">
        <v>-13608.95</v>
      </c>
      <c r="H97" s="26">
        <v>-15332.22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26">
        <v>-77742.44</v>
      </c>
      <c r="R97" s="26">
        <v>-93006.9</v>
      </c>
      <c r="S97" s="16">
        <v>15264.459999999992</v>
      </c>
      <c r="T97" s="16">
        <v>-16.412180171578662</v>
      </c>
      <c r="V97" s="26">
        <v>-188380.58</v>
      </c>
      <c r="X97" s="16">
        <v>-135160.5</v>
      </c>
    </row>
    <row r="98" spans="1:24" hidden="1" x14ac:dyDescent="0.25">
      <c r="B98" s="16" t="s">
        <v>91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26">
        <v>0</v>
      </c>
      <c r="R98" s="26">
        <v>0</v>
      </c>
      <c r="S98" s="16">
        <v>0</v>
      </c>
      <c r="T98" s="16">
        <v>0</v>
      </c>
      <c r="V98" s="26">
        <v>0</v>
      </c>
      <c r="X98" s="16">
        <v>0</v>
      </c>
    </row>
    <row r="99" spans="1:24" x14ac:dyDescent="0.25">
      <c r="A99" s="53" t="s">
        <v>520</v>
      </c>
      <c r="B99" s="16" t="s">
        <v>92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26">
        <v>0</v>
      </c>
      <c r="R99" s="26">
        <v>0</v>
      </c>
      <c r="S99" s="16">
        <v>0</v>
      </c>
      <c r="T99" s="16">
        <v>0</v>
      </c>
      <c r="V99" s="26">
        <v>0</v>
      </c>
      <c r="X99" s="16">
        <v>0</v>
      </c>
    </row>
    <row r="100" spans="1:24" hidden="1" x14ac:dyDescent="0.25">
      <c r="B100" s="16" t="s">
        <v>93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26">
        <v>0</v>
      </c>
      <c r="R100" s="26">
        <v>0</v>
      </c>
      <c r="S100" s="16">
        <v>0</v>
      </c>
      <c r="T100" s="16">
        <v>0</v>
      </c>
      <c r="V100" s="26">
        <v>0</v>
      </c>
      <c r="X100" s="16">
        <v>0</v>
      </c>
    </row>
    <row r="101" spans="1:24" hidden="1" x14ac:dyDescent="0.25">
      <c r="B101" s="16" t="s">
        <v>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Q101" s="26">
        <v>0</v>
      </c>
      <c r="R101" s="26">
        <v>0</v>
      </c>
      <c r="S101" s="16">
        <v>0</v>
      </c>
      <c r="T101" s="16">
        <v>0</v>
      </c>
      <c r="V101" s="26">
        <v>0</v>
      </c>
      <c r="X101" s="16">
        <v>0</v>
      </c>
    </row>
    <row r="102" spans="1:24" x14ac:dyDescent="0.25">
      <c r="A102" s="53" t="s">
        <v>528</v>
      </c>
      <c r="B102" s="16" t="s">
        <v>95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Q102" s="26">
        <v>0</v>
      </c>
      <c r="R102" s="26">
        <v>0</v>
      </c>
      <c r="S102" s="16">
        <v>0</v>
      </c>
      <c r="T102" s="16">
        <v>0</v>
      </c>
      <c r="V102" s="26">
        <v>0</v>
      </c>
      <c r="X102" s="16">
        <v>0</v>
      </c>
    </row>
    <row r="103" spans="1:24" ht="3.6" customHeight="1" x14ac:dyDescent="0.25">
      <c r="B103" s="21"/>
      <c r="T103" s="21" t="s">
        <v>1</v>
      </c>
    </row>
    <row r="104" spans="1:24" s="4" customFormat="1" x14ac:dyDescent="0.25">
      <c r="B104" s="2" t="s">
        <v>96</v>
      </c>
      <c r="D104" s="2">
        <v>356082.4899999997</v>
      </c>
      <c r="E104" s="2">
        <v>-11512.379999999906</v>
      </c>
      <c r="F104" s="2">
        <v>629533.61</v>
      </c>
      <c r="G104" s="2">
        <v>309622.66000000015</v>
      </c>
      <c r="H104" s="2">
        <v>210044.55000000002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Q104" s="2">
        <v>1493770.93</v>
      </c>
      <c r="R104" s="2">
        <v>1147871.49</v>
      </c>
      <c r="S104" s="2">
        <v>345899.44000000111</v>
      </c>
      <c r="T104" s="2">
        <v>30.133986514466105</v>
      </c>
      <c r="V104" s="2">
        <v>1736071.5999999999</v>
      </c>
      <c r="X104" s="2">
        <v>1493523.9299999997</v>
      </c>
    </row>
    <row r="105" spans="1:24" ht="4.2" customHeight="1" x14ac:dyDescent="0.25">
      <c r="T105" s="21" t="s">
        <v>1</v>
      </c>
    </row>
    <row r="106" spans="1:24" s="6" customFormat="1" x14ac:dyDescent="0.25">
      <c r="A106" s="53" t="s">
        <v>522</v>
      </c>
      <c r="B106" s="43" t="s">
        <v>97</v>
      </c>
      <c r="C106" s="15">
        <f>-IF(C110 = 0,0,C24/C110)</f>
        <v>0</v>
      </c>
      <c r="D106" s="66">
        <v>25517.200967741926</v>
      </c>
      <c r="E106" s="66">
        <v>18230.481071428574</v>
      </c>
      <c r="F106" s="66">
        <v>35123.126451612909</v>
      </c>
      <c r="G106" s="66">
        <v>25112.532333333336</v>
      </c>
      <c r="H106" s="66">
        <v>21435.496774193551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13"/>
      <c r="Q106" s="66">
        <v>25219.735033112589</v>
      </c>
      <c r="R106" s="66">
        <v>38287.001666666663</v>
      </c>
      <c r="S106" s="15">
        <v>-13067.266633554074</v>
      </c>
      <c r="T106" s="15">
        <v>34.1297726766906</v>
      </c>
      <c r="U106" s="13"/>
      <c r="V106" s="66">
        <v>19487.497534246573</v>
      </c>
      <c r="W106" s="13" t="s">
        <v>1</v>
      </c>
      <c r="X106" s="66">
        <v>22633.387350993376</v>
      </c>
    </row>
    <row r="107" spans="1:24" ht="12" customHeight="1" x14ac:dyDescent="0.25">
      <c r="A107" s="53" t="s">
        <v>446</v>
      </c>
      <c r="B107" s="43" t="s">
        <v>98</v>
      </c>
      <c r="C107" s="15">
        <f>-IF(C111 = 0, 0,C65/C111)</f>
        <v>0</v>
      </c>
      <c r="D107" s="66">
        <v>-9451.9690322580664</v>
      </c>
      <c r="E107" s="66">
        <v>-13639.142857142857</v>
      </c>
      <c r="F107" s="66">
        <v>-10253.12419354839</v>
      </c>
      <c r="G107" s="66">
        <v>-10170.657666666666</v>
      </c>
      <c r="H107" s="66">
        <v>-10134.100967741935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Q107" s="66">
        <v>-10675.700331125829</v>
      </c>
      <c r="R107" s="66">
        <v>-17633.866222222223</v>
      </c>
      <c r="S107" s="16">
        <v>6958.1658910963943</v>
      </c>
      <c r="T107" s="15">
        <v>-39.459105583594052</v>
      </c>
      <c r="U107" s="4"/>
      <c r="V107" s="66">
        <v>-10152.096712328766</v>
      </c>
      <c r="X107" s="66">
        <v>-7796.758145695364</v>
      </c>
    </row>
    <row r="108" spans="1:24" s="6" customFormat="1" x14ac:dyDescent="0.25">
      <c r="A108" s="53" t="s">
        <v>447</v>
      </c>
      <c r="B108" s="43" t="s">
        <v>106</v>
      </c>
      <c r="C108" s="15">
        <f>-IF(C111 = 0,0,(C65-C58)/C111)</f>
        <v>0</v>
      </c>
      <c r="D108" s="66">
        <v>-8146.5445161290336</v>
      </c>
      <c r="E108" s="66">
        <v>-12193.851071428571</v>
      </c>
      <c r="F108" s="66">
        <v>-8947.6996774193576</v>
      </c>
      <c r="G108" s="66">
        <v>-8821.7189999999991</v>
      </c>
      <c r="H108" s="66">
        <v>-8828.6764516129024</v>
      </c>
      <c r="I108" s="66">
        <v>0</v>
      </c>
      <c r="J108" s="66">
        <v>0</v>
      </c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13"/>
      <c r="Q108" s="66">
        <v>-9335.6949668874167</v>
      </c>
      <c r="R108" s="66">
        <v>-15385.635111111111</v>
      </c>
      <c r="S108" s="16">
        <v>6049.940144223694</v>
      </c>
      <c r="T108" s="15">
        <v>-39.322004587607715</v>
      </c>
      <c r="U108" s="13"/>
      <c r="V108" s="66">
        <v>-8821.6366575342454</v>
      </c>
      <c r="W108" s="13" t="s">
        <v>1</v>
      </c>
      <c r="X108" s="66">
        <v>-7796.758145695364</v>
      </c>
    </row>
    <row r="109" spans="1:24" s="4" customFormat="1" collapsed="1" x14ac:dyDescent="0.25">
      <c r="A109" s="53" t="s">
        <v>448</v>
      </c>
      <c r="B109" s="43" t="s">
        <v>99</v>
      </c>
      <c r="C109" s="15">
        <f>-IF(C111 = 0, 0,C104/C111)</f>
        <v>0</v>
      </c>
      <c r="D109" s="66">
        <v>11486.531935483861</v>
      </c>
      <c r="E109" s="66">
        <v>-411.15642857142524</v>
      </c>
      <c r="F109" s="66">
        <v>20307.535806451611</v>
      </c>
      <c r="G109" s="66">
        <v>10320.755333333338</v>
      </c>
      <c r="H109" s="66">
        <v>6775.6306451612909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21"/>
      <c r="Q109" s="66">
        <v>9892.5227152317875</v>
      </c>
      <c r="R109" s="66">
        <v>12754.127666666667</v>
      </c>
      <c r="S109" s="16">
        <v>-2861.6049514348797</v>
      </c>
      <c r="T109" s="15">
        <v>-22.436696779457353</v>
      </c>
      <c r="U109" s="21"/>
      <c r="V109" s="66">
        <v>4756.3605479452053</v>
      </c>
      <c r="W109" s="21"/>
      <c r="X109" s="66">
        <v>9890.8869536423827</v>
      </c>
    </row>
    <row r="110" spans="1:24" s="4" customFormat="1" hidden="1" outlineLevel="1" x14ac:dyDescent="0.25">
      <c r="A110" s="56" t="s">
        <v>523</v>
      </c>
      <c r="B110" s="14" t="s">
        <v>101</v>
      </c>
      <c r="C110" s="21"/>
      <c r="D110" s="26">
        <v>31</v>
      </c>
      <c r="E110" s="26">
        <v>28</v>
      </c>
      <c r="F110" s="26">
        <v>31</v>
      </c>
      <c r="G110" s="26">
        <v>30</v>
      </c>
      <c r="H110" s="26">
        <v>31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1"/>
      <c r="Q110" s="16">
        <v>151</v>
      </c>
      <c r="R110" s="26">
        <v>90</v>
      </c>
      <c r="S110" s="16">
        <v>61</v>
      </c>
      <c r="T110" s="16">
        <v>67.777777777777786</v>
      </c>
      <c r="U110" s="21"/>
      <c r="V110" s="16">
        <v>365</v>
      </c>
      <c r="W110" s="21"/>
      <c r="X110" s="16">
        <v>151</v>
      </c>
    </row>
    <row r="111" spans="1:24" s="4" customFormat="1" hidden="1" outlineLevel="1" x14ac:dyDescent="0.25">
      <c r="A111" s="56" t="s">
        <v>524</v>
      </c>
      <c r="B111" s="14" t="s">
        <v>102</v>
      </c>
      <c r="C111" s="21"/>
      <c r="D111" s="26">
        <v>31</v>
      </c>
      <c r="E111" s="26">
        <v>28</v>
      </c>
      <c r="F111" s="26">
        <v>31</v>
      </c>
      <c r="G111" s="26">
        <v>30</v>
      </c>
      <c r="H111" s="26">
        <v>31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1"/>
      <c r="Q111" s="16">
        <v>151</v>
      </c>
      <c r="R111" s="26">
        <v>90</v>
      </c>
      <c r="S111" s="16">
        <v>61</v>
      </c>
      <c r="T111" s="16">
        <v>67.777777777777786</v>
      </c>
      <c r="U111" s="21"/>
      <c r="V111" s="16">
        <v>365</v>
      </c>
      <c r="W111" s="21"/>
      <c r="X111" s="16">
        <v>151</v>
      </c>
    </row>
    <row r="112" spans="1:24" hidden="1" outlineLevel="1" x14ac:dyDescent="0.25">
      <c r="A112" s="56" t="s">
        <v>449</v>
      </c>
      <c r="B112" s="14" t="s">
        <v>107</v>
      </c>
      <c r="D112" s="26">
        <v>3</v>
      </c>
      <c r="E112" s="26">
        <v>3</v>
      </c>
      <c r="F112" s="26">
        <v>3</v>
      </c>
      <c r="G112" s="26">
        <v>3</v>
      </c>
      <c r="H112" s="26">
        <v>2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4"/>
      <c r="Q112" s="16">
        <v>14</v>
      </c>
      <c r="R112" s="26">
        <v>0</v>
      </c>
      <c r="S112" s="16">
        <v>14</v>
      </c>
      <c r="T112" s="28">
        <v>0</v>
      </c>
      <c r="U112" s="4"/>
      <c r="V112" s="16">
        <v>0</v>
      </c>
      <c r="W112" s="4"/>
      <c r="X112" s="16">
        <v>14</v>
      </c>
    </row>
    <row r="113" spans="2:24" ht="3.6" customHeight="1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R113" s="4"/>
      <c r="S113" s="4"/>
      <c r="T113" s="4" t="s">
        <v>1</v>
      </c>
      <c r="U113" s="4"/>
      <c r="V113" s="4"/>
      <c r="W113" s="4"/>
      <c r="X113" s="4"/>
    </row>
    <row r="114" spans="2:24" s="4" customFormat="1" x14ac:dyDescent="0.25">
      <c r="B114" s="2" t="s">
        <v>104</v>
      </c>
      <c r="D114" s="2">
        <v>537590.64999999967</v>
      </c>
      <c r="E114" s="2">
        <v>168454.1700000001</v>
      </c>
      <c r="F114" s="2">
        <v>810803.72000000009</v>
      </c>
      <c r="G114" s="2">
        <v>488172.99000000022</v>
      </c>
      <c r="H114" s="2">
        <v>390264.68000000005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Q114" s="2">
        <v>2395286.2100000014</v>
      </c>
      <c r="R114" s="2">
        <v>2060243.74</v>
      </c>
      <c r="S114" s="2">
        <v>335788.93000000075</v>
      </c>
      <c r="T114" s="2">
        <v>16.298505049698669</v>
      </c>
      <c r="V114" s="2">
        <v>3890929.0199999996</v>
      </c>
      <c r="X114" s="2">
        <v>2238488.67</v>
      </c>
    </row>
    <row r="115" spans="2:24" x14ac:dyDescent="0.25">
      <c r="H115" s="21" t="s">
        <v>1</v>
      </c>
      <c r="K115" s="21" t="s">
        <v>1</v>
      </c>
      <c r="L115" s="21" t="s">
        <v>1</v>
      </c>
      <c r="Q115" s="21" t="s">
        <v>1</v>
      </c>
      <c r="R115" s="21" t="s">
        <v>108</v>
      </c>
      <c r="S115" s="21" t="s">
        <v>1</v>
      </c>
    </row>
    <row r="116" spans="2:24" collapsed="1" x14ac:dyDescent="0.25"/>
    <row r="117" spans="2:24" ht="13.2" hidden="1" customHeight="1" outlineLevel="1" x14ac:dyDescent="0.25">
      <c r="D117" s="21">
        <f>+D24/D110</f>
        <v>25517.200967741926</v>
      </c>
      <c r="E117" s="21">
        <f t="shared" ref="E117:R117" si="0">+E24/E110</f>
        <v>18230.481071428574</v>
      </c>
      <c r="F117" s="21">
        <f t="shared" si="0"/>
        <v>35123.126451612909</v>
      </c>
      <c r="G117" s="21">
        <f t="shared" si="0"/>
        <v>25112.532333333336</v>
      </c>
      <c r="H117" s="21">
        <f t="shared" si="0"/>
        <v>21435.496774193551</v>
      </c>
      <c r="I117" s="21" t="e">
        <f t="shared" si="0"/>
        <v>#DIV/0!</v>
      </c>
      <c r="J117" s="21" t="e">
        <f t="shared" si="0"/>
        <v>#DIV/0!</v>
      </c>
      <c r="K117" s="21" t="e">
        <f t="shared" si="0"/>
        <v>#DIV/0!</v>
      </c>
      <c r="L117" s="21" t="e">
        <f t="shared" si="0"/>
        <v>#DIV/0!</v>
      </c>
      <c r="M117" s="21" t="e">
        <f t="shared" si="0"/>
        <v>#DIV/0!</v>
      </c>
      <c r="N117" s="21" t="e">
        <f t="shared" si="0"/>
        <v>#DIV/0!</v>
      </c>
      <c r="O117" s="21" t="e">
        <f t="shared" si="0"/>
        <v>#DIV/0!</v>
      </c>
      <c r="P117" s="21" t="e">
        <f t="shared" si="0"/>
        <v>#DIV/0!</v>
      </c>
      <c r="Q117" s="21">
        <f t="shared" si="0"/>
        <v>25219.735033112589</v>
      </c>
      <c r="R117" s="21">
        <f t="shared" si="0"/>
        <v>38287.001666666663</v>
      </c>
      <c r="X117" s="21">
        <f>+X24/X110</f>
        <v>22633.387350993376</v>
      </c>
    </row>
    <row r="118" spans="2:24" ht="13.2" hidden="1" customHeight="1" outlineLevel="1" x14ac:dyDescent="0.25">
      <c r="D118" s="21">
        <f>+D65/D111</f>
        <v>-9451.9690322580664</v>
      </c>
      <c r="E118" s="21">
        <f t="shared" ref="E118:R118" si="1">+E65/E111</f>
        <v>-13639.142857142857</v>
      </c>
      <c r="F118" s="21">
        <f t="shared" si="1"/>
        <v>-10253.12419354839</v>
      </c>
      <c r="G118" s="21">
        <f t="shared" si="1"/>
        <v>-10170.657666666666</v>
      </c>
      <c r="H118" s="21">
        <f t="shared" si="1"/>
        <v>-10134.100967741935</v>
      </c>
      <c r="I118" s="21" t="e">
        <f t="shared" si="1"/>
        <v>#DIV/0!</v>
      </c>
      <c r="J118" s="21" t="e">
        <f t="shared" si="1"/>
        <v>#DIV/0!</v>
      </c>
      <c r="K118" s="21" t="e">
        <f t="shared" si="1"/>
        <v>#DIV/0!</v>
      </c>
      <c r="L118" s="21" t="e">
        <f t="shared" si="1"/>
        <v>#DIV/0!</v>
      </c>
      <c r="M118" s="21" t="e">
        <f t="shared" si="1"/>
        <v>#DIV/0!</v>
      </c>
      <c r="N118" s="21" t="e">
        <f t="shared" si="1"/>
        <v>#DIV/0!</v>
      </c>
      <c r="O118" s="21" t="e">
        <f t="shared" si="1"/>
        <v>#DIV/0!</v>
      </c>
      <c r="P118" s="21" t="e">
        <f t="shared" si="1"/>
        <v>#DIV/0!</v>
      </c>
      <c r="Q118" s="21">
        <f t="shared" si="1"/>
        <v>-10675.700331125829</v>
      </c>
      <c r="R118" s="21">
        <f t="shared" si="1"/>
        <v>-17633.866222222223</v>
      </c>
      <c r="X118" s="21">
        <f>+X65/X111</f>
        <v>-7796.758145695364</v>
      </c>
    </row>
    <row r="119" spans="2:24" ht="13.2" hidden="1" customHeight="1" outlineLevel="1" x14ac:dyDescent="0.25">
      <c r="D119" s="4">
        <f>+(D65-D58)/D111</f>
        <v>-8146.5445161290336</v>
      </c>
      <c r="E119" s="4">
        <f t="shared" ref="E119:R119" si="2">+(E65-E58)/E111</f>
        <v>-12193.851071428571</v>
      </c>
      <c r="F119" s="4">
        <f t="shared" si="2"/>
        <v>-8947.6996774193576</v>
      </c>
      <c r="G119" s="4">
        <f t="shared" si="2"/>
        <v>-8821.7189999999991</v>
      </c>
      <c r="H119" s="4">
        <f t="shared" si="2"/>
        <v>-8828.6764516129024</v>
      </c>
      <c r="I119" s="4" t="e">
        <f t="shared" si="2"/>
        <v>#DIV/0!</v>
      </c>
      <c r="J119" s="4" t="e">
        <f t="shared" si="2"/>
        <v>#DIV/0!</v>
      </c>
      <c r="K119" s="4" t="e">
        <f t="shared" si="2"/>
        <v>#DIV/0!</v>
      </c>
      <c r="L119" s="4" t="e">
        <f t="shared" si="2"/>
        <v>#DIV/0!</v>
      </c>
      <c r="M119" s="4" t="e">
        <f t="shared" si="2"/>
        <v>#DIV/0!</v>
      </c>
      <c r="N119" s="4" t="e">
        <f t="shared" si="2"/>
        <v>#DIV/0!</v>
      </c>
      <c r="O119" s="4" t="e">
        <f t="shared" si="2"/>
        <v>#DIV/0!</v>
      </c>
      <c r="P119" s="4" t="e">
        <f t="shared" si="2"/>
        <v>#DIV/0!</v>
      </c>
      <c r="Q119" s="4">
        <f t="shared" si="2"/>
        <v>-9335.6949668874167</v>
      </c>
      <c r="R119" s="4">
        <f t="shared" si="2"/>
        <v>-15385.635111111111</v>
      </c>
      <c r="S119" s="4"/>
      <c r="T119" s="4"/>
      <c r="U119" s="4"/>
      <c r="V119" s="4"/>
      <c r="W119" s="4"/>
      <c r="X119" s="4">
        <f>+(X65-X58)/X111</f>
        <v>-7796.758145695364</v>
      </c>
    </row>
    <row r="120" spans="2:24" ht="13.2" hidden="1" customHeight="1" outlineLevel="1" x14ac:dyDescent="0.25">
      <c r="D120" s="4">
        <f>+D106-D117</f>
        <v>0</v>
      </c>
      <c r="E120" s="4">
        <f t="shared" ref="E120:R122" si="3">+E106-E117</f>
        <v>0</v>
      </c>
      <c r="F120" s="4">
        <f t="shared" si="3"/>
        <v>0</v>
      </c>
      <c r="G120" s="4">
        <f t="shared" si="3"/>
        <v>0</v>
      </c>
      <c r="H120" s="4">
        <f t="shared" si="3"/>
        <v>0</v>
      </c>
      <c r="I120" s="4" t="e">
        <f t="shared" si="3"/>
        <v>#DIV/0!</v>
      </c>
      <c r="J120" s="4" t="e">
        <f t="shared" si="3"/>
        <v>#DIV/0!</v>
      </c>
      <c r="K120" s="4" t="e">
        <f t="shared" si="3"/>
        <v>#DIV/0!</v>
      </c>
      <c r="L120" s="4" t="e">
        <f t="shared" si="3"/>
        <v>#DIV/0!</v>
      </c>
      <c r="M120" s="4" t="e">
        <f t="shared" si="3"/>
        <v>#DIV/0!</v>
      </c>
      <c r="N120" s="4" t="e">
        <f t="shared" si="3"/>
        <v>#DIV/0!</v>
      </c>
      <c r="O120" s="4" t="e">
        <f t="shared" si="3"/>
        <v>#DIV/0!</v>
      </c>
      <c r="P120" s="4" t="e">
        <f t="shared" si="3"/>
        <v>#DIV/0!</v>
      </c>
      <c r="Q120" s="4">
        <f t="shared" si="3"/>
        <v>0</v>
      </c>
      <c r="R120" s="4">
        <f t="shared" si="3"/>
        <v>0</v>
      </c>
      <c r="S120" s="4"/>
      <c r="T120" s="4"/>
      <c r="U120" s="4"/>
      <c r="V120" s="4"/>
      <c r="W120" s="4"/>
      <c r="X120" s="4">
        <f>+X106-X117</f>
        <v>0</v>
      </c>
    </row>
    <row r="121" spans="2:24" ht="13.2" hidden="1" customHeight="1" outlineLevel="1" x14ac:dyDescent="0.25">
      <c r="D121" s="4">
        <f>+D107-D118</f>
        <v>0</v>
      </c>
      <c r="E121" s="4">
        <f t="shared" si="3"/>
        <v>0</v>
      </c>
      <c r="F121" s="4">
        <f t="shared" si="3"/>
        <v>0</v>
      </c>
      <c r="G121" s="4">
        <f t="shared" si="3"/>
        <v>0</v>
      </c>
      <c r="H121" s="4">
        <f t="shared" si="3"/>
        <v>0</v>
      </c>
      <c r="I121" s="4" t="e">
        <f t="shared" si="3"/>
        <v>#DIV/0!</v>
      </c>
      <c r="J121" s="4" t="e">
        <f t="shared" si="3"/>
        <v>#DIV/0!</v>
      </c>
      <c r="K121" s="4" t="e">
        <f t="shared" si="3"/>
        <v>#DIV/0!</v>
      </c>
      <c r="L121" s="4" t="e">
        <f t="shared" si="3"/>
        <v>#DIV/0!</v>
      </c>
      <c r="M121" s="4" t="e">
        <f t="shared" si="3"/>
        <v>#DIV/0!</v>
      </c>
      <c r="N121" s="4" t="e">
        <f t="shared" si="3"/>
        <v>#DIV/0!</v>
      </c>
      <c r="O121" s="4" t="e">
        <f t="shared" si="3"/>
        <v>#DIV/0!</v>
      </c>
      <c r="P121" s="4" t="e">
        <f t="shared" si="3"/>
        <v>#DIV/0!</v>
      </c>
      <c r="Q121" s="4">
        <f t="shared" si="3"/>
        <v>0</v>
      </c>
      <c r="R121" s="4">
        <f t="shared" si="3"/>
        <v>0</v>
      </c>
      <c r="S121" s="4"/>
      <c r="T121" s="4"/>
      <c r="U121" s="4"/>
      <c r="V121" s="4"/>
      <c r="W121" s="4"/>
      <c r="X121" s="4">
        <f>+X107-X118</f>
        <v>0</v>
      </c>
    </row>
    <row r="122" spans="2:24" ht="13.2" hidden="1" customHeight="1" outlineLevel="1" x14ac:dyDescent="0.25">
      <c r="D122" s="4">
        <f>+D108-D119</f>
        <v>0</v>
      </c>
      <c r="E122" s="4">
        <f t="shared" si="3"/>
        <v>0</v>
      </c>
      <c r="F122" s="4">
        <f t="shared" si="3"/>
        <v>0</v>
      </c>
      <c r="G122" s="4">
        <f t="shared" si="3"/>
        <v>0</v>
      </c>
      <c r="H122" s="4">
        <f t="shared" si="3"/>
        <v>0</v>
      </c>
      <c r="I122" s="4" t="e">
        <f t="shared" si="3"/>
        <v>#DIV/0!</v>
      </c>
      <c r="J122" s="4" t="e">
        <f t="shared" si="3"/>
        <v>#DIV/0!</v>
      </c>
      <c r="K122" s="4" t="e">
        <f t="shared" si="3"/>
        <v>#DIV/0!</v>
      </c>
      <c r="L122" s="4" t="e">
        <f t="shared" si="3"/>
        <v>#DIV/0!</v>
      </c>
      <c r="M122" s="4" t="e">
        <f t="shared" si="3"/>
        <v>#DIV/0!</v>
      </c>
      <c r="N122" s="4" t="e">
        <f t="shared" si="3"/>
        <v>#DIV/0!</v>
      </c>
      <c r="O122" s="4" t="e">
        <f t="shared" si="3"/>
        <v>#DIV/0!</v>
      </c>
      <c r="P122" s="4" t="e">
        <f t="shared" si="3"/>
        <v>#DIV/0!</v>
      </c>
      <c r="Q122" s="4">
        <f t="shared" si="3"/>
        <v>0</v>
      </c>
      <c r="R122" s="4">
        <f t="shared" si="3"/>
        <v>0</v>
      </c>
      <c r="S122" s="4"/>
      <c r="T122" s="4"/>
      <c r="U122" s="4"/>
      <c r="V122" s="4"/>
      <c r="W122" s="4"/>
      <c r="X122" s="4">
        <f>+X108-X119</f>
        <v>0</v>
      </c>
    </row>
    <row r="123" spans="2:24" ht="13.2" customHeight="1" x14ac:dyDescent="0.25">
      <c r="D123" s="4"/>
    </row>
    <row r="124" spans="2:24" x14ac:dyDescent="0.25">
      <c r="D124" s="4"/>
    </row>
    <row r="125" spans="2:24" x14ac:dyDescent="0.25">
      <c r="D125" s="4"/>
    </row>
    <row r="126" spans="2:24" x14ac:dyDescent="0.25">
      <c r="D126" s="4"/>
    </row>
    <row r="127" spans="2:24" ht="3" customHeight="1" x14ac:dyDescent="0.25">
      <c r="D127" s="4"/>
    </row>
    <row r="128" spans="2:24" x14ac:dyDescent="0.25">
      <c r="D128" s="4"/>
    </row>
  </sheetData>
  <mergeCells count="1">
    <mergeCell ref="D3:T3"/>
  </mergeCells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A4A3-FC50-4138-AD92-CCE8D8F1D7BD}">
  <sheetPr codeName="Hoja8"/>
  <dimension ref="B2:U125"/>
  <sheetViews>
    <sheetView workbookViewId="0">
      <selection sqref="A1:IV65536"/>
    </sheetView>
  </sheetViews>
  <sheetFormatPr baseColWidth="10" defaultColWidth="11.44140625" defaultRowHeight="13.2" outlineLevelRow="1" x14ac:dyDescent="0.25"/>
  <cols>
    <col min="1" max="1" width="1.77734375" style="50" customWidth="1"/>
    <col min="2" max="2" width="35.77734375" style="50" customWidth="1"/>
    <col min="3" max="21" width="11.77734375" style="50" customWidth="1"/>
    <col min="22" max="16384" width="11.44140625" style="50"/>
  </cols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370</v>
      </c>
      <c r="C3" s="54">
        <v>-1171040.57</v>
      </c>
      <c r="D3" s="54">
        <v>-955778.87</v>
      </c>
      <c r="E3" s="54">
        <v>-1222513.05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4">
        <v>-3349332.49</v>
      </c>
      <c r="P3" s="54">
        <v>-3148785</v>
      </c>
      <c r="Q3" s="54">
        <v>200547.49</v>
      </c>
      <c r="R3" s="54">
        <v>-11025680</v>
      </c>
      <c r="S3" s="54">
        <v>-6.3689999999999998</v>
      </c>
      <c r="T3" s="54">
        <v>-1049595</v>
      </c>
      <c r="U3" s="55">
        <v>0</v>
      </c>
    </row>
    <row r="4" spans="2:21" outlineLevel="1" x14ac:dyDescent="0.25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-2428785</v>
      </c>
      <c r="Q4" s="58">
        <v>-2428785</v>
      </c>
      <c r="R4" s="58">
        <v>-8635680</v>
      </c>
      <c r="S4" s="58">
        <v>100</v>
      </c>
      <c r="T4" s="58">
        <v>-809595</v>
      </c>
      <c r="U4" s="57">
        <v>0</v>
      </c>
    </row>
    <row r="5" spans="2:21" outlineLevel="1" x14ac:dyDescent="0.25">
      <c r="B5" s="56" t="s">
        <v>470</v>
      </c>
      <c r="C5" s="58">
        <v>-844069.75</v>
      </c>
      <c r="D5" s="58">
        <v>-808897.03</v>
      </c>
      <c r="E5" s="58">
        <v>-859884.72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8">
        <v>-2512851.5</v>
      </c>
      <c r="P5" s="57">
        <v>0</v>
      </c>
      <c r="Q5" s="58">
        <v>2512851.5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371</v>
      </c>
      <c r="C6" s="54">
        <v>-844069.75</v>
      </c>
      <c r="D6" s="54">
        <v>-808897.03</v>
      </c>
      <c r="E6" s="54">
        <v>-859884.72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4">
        <v>-2512851.5</v>
      </c>
      <c r="P6" s="54">
        <v>-2428785</v>
      </c>
      <c r="Q6" s="54">
        <v>84066.5</v>
      </c>
      <c r="R6" s="54">
        <v>-8635680</v>
      </c>
      <c r="S6" s="54">
        <v>-3.4613</v>
      </c>
      <c r="T6" s="54">
        <v>-809595</v>
      </c>
      <c r="U6" s="55">
        <v>0</v>
      </c>
    </row>
    <row r="7" spans="2:21" outlineLevel="1" x14ac:dyDescent="0.25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-540000</v>
      </c>
      <c r="Q7" s="58">
        <v>-540000</v>
      </c>
      <c r="R7" s="58">
        <v>-1750000</v>
      </c>
      <c r="S7" s="58">
        <v>100</v>
      </c>
      <c r="T7" s="58">
        <v>-180000</v>
      </c>
      <c r="U7" s="57">
        <v>0</v>
      </c>
    </row>
    <row r="8" spans="2:21" outlineLevel="1" x14ac:dyDescent="0.25">
      <c r="B8" s="56" t="s">
        <v>471</v>
      </c>
      <c r="C8" s="58">
        <v>240599.03</v>
      </c>
      <c r="D8" s="58">
        <v>13999.95</v>
      </c>
      <c r="E8" s="58">
        <v>-204215.85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8">
        <v>50383.13</v>
      </c>
      <c r="P8" s="57">
        <v>0</v>
      </c>
      <c r="Q8" s="58">
        <v>-50383.13</v>
      </c>
      <c r="R8" s="57">
        <v>0</v>
      </c>
      <c r="S8" s="57">
        <v>0</v>
      </c>
      <c r="T8" s="57">
        <v>0</v>
      </c>
      <c r="U8" s="57">
        <v>0</v>
      </c>
    </row>
    <row r="9" spans="2:21" outlineLevel="1" x14ac:dyDescent="0.25">
      <c r="B9" s="56" t="s">
        <v>373</v>
      </c>
      <c r="C9" s="58">
        <v>-513722.95</v>
      </c>
      <c r="D9" s="58">
        <v>-99124.6</v>
      </c>
      <c r="E9" s="58">
        <v>-132109.70000000001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8">
        <v>-744957.25</v>
      </c>
      <c r="P9" s="57">
        <v>0</v>
      </c>
      <c r="Q9" s="58">
        <v>744957.25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374</v>
      </c>
      <c r="C10" s="54">
        <v>-273123.92</v>
      </c>
      <c r="D10" s="54">
        <v>-85124.65</v>
      </c>
      <c r="E10" s="54">
        <v>-336325.55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4">
        <v>-694574.12</v>
      </c>
      <c r="P10" s="54">
        <v>-540000</v>
      </c>
      <c r="Q10" s="54">
        <v>154574.12</v>
      </c>
      <c r="R10" s="54">
        <v>-1750000</v>
      </c>
      <c r="S10" s="54">
        <v>-28.6248</v>
      </c>
      <c r="T10" s="54">
        <v>-180000</v>
      </c>
      <c r="U10" s="55">
        <v>0</v>
      </c>
    </row>
    <row r="11" spans="2:21" outlineLevel="1" x14ac:dyDescent="0.25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-180000</v>
      </c>
      <c r="Q11" s="58">
        <v>-180000</v>
      </c>
      <c r="R11" s="58">
        <v>-640000</v>
      </c>
      <c r="S11" s="58">
        <v>100</v>
      </c>
      <c r="T11" s="58">
        <v>-60000</v>
      </c>
      <c r="U11" s="57">
        <v>0</v>
      </c>
    </row>
    <row r="12" spans="2:21" outlineLevel="1" x14ac:dyDescent="0.25">
      <c r="B12" s="56" t="s">
        <v>473</v>
      </c>
      <c r="C12" s="58">
        <v>20000</v>
      </c>
      <c r="D12" s="58">
        <v>-6000</v>
      </c>
      <c r="E12" s="58">
        <v>26000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8">
        <v>40000</v>
      </c>
      <c r="P12" s="57">
        <v>0</v>
      </c>
      <c r="Q12" s="58">
        <v>-40000</v>
      </c>
      <c r="R12" s="57">
        <v>0</v>
      </c>
      <c r="S12" s="57">
        <v>0</v>
      </c>
      <c r="T12" s="57">
        <v>0</v>
      </c>
      <c r="U12" s="57">
        <v>0</v>
      </c>
    </row>
    <row r="13" spans="2:21" outlineLevel="1" x14ac:dyDescent="0.25">
      <c r="B13" s="56" t="s">
        <v>474</v>
      </c>
      <c r="C13" s="58">
        <v>-73846.899999999994</v>
      </c>
      <c r="D13" s="58">
        <v>-55757.19</v>
      </c>
      <c r="E13" s="58">
        <v>-52302.78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8">
        <v>-181906.87</v>
      </c>
      <c r="P13" s="57">
        <v>0</v>
      </c>
      <c r="Q13" s="58">
        <v>181906.87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5">
      <c r="B14" s="53" t="s">
        <v>375</v>
      </c>
      <c r="C14" s="54">
        <v>-53846.9</v>
      </c>
      <c r="D14" s="54">
        <v>-61757.19</v>
      </c>
      <c r="E14" s="54">
        <v>-26302.78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4">
        <v>-141906.87</v>
      </c>
      <c r="P14" s="54">
        <v>-180000</v>
      </c>
      <c r="Q14" s="54">
        <v>-38093.129999999997</v>
      </c>
      <c r="R14" s="54">
        <v>-640000</v>
      </c>
      <c r="S14" s="54">
        <v>21.162800000000001</v>
      </c>
      <c r="T14" s="54">
        <v>-60000</v>
      </c>
      <c r="U14" s="55">
        <v>0</v>
      </c>
    </row>
    <row r="15" spans="2:21" x14ac:dyDescent="0.25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377</v>
      </c>
      <c r="C16" s="54">
        <v>380007.34</v>
      </c>
      <c r="D16" s="54">
        <v>445325.4</v>
      </c>
      <c r="E16" s="54">
        <v>133696.13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959028.87</v>
      </c>
      <c r="P16" s="54">
        <v>1081286.9099999999</v>
      </c>
      <c r="Q16" s="54">
        <v>122258.04</v>
      </c>
      <c r="R16" s="54">
        <v>3912743.4</v>
      </c>
      <c r="S16" s="54">
        <v>11.306699999999999</v>
      </c>
      <c r="T16" s="54">
        <v>360428.97</v>
      </c>
      <c r="U16" s="55">
        <v>0</v>
      </c>
    </row>
    <row r="17" spans="2:21" outlineLevel="1" x14ac:dyDescent="0.25">
      <c r="B17" s="56" t="s">
        <v>378</v>
      </c>
      <c r="C17" s="58">
        <v>119578.39</v>
      </c>
      <c r="D17" s="58">
        <v>127935.08</v>
      </c>
      <c r="E17" s="58">
        <v>77787.759999999995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325301.23</v>
      </c>
      <c r="P17" s="58">
        <v>478286.91</v>
      </c>
      <c r="Q17" s="58">
        <v>152985.68</v>
      </c>
      <c r="R17" s="58">
        <v>1768743.4</v>
      </c>
      <c r="S17" s="58">
        <v>31.9862</v>
      </c>
      <c r="T17" s="58">
        <v>159428.97</v>
      </c>
      <c r="U17" s="57">
        <v>0</v>
      </c>
    </row>
    <row r="18" spans="2:21" x14ac:dyDescent="0.25">
      <c r="B18" s="53" t="s">
        <v>379</v>
      </c>
      <c r="C18" s="54">
        <v>119578.39</v>
      </c>
      <c r="D18" s="54">
        <v>127935.08</v>
      </c>
      <c r="E18" s="54">
        <v>77787.759999999995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4">
        <v>325301.23</v>
      </c>
      <c r="P18" s="54">
        <v>478286.91</v>
      </c>
      <c r="Q18" s="54">
        <v>152985.68</v>
      </c>
      <c r="R18" s="54">
        <v>1768743.4</v>
      </c>
      <c r="S18" s="54">
        <v>31.9862</v>
      </c>
      <c r="T18" s="54">
        <v>159428.97</v>
      </c>
      <c r="U18" s="55">
        <v>0</v>
      </c>
    </row>
    <row r="19" spans="2:21" outlineLevel="1" x14ac:dyDescent="0.25">
      <c r="B19" s="56" t="s">
        <v>476</v>
      </c>
      <c r="C19" s="58">
        <v>201439.3</v>
      </c>
      <c r="D19" s="58">
        <v>322318.71000000002</v>
      </c>
      <c r="E19" s="58">
        <v>46542.59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570300.6</v>
      </c>
      <c r="P19" s="57">
        <v>0</v>
      </c>
      <c r="Q19" s="58">
        <v>-570300.6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5">
      <c r="B20" s="56" t="s">
        <v>380</v>
      </c>
      <c r="C20" s="58">
        <v>58989.65</v>
      </c>
      <c r="D20" s="58">
        <v>-4928.3900000000003</v>
      </c>
      <c r="E20" s="58">
        <v>5915.79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59977.05</v>
      </c>
      <c r="P20" s="58">
        <v>603000</v>
      </c>
      <c r="Q20" s="58">
        <v>543022.94999999995</v>
      </c>
      <c r="R20" s="58">
        <v>2144000</v>
      </c>
      <c r="S20" s="58">
        <v>90.053600000000003</v>
      </c>
      <c r="T20" s="58">
        <v>201000</v>
      </c>
      <c r="U20" s="57">
        <v>0</v>
      </c>
    </row>
    <row r="21" spans="2:21" x14ac:dyDescent="0.25">
      <c r="B21" s="53" t="s">
        <v>381</v>
      </c>
      <c r="C21" s="54">
        <v>260428.95</v>
      </c>
      <c r="D21" s="54">
        <v>317390.32</v>
      </c>
      <c r="E21" s="54">
        <v>52458.38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630277.65</v>
      </c>
      <c r="P21" s="54">
        <v>603000</v>
      </c>
      <c r="Q21" s="54">
        <v>-27277.65</v>
      </c>
      <c r="R21" s="54">
        <v>2144000</v>
      </c>
      <c r="S21" s="54">
        <v>-4.5236999999999998</v>
      </c>
      <c r="T21" s="54">
        <v>201000</v>
      </c>
      <c r="U21" s="55">
        <v>0</v>
      </c>
    </row>
    <row r="22" spans="2:21" outlineLevel="1" x14ac:dyDescent="0.25">
      <c r="B22" s="56" t="s">
        <v>477</v>
      </c>
      <c r="C22" s="57">
        <v>0</v>
      </c>
      <c r="D22" s="57">
        <v>0</v>
      </c>
      <c r="E22" s="58">
        <v>3449.99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8">
        <v>3449.99</v>
      </c>
      <c r="P22" s="57">
        <v>0</v>
      </c>
      <c r="Q22" s="58">
        <v>-3449.99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5">
      <c r="B23" s="53" t="s">
        <v>478</v>
      </c>
      <c r="C23" s="55">
        <v>0</v>
      </c>
      <c r="D23" s="55">
        <v>0</v>
      </c>
      <c r="E23" s="54">
        <v>3449.99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3449.99</v>
      </c>
      <c r="P23" s="55">
        <v>0</v>
      </c>
      <c r="Q23" s="54">
        <v>-3449.99</v>
      </c>
      <c r="R23" s="55">
        <v>0</v>
      </c>
      <c r="S23" s="55">
        <v>0</v>
      </c>
      <c r="T23" s="55">
        <v>0</v>
      </c>
      <c r="U23" s="55">
        <v>0</v>
      </c>
    </row>
    <row r="24" spans="2:21" outlineLevel="1" x14ac:dyDescent="0.25">
      <c r="B24" s="53" t="s">
        <v>384</v>
      </c>
      <c r="C24" s="54">
        <v>-791033.23</v>
      </c>
      <c r="D24" s="54">
        <v>-510453.47</v>
      </c>
      <c r="E24" s="54">
        <v>-1088816.92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4">
        <v>-2390303.62</v>
      </c>
      <c r="P24" s="54">
        <v>-2067498.09</v>
      </c>
      <c r="Q24" s="54">
        <v>322805.53000000003</v>
      </c>
      <c r="R24" s="54">
        <v>-7112936.5999999996</v>
      </c>
      <c r="S24" s="54">
        <v>-15.613300000000001</v>
      </c>
      <c r="T24" s="54">
        <v>-689166.03</v>
      </c>
      <c r="U24" s="55">
        <v>0</v>
      </c>
    </row>
    <row r="25" spans="2:21" x14ac:dyDescent="0.25">
      <c r="B25" s="53" t="s">
        <v>385</v>
      </c>
      <c r="C25" s="54">
        <v>-791033.23</v>
      </c>
      <c r="D25" s="54">
        <v>-510453.47</v>
      </c>
      <c r="E25" s="54">
        <v>-1088816.92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4">
        <v>-2390303.62</v>
      </c>
      <c r="P25" s="54">
        <v>-2067498.09</v>
      </c>
      <c r="Q25" s="54">
        <v>322805.53000000003</v>
      </c>
      <c r="R25" s="54">
        <v>-7112936.5999999996</v>
      </c>
      <c r="S25" s="54">
        <v>-15.613300000000001</v>
      </c>
      <c r="T25" s="54">
        <v>-689166.03</v>
      </c>
      <c r="U25" s="55">
        <v>0</v>
      </c>
    </row>
    <row r="26" spans="2:21" x14ac:dyDescent="0.25">
      <c r="B26" s="53" t="s">
        <v>386</v>
      </c>
      <c r="C26" s="54">
        <v>167083.49</v>
      </c>
      <c r="D26" s="54">
        <v>199245.36</v>
      </c>
      <c r="E26" s="54">
        <v>168976.35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4">
        <v>535305.19999999995</v>
      </c>
      <c r="P26" s="54">
        <v>561599.39</v>
      </c>
      <c r="Q26" s="54">
        <v>26294.19</v>
      </c>
      <c r="R26" s="54">
        <v>2172021.48</v>
      </c>
      <c r="S26" s="54">
        <v>4.6820000000000004</v>
      </c>
      <c r="T26" s="54">
        <v>171485.59</v>
      </c>
      <c r="U26" s="55">
        <v>0</v>
      </c>
    </row>
    <row r="27" spans="2:21" outlineLevel="1" x14ac:dyDescent="0.25">
      <c r="B27" s="56" t="s">
        <v>387</v>
      </c>
      <c r="C27" s="58">
        <v>28001.89</v>
      </c>
      <c r="D27" s="58">
        <v>33135.33</v>
      </c>
      <c r="E27" s="58">
        <v>19407.990000000002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8">
        <v>80545.210000000006</v>
      </c>
      <c r="P27" s="57">
        <v>0</v>
      </c>
      <c r="Q27" s="58">
        <v>-80545.210000000006</v>
      </c>
      <c r="R27" s="57">
        <v>0</v>
      </c>
      <c r="S27" s="57">
        <v>0</v>
      </c>
      <c r="T27" s="57">
        <v>0</v>
      </c>
      <c r="U27" s="57">
        <v>0</v>
      </c>
    </row>
    <row r="28" spans="2:21" outlineLevel="1" x14ac:dyDescent="0.25">
      <c r="B28" s="56" t="s">
        <v>388</v>
      </c>
      <c r="C28" s="58">
        <v>70421.55</v>
      </c>
      <c r="D28" s="58">
        <v>104507.21</v>
      </c>
      <c r="E28" s="58">
        <v>66893.66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8">
        <v>241822.42</v>
      </c>
      <c r="P28" s="58">
        <v>332669.48</v>
      </c>
      <c r="Q28" s="58">
        <v>90847.06</v>
      </c>
      <c r="R28" s="58">
        <v>1205715.67</v>
      </c>
      <c r="S28" s="58">
        <v>27.308499999999999</v>
      </c>
      <c r="T28" s="58">
        <v>95175.62</v>
      </c>
      <c r="U28" s="57">
        <v>0</v>
      </c>
    </row>
    <row r="29" spans="2:21" outlineLevel="1" x14ac:dyDescent="0.25">
      <c r="B29" s="56" t="s">
        <v>389</v>
      </c>
      <c r="C29" s="58">
        <v>8013.41</v>
      </c>
      <c r="D29" s="58">
        <v>8358.52</v>
      </c>
      <c r="E29" s="58">
        <v>8126.24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24498.17</v>
      </c>
      <c r="P29" s="57">
        <v>0</v>
      </c>
      <c r="Q29" s="58">
        <v>-24498.17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5">
      <c r="B30" s="53" t="s">
        <v>390</v>
      </c>
      <c r="C30" s="54">
        <v>106436.85</v>
      </c>
      <c r="D30" s="54">
        <v>146001.06</v>
      </c>
      <c r="E30" s="54">
        <v>94427.89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346865.8</v>
      </c>
      <c r="P30" s="54">
        <v>332669.48</v>
      </c>
      <c r="Q30" s="54">
        <v>-14196.32</v>
      </c>
      <c r="R30" s="54">
        <v>1205715.67</v>
      </c>
      <c r="S30" s="54">
        <v>-4.2674000000000003</v>
      </c>
      <c r="T30" s="54">
        <v>95175.62</v>
      </c>
      <c r="U30" s="55">
        <v>0</v>
      </c>
    </row>
    <row r="31" spans="2:21" outlineLevel="1" x14ac:dyDescent="0.25">
      <c r="B31" s="56" t="s">
        <v>391</v>
      </c>
      <c r="C31" s="58">
        <v>5946.48</v>
      </c>
      <c r="D31" s="58">
        <v>5197.26</v>
      </c>
      <c r="E31" s="58">
        <v>8114.44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19258.18</v>
      </c>
      <c r="P31" s="58">
        <v>24042.75</v>
      </c>
      <c r="Q31" s="58">
        <v>4784.57</v>
      </c>
      <c r="R31" s="58">
        <v>97697.77</v>
      </c>
      <c r="S31" s="58">
        <v>19.900300000000001</v>
      </c>
      <c r="T31" s="58">
        <v>8014.25</v>
      </c>
      <c r="U31" s="57">
        <v>0</v>
      </c>
    </row>
    <row r="32" spans="2:21" x14ac:dyDescent="0.25">
      <c r="B32" s="53" t="s">
        <v>392</v>
      </c>
      <c r="C32" s="54">
        <v>5946.48</v>
      </c>
      <c r="D32" s="54">
        <v>5197.26</v>
      </c>
      <c r="E32" s="54">
        <v>8114.44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4">
        <v>19258.18</v>
      </c>
      <c r="P32" s="54">
        <v>24042.75</v>
      </c>
      <c r="Q32" s="54">
        <v>4784.57</v>
      </c>
      <c r="R32" s="54">
        <v>97697.77</v>
      </c>
      <c r="S32" s="54">
        <v>19.900300000000001</v>
      </c>
      <c r="T32" s="54">
        <v>8014.25</v>
      </c>
      <c r="U32" s="55">
        <v>0</v>
      </c>
    </row>
    <row r="33" spans="2:21" outlineLevel="1" x14ac:dyDescent="0.25">
      <c r="B33" s="56" t="s">
        <v>481</v>
      </c>
      <c r="C33" s="57">
        <v>0</v>
      </c>
      <c r="D33" s="58">
        <v>538.07000000000005</v>
      </c>
      <c r="E33" s="58">
        <v>2854.08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8">
        <v>3392.15</v>
      </c>
      <c r="P33" s="58">
        <v>49499.76</v>
      </c>
      <c r="Q33" s="58">
        <v>46107.61</v>
      </c>
      <c r="R33" s="58">
        <v>243953.31</v>
      </c>
      <c r="S33" s="58">
        <v>93.147099999999995</v>
      </c>
      <c r="T33" s="58">
        <v>16499.919999999998</v>
      </c>
      <c r="U33" s="57">
        <v>0</v>
      </c>
    </row>
    <row r="34" spans="2:21" outlineLevel="1" x14ac:dyDescent="0.25">
      <c r="B34" s="56" t="s">
        <v>482</v>
      </c>
      <c r="C34" s="58">
        <v>9437.85</v>
      </c>
      <c r="D34" s="58">
        <v>10269.209999999999</v>
      </c>
      <c r="E34" s="58">
        <v>15393.73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35100.79</v>
      </c>
      <c r="P34" s="57">
        <v>0</v>
      </c>
      <c r="Q34" s="58">
        <v>-35100.79</v>
      </c>
      <c r="R34" s="57">
        <v>0</v>
      </c>
      <c r="S34" s="57">
        <v>0</v>
      </c>
      <c r="T34" s="57">
        <v>0</v>
      </c>
      <c r="U34" s="57">
        <v>0</v>
      </c>
    </row>
    <row r="35" spans="2:21" x14ac:dyDescent="0.25">
      <c r="B35" s="53" t="s">
        <v>393</v>
      </c>
      <c r="C35" s="54">
        <v>9437.85</v>
      </c>
      <c r="D35" s="54">
        <v>10807.28</v>
      </c>
      <c r="E35" s="54">
        <v>18247.810000000001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4">
        <v>38492.94</v>
      </c>
      <c r="P35" s="54">
        <v>49499.76</v>
      </c>
      <c r="Q35" s="54">
        <v>11006.82</v>
      </c>
      <c r="R35" s="54">
        <v>243953.31</v>
      </c>
      <c r="S35" s="54">
        <v>22.2361</v>
      </c>
      <c r="T35" s="54">
        <v>16499.919999999998</v>
      </c>
      <c r="U35" s="55">
        <v>0</v>
      </c>
    </row>
    <row r="36" spans="2:21" outlineLevel="1" x14ac:dyDescent="0.25">
      <c r="B36" s="56" t="s">
        <v>394</v>
      </c>
      <c r="C36" s="58">
        <v>10898.35</v>
      </c>
      <c r="D36" s="58">
        <v>7528.37</v>
      </c>
      <c r="E36" s="58">
        <v>11263.49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8">
        <v>29690.21</v>
      </c>
      <c r="P36" s="58">
        <v>27499.86</v>
      </c>
      <c r="Q36" s="58">
        <v>-2190.35</v>
      </c>
      <c r="R36" s="58">
        <v>111745.8</v>
      </c>
      <c r="S36" s="58">
        <v>-7.9649000000000001</v>
      </c>
      <c r="T36" s="58">
        <v>9166.6200000000008</v>
      </c>
      <c r="U36" s="57">
        <v>0</v>
      </c>
    </row>
    <row r="37" spans="2:21" x14ac:dyDescent="0.25">
      <c r="B37" s="53" t="s">
        <v>395</v>
      </c>
      <c r="C37" s="54">
        <v>10898.35</v>
      </c>
      <c r="D37" s="54">
        <v>7528.37</v>
      </c>
      <c r="E37" s="54">
        <v>11263.49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29690.21</v>
      </c>
      <c r="P37" s="54">
        <v>27499.86</v>
      </c>
      <c r="Q37" s="54">
        <v>-2190.35</v>
      </c>
      <c r="R37" s="54">
        <v>111745.8</v>
      </c>
      <c r="S37" s="54">
        <v>-7.9649000000000001</v>
      </c>
      <c r="T37" s="54">
        <v>9166.6200000000008</v>
      </c>
      <c r="U37" s="55">
        <v>0</v>
      </c>
    </row>
    <row r="38" spans="2:21" outlineLevel="1" x14ac:dyDescent="0.25">
      <c r="B38" s="56" t="s">
        <v>396</v>
      </c>
      <c r="C38" s="58">
        <v>5844.39</v>
      </c>
      <c r="D38" s="58">
        <v>8418.4599999999991</v>
      </c>
      <c r="E38" s="58">
        <v>5903.92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20166.77</v>
      </c>
      <c r="P38" s="58">
        <v>21395.67</v>
      </c>
      <c r="Q38" s="58">
        <v>1228.9000000000001</v>
      </c>
      <c r="R38" s="58">
        <v>86941.45</v>
      </c>
      <c r="S38" s="58">
        <v>5.7436999999999996</v>
      </c>
      <c r="T38" s="58">
        <v>7131.89</v>
      </c>
      <c r="U38" s="57">
        <v>0</v>
      </c>
    </row>
    <row r="39" spans="2:21" x14ac:dyDescent="0.25">
      <c r="B39" s="53" t="s">
        <v>397</v>
      </c>
      <c r="C39" s="54">
        <v>5844.39</v>
      </c>
      <c r="D39" s="54">
        <v>8418.4599999999991</v>
      </c>
      <c r="E39" s="54">
        <v>5903.92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4">
        <v>20166.77</v>
      </c>
      <c r="P39" s="54">
        <v>21395.67</v>
      </c>
      <c r="Q39" s="54">
        <v>1228.9000000000001</v>
      </c>
      <c r="R39" s="54">
        <v>86941.45</v>
      </c>
      <c r="S39" s="54">
        <v>5.7436999999999996</v>
      </c>
      <c r="T39" s="54">
        <v>7131.89</v>
      </c>
      <c r="U39" s="55">
        <v>0</v>
      </c>
    </row>
    <row r="40" spans="2:21" outlineLevel="1" x14ac:dyDescent="0.25">
      <c r="B40" s="56" t="s">
        <v>483</v>
      </c>
      <c r="C40" s="58">
        <v>1053.94</v>
      </c>
      <c r="D40" s="58">
        <v>1871.04</v>
      </c>
      <c r="E40" s="58">
        <v>115.64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8">
        <v>3040.62</v>
      </c>
      <c r="P40" s="58">
        <v>10800</v>
      </c>
      <c r="Q40" s="58">
        <v>7759.38</v>
      </c>
      <c r="R40" s="58">
        <v>43200</v>
      </c>
      <c r="S40" s="58">
        <v>71.846100000000007</v>
      </c>
      <c r="T40" s="58">
        <v>3600</v>
      </c>
      <c r="U40" s="57">
        <v>0</v>
      </c>
    </row>
    <row r="41" spans="2:21" outlineLevel="1" x14ac:dyDescent="0.25">
      <c r="B41" s="56" t="s">
        <v>398</v>
      </c>
      <c r="C41" s="58">
        <v>2886.35</v>
      </c>
      <c r="D41" s="58">
        <v>2885.08</v>
      </c>
      <c r="E41" s="58">
        <v>2810.59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8582.02</v>
      </c>
      <c r="P41" s="57">
        <v>0</v>
      </c>
      <c r="Q41" s="58">
        <v>-8582.02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5">
      <c r="B42" s="53" t="s">
        <v>399</v>
      </c>
      <c r="C42" s="54">
        <v>3940.29</v>
      </c>
      <c r="D42" s="54">
        <v>4756.12</v>
      </c>
      <c r="E42" s="54">
        <v>2926.23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4">
        <v>11622.64</v>
      </c>
      <c r="P42" s="54">
        <v>10800</v>
      </c>
      <c r="Q42" s="54">
        <v>-822.64</v>
      </c>
      <c r="R42" s="54">
        <v>43200</v>
      </c>
      <c r="S42" s="54">
        <v>-7.617</v>
      </c>
      <c r="T42" s="54">
        <v>3600</v>
      </c>
      <c r="U42" s="55">
        <v>0</v>
      </c>
    </row>
    <row r="43" spans="2:21" outlineLevel="1" x14ac:dyDescent="0.25">
      <c r="B43" s="56" t="s">
        <v>400</v>
      </c>
      <c r="C43" s="58">
        <v>5435.43</v>
      </c>
      <c r="D43" s="58">
        <v>8.6999999999999993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8">
        <v>5444.13</v>
      </c>
      <c r="P43" s="58">
        <v>2550</v>
      </c>
      <c r="Q43" s="58">
        <v>-2894.13</v>
      </c>
      <c r="R43" s="58">
        <v>10200</v>
      </c>
      <c r="S43" s="58">
        <v>-113.4953</v>
      </c>
      <c r="T43" s="58">
        <v>850</v>
      </c>
      <c r="U43" s="57">
        <v>0</v>
      </c>
    </row>
    <row r="44" spans="2:21" x14ac:dyDescent="0.25">
      <c r="B44" s="53" t="s">
        <v>401</v>
      </c>
      <c r="C44" s="54">
        <v>5435.43</v>
      </c>
      <c r="D44" s="54">
        <v>8.6999999999999993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4">
        <v>5444.13</v>
      </c>
      <c r="P44" s="54">
        <v>2550</v>
      </c>
      <c r="Q44" s="54">
        <v>-2894.13</v>
      </c>
      <c r="R44" s="54">
        <v>10200</v>
      </c>
      <c r="S44" s="54">
        <v>-113.4953</v>
      </c>
      <c r="T44" s="54">
        <v>850</v>
      </c>
      <c r="U44" s="55">
        <v>0</v>
      </c>
    </row>
    <row r="45" spans="2:21" outlineLevel="1" x14ac:dyDescent="0.25">
      <c r="B45" s="56" t="s">
        <v>402</v>
      </c>
      <c r="C45" s="58">
        <v>28.93</v>
      </c>
      <c r="D45" s="58">
        <v>40.14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8">
        <v>69.069999999999993</v>
      </c>
      <c r="P45" s="58">
        <v>2400</v>
      </c>
      <c r="Q45" s="58">
        <v>2330.9299999999998</v>
      </c>
      <c r="R45" s="58">
        <v>9600</v>
      </c>
      <c r="S45" s="58">
        <v>97.122100000000003</v>
      </c>
      <c r="T45" s="58">
        <v>800</v>
      </c>
      <c r="U45" s="57">
        <v>0</v>
      </c>
    </row>
    <row r="46" spans="2:21" x14ac:dyDescent="0.25">
      <c r="B46" s="53" t="s">
        <v>403</v>
      </c>
      <c r="C46" s="54">
        <v>28.93</v>
      </c>
      <c r="D46" s="54">
        <v>40.14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v>0</v>
      </c>
      <c r="N46" s="55">
        <v>0</v>
      </c>
      <c r="O46" s="54">
        <v>69.069999999999993</v>
      </c>
      <c r="P46" s="54">
        <v>2400</v>
      </c>
      <c r="Q46" s="54">
        <v>2330.9299999999998</v>
      </c>
      <c r="R46" s="54">
        <v>9600</v>
      </c>
      <c r="S46" s="54">
        <v>97.122100000000003</v>
      </c>
      <c r="T46" s="54">
        <v>800</v>
      </c>
      <c r="U46" s="55">
        <v>0</v>
      </c>
    </row>
    <row r="47" spans="2:21" outlineLevel="1" x14ac:dyDescent="0.25">
      <c r="B47" s="56" t="s">
        <v>485</v>
      </c>
      <c r="C47" s="58">
        <v>6965.21</v>
      </c>
      <c r="D47" s="58">
        <v>2353.39</v>
      </c>
      <c r="E47" s="58">
        <v>5105.09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14423.69</v>
      </c>
      <c r="P47" s="58">
        <v>21600</v>
      </c>
      <c r="Q47" s="58">
        <v>7176.31</v>
      </c>
      <c r="R47" s="58">
        <v>86400</v>
      </c>
      <c r="S47" s="58">
        <v>33.223700000000001</v>
      </c>
      <c r="T47" s="58">
        <v>7200</v>
      </c>
      <c r="U47" s="57">
        <v>0</v>
      </c>
    </row>
    <row r="48" spans="2:21" outlineLevel="1" x14ac:dyDescent="0.25">
      <c r="B48" s="56" t="s">
        <v>486</v>
      </c>
      <c r="C48" s="58">
        <v>-501.19</v>
      </c>
      <c r="D48" s="58">
        <v>2136.92</v>
      </c>
      <c r="E48" s="58">
        <v>3381.12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5016.8500000000004</v>
      </c>
      <c r="P48" s="57">
        <v>0</v>
      </c>
      <c r="Q48" s="58">
        <v>-5016.8500000000004</v>
      </c>
      <c r="R48" s="57">
        <v>0</v>
      </c>
      <c r="S48" s="57">
        <v>0</v>
      </c>
      <c r="T48" s="57">
        <v>0</v>
      </c>
      <c r="U48" s="57">
        <v>0</v>
      </c>
    </row>
    <row r="49" spans="2:21" outlineLevel="1" x14ac:dyDescent="0.25">
      <c r="B49" s="56" t="s">
        <v>487</v>
      </c>
      <c r="C49" s="58">
        <v>516.63</v>
      </c>
      <c r="D49" s="58">
        <v>-1.52</v>
      </c>
      <c r="E49" s="58">
        <v>201.17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8">
        <v>716.28</v>
      </c>
      <c r="P49" s="57">
        <v>0</v>
      </c>
      <c r="Q49" s="58">
        <v>-716.28</v>
      </c>
      <c r="R49" s="57">
        <v>0</v>
      </c>
      <c r="S49" s="57">
        <v>0</v>
      </c>
      <c r="T49" s="57">
        <v>0</v>
      </c>
      <c r="U49" s="57">
        <v>0</v>
      </c>
    </row>
    <row r="50" spans="2:21" outlineLevel="1" x14ac:dyDescent="0.25">
      <c r="B50" s="56" t="s">
        <v>488</v>
      </c>
      <c r="C50" s="57">
        <v>0</v>
      </c>
      <c r="D50" s="58">
        <v>-4.07</v>
      </c>
      <c r="E50" s="58">
        <v>-250.38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-254.45</v>
      </c>
      <c r="P50" s="57">
        <v>0</v>
      </c>
      <c r="Q50" s="58">
        <v>254.45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5">
      <c r="B51" s="53" t="s">
        <v>404</v>
      </c>
      <c r="C51" s="54">
        <v>6980.65</v>
      </c>
      <c r="D51" s="54">
        <v>4484.72</v>
      </c>
      <c r="E51" s="54">
        <v>8437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4">
        <v>19902.37</v>
      </c>
      <c r="P51" s="54">
        <v>21600</v>
      </c>
      <c r="Q51" s="54">
        <v>1697.63</v>
      </c>
      <c r="R51" s="54">
        <v>86400</v>
      </c>
      <c r="S51" s="54">
        <v>7.8593999999999999</v>
      </c>
      <c r="T51" s="54">
        <v>7200</v>
      </c>
      <c r="U51" s="55">
        <v>0</v>
      </c>
    </row>
    <row r="52" spans="2:21" outlineLevel="1" x14ac:dyDescent="0.25">
      <c r="B52" s="56" t="s">
        <v>489</v>
      </c>
      <c r="C52" s="58">
        <v>165.7</v>
      </c>
      <c r="D52" s="58">
        <v>285.60000000000002</v>
      </c>
      <c r="E52" s="58">
        <v>-3.33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447.97</v>
      </c>
      <c r="P52" s="58">
        <v>4200</v>
      </c>
      <c r="Q52" s="58">
        <v>3752.03</v>
      </c>
      <c r="R52" s="58">
        <v>16800</v>
      </c>
      <c r="S52" s="58">
        <v>89.334000000000003</v>
      </c>
      <c r="T52" s="58">
        <v>1400</v>
      </c>
      <c r="U52" s="57">
        <v>0</v>
      </c>
    </row>
    <row r="53" spans="2:21" outlineLevel="1" x14ac:dyDescent="0.25">
      <c r="B53" s="56" t="s">
        <v>491</v>
      </c>
      <c r="C53" s="58">
        <v>284.48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8">
        <v>284.48</v>
      </c>
      <c r="P53" s="57">
        <v>0</v>
      </c>
      <c r="Q53" s="58">
        <v>-284.48</v>
      </c>
      <c r="R53" s="57">
        <v>0</v>
      </c>
      <c r="S53" s="57">
        <v>0</v>
      </c>
      <c r="T53" s="57">
        <v>0</v>
      </c>
      <c r="U53" s="57">
        <v>0</v>
      </c>
    </row>
    <row r="54" spans="2:21" outlineLevel="1" x14ac:dyDescent="0.25">
      <c r="B54" s="56" t="s">
        <v>492</v>
      </c>
      <c r="C54" s="58">
        <v>11703.36</v>
      </c>
      <c r="D54" s="58">
        <v>11703.36</v>
      </c>
      <c r="E54" s="58">
        <v>11703.36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35110.080000000002</v>
      </c>
      <c r="P54" s="58">
        <v>35110.080000000002</v>
      </c>
      <c r="Q54" s="57">
        <v>0</v>
      </c>
      <c r="R54" s="58">
        <v>140440.32000000001</v>
      </c>
      <c r="S54" s="57">
        <v>0</v>
      </c>
      <c r="T54" s="58">
        <v>11703.36</v>
      </c>
      <c r="U54" s="57">
        <v>0</v>
      </c>
    </row>
    <row r="55" spans="2:21" x14ac:dyDescent="0.25">
      <c r="B55" s="53" t="s">
        <v>405</v>
      </c>
      <c r="C55" s="54">
        <v>12153.54</v>
      </c>
      <c r="D55" s="54">
        <v>11988.96</v>
      </c>
      <c r="E55" s="54">
        <v>11700.03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4">
        <v>35842.53</v>
      </c>
      <c r="P55" s="54">
        <v>39310.080000000002</v>
      </c>
      <c r="Q55" s="54">
        <v>3467.55</v>
      </c>
      <c r="R55" s="54">
        <v>157240.32000000001</v>
      </c>
      <c r="S55" s="54">
        <v>8.8209999999999997</v>
      </c>
      <c r="T55" s="54">
        <v>13103.36</v>
      </c>
      <c r="U55" s="55">
        <v>0</v>
      </c>
    </row>
    <row r="56" spans="2:21" outlineLevel="1" x14ac:dyDescent="0.25">
      <c r="B56" s="56" t="s">
        <v>493</v>
      </c>
      <c r="C56" s="58">
        <v>-19.27</v>
      </c>
      <c r="D56" s="58">
        <v>14.29</v>
      </c>
      <c r="E56" s="58">
        <v>7955.54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7">
        <v>0</v>
      </c>
      <c r="M56" s="57">
        <v>0</v>
      </c>
      <c r="N56" s="57">
        <v>0</v>
      </c>
      <c r="O56" s="58">
        <v>7950.56</v>
      </c>
      <c r="P56" s="58">
        <v>29831.79</v>
      </c>
      <c r="Q56" s="58">
        <v>21881.23</v>
      </c>
      <c r="R56" s="58">
        <v>119327.16</v>
      </c>
      <c r="S56" s="58">
        <v>73.348699999999994</v>
      </c>
      <c r="T56" s="58">
        <v>9943.93</v>
      </c>
      <c r="U56" s="57">
        <v>0</v>
      </c>
    </row>
    <row r="57" spans="2:21" x14ac:dyDescent="0.25">
      <c r="B57" s="53" t="s">
        <v>406</v>
      </c>
      <c r="C57" s="54">
        <v>-19.27</v>
      </c>
      <c r="D57" s="54">
        <v>14.29</v>
      </c>
      <c r="E57" s="54">
        <v>7955.54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5">
        <v>0</v>
      </c>
      <c r="N57" s="55">
        <v>0</v>
      </c>
      <c r="O57" s="54">
        <v>7950.56</v>
      </c>
      <c r="P57" s="54">
        <v>29831.79</v>
      </c>
      <c r="Q57" s="54">
        <v>21881.23</v>
      </c>
      <c r="R57" s="54">
        <v>119327.16</v>
      </c>
      <c r="S57" s="54">
        <v>73.348699999999994</v>
      </c>
      <c r="T57" s="54">
        <v>9943.93</v>
      </c>
      <c r="U57" s="55">
        <v>0</v>
      </c>
    </row>
    <row r="58" spans="2:21" x14ac:dyDescent="0.25">
      <c r="B58" s="53" t="s">
        <v>407</v>
      </c>
      <c r="C58" s="54">
        <v>73760.100000000006</v>
      </c>
      <c r="D58" s="54">
        <v>131615.29999999999</v>
      </c>
      <c r="E58" s="54">
        <v>96764.81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302140.21000000002</v>
      </c>
      <c r="P58" s="54">
        <v>224118</v>
      </c>
      <c r="Q58" s="54">
        <v>-78022.210000000006</v>
      </c>
      <c r="R58" s="54">
        <v>911892</v>
      </c>
      <c r="S58" s="54">
        <v>-34.813000000000002</v>
      </c>
      <c r="T58" s="54">
        <v>94006</v>
      </c>
      <c r="U58" s="55">
        <v>0</v>
      </c>
    </row>
    <row r="59" spans="2:21" outlineLevel="1" x14ac:dyDescent="0.25">
      <c r="B59" s="56" t="s">
        <v>408</v>
      </c>
      <c r="C59" s="58">
        <v>18300</v>
      </c>
      <c r="D59" s="58">
        <v>28016.81</v>
      </c>
      <c r="E59" s="58">
        <v>1.31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8">
        <v>46318.12</v>
      </c>
      <c r="P59" s="58">
        <v>3000</v>
      </c>
      <c r="Q59" s="58">
        <v>-43318.12</v>
      </c>
      <c r="R59" s="58">
        <v>119820</v>
      </c>
      <c r="S59" s="58">
        <v>-1443.9373000000001</v>
      </c>
      <c r="T59" s="58">
        <v>1000</v>
      </c>
      <c r="U59" s="57">
        <v>0</v>
      </c>
    </row>
    <row r="60" spans="2:21" x14ac:dyDescent="0.25">
      <c r="B60" s="53" t="s">
        <v>409</v>
      </c>
      <c r="C60" s="54">
        <v>18300</v>
      </c>
      <c r="D60" s="54">
        <v>28016.81</v>
      </c>
      <c r="E60" s="54">
        <v>1.31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4">
        <v>46318.12</v>
      </c>
      <c r="P60" s="54">
        <v>3000</v>
      </c>
      <c r="Q60" s="54">
        <v>-43318.12</v>
      </c>
      <c r="R60" s="54">
        <v>119820</v>
      </c>
      <c r="S60" s="54">
        <v>-1443.9373000000001</v>
      </c>
      <c r="T60" s="54">
        <v>1000</v>
      </c>
      <c r="U60" s="55">
        <v>0</v>
      </c>
    </row>
    <row r="61" spans="2:21" outlineLevel="1" x14ac:dyDescent="0.25">
      <c r="B61" s="56" t="s">
        <v>494</v>
      </c>
      <c r="C61" s="58">
        <v>113.06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113.06</v>
      </c>
      <c r="P61" s="57">
        <v>0</v>
      </c>
      <c r="Q61" s="58">
        <v>-113.06</v>
      </c>
      <c r="R61" s="57">
        <v>0</v>
      </c>
      <c r="S61" s="57">
        <v>0</v>
      </c>
      <c r="T61" s="57">
        <v>0</v>
      </c>
      <c r="U61" s="57">
        <v>0</v>
      </c>
    </row>
    <row r="62" spans="2:21" outlineLevel="1" x14ac:dyDescent="0.25">
      <c r="B62" s="56" t="s">
        <v>495</v>
      </c>
      <c r="C62" s="58">
        <v>7533.13</v>
      </c>
      <c r="D62" s="58">
        <v>16416.61</v>
      </c>
      <c r="E62" s="58">
        <v>13752.83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8">
        <v>37702.57</v>
      </c>
      <c r="P62" s="58">
        <v>115000</v>
      </c>
      <c r="Q62" s="58">
        <v>77297.429999999993</v>
      </c>
      <c r="R62" s="58">
        <v>384000</v>
      </c>
      <c r="S62" s="58">
        <v>67.215199999999996</v>
      </c>
      <c r="T62" s="58">
        <v>52000</v>
      </c>
      <c r="U62" s="57">
        <v>0</v>
      </c>
    </row>
    <row r="63" spans="2:21" outlineLevel="1" x14ac:dyDescent="0.25">
      <c r="B63" s="56" t="s">
        <v>496</v>
      </c>
      <c r="C63" s="58">
        <v>3468.9</v>
      </c>
      <c r="D63" s="58">
        <v>6276.65</v>
      </c>
      <c r="E63" s="58">
        <v>11893.49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21639.040000000001</v>
      </c>
      <c r="P63" s="57">
        <v>0</v>
      </c>
      <c r="Q63" s="58">
        <v>-21639.040000000001</v>
      </c>
      <c r="R63" s="57">
        <v>0</v>
      </c>
      <c r="S63" s="57">
        <v>0</v>
      </c>
      <c r="T63" s="57">
        <v>0</v>
      </c>
      <c r="U63" s="57">
        <v>0</v>
      </c>
    </row>
    <row r="64" spans="2:21" outlineLevel="1" x14ac:dyDescent="0.25">
      <c r="B64" s="56" t="s">
        <v>411</v>
      </c>
      <c r="C64" s="58">
        <v>-9262.16</v>
      </c>
      <c r="D64" s="58">
        <v>9970.41</v>
      </c>
      <c r="E64" s="58">
        <v>3040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8">
        <v>3748.25</v>
      </c>
      <c r="P64" s="57">
        <v>0</v>
      </c>
      <c r="Q64" s="58">
        <v>-3748.25</v>
      </c>
      <c r="R64" s="57">
        <v>0</v>
      </c>
      <c r="S64" s="57">
        <v>0</v>
      </c>
      <c r="T64" s="57">
        <v>0</v>
      </c>
      <c r="U64" s="57">
        <v>0</v>
      </c>
    </row>
    <row r="65" spans="2:21" outlineLevel="1" x14ac:dyDescent="0.25">
      <c r="B65" s="56" t="s">
        <v>497</v>
      </c>
      <c r="C65" s="58">
        <v>611.4</v>
      </c>
      <c r="D65" s="58">
        <v>5536.9</v>
      </c>
      <c r="E65" s="58">
        <v>0.01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6148.31</v>
      </c>
      <c r="P65" s="57">
        <v>0</v>
      </c>
      <c r="Q65" s="58">
        <v>-6148.31</v>
      </c>
      <c r="R65" s="57">
        <v>0</v>
      </c>
      <c r="S65" s="57">
        <v>0</v>
      </c>
      <c r="T65" s="57">
        <v>0</v>
      </c>
      <c r="U65" s="57">
        <v>0</v>
      </c>
    </row>
    <row r="66" spans="2:21" outlineLevel="1" x14ac:dyDescent="0.25">
      <c r="B66" s="56" t="s">
        <v>498</v>
      </c>
      <c r="C66" s="57">
        <v>0</v>
      </c>
      <c r="D66" s="58">
        <v>33299.519999999997</v>
      </c>
      <c r="E66" s="58">
        <v>15642.64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48942.16</v>
      </c>
      <c r="P66" s="57">
        <v>0</v>
      </c>
      <c r="Q66" s="58">
        <v>-48942.16</v>
      </c>
      <c r="R66" s="57">
        <v>0</v>
      </c>
      <c r="S66" s="57">
        <v>0</v>
      </c>
      <c r="T66" s="57">
        <v>0</v>
      </c>
      <c r="U66" s="57">
        <v>0</v>
      </c>
    </row>
    <row r="67" spans="2:21" outlineLevel="1" x14ac:dyDescent="0.25">
      <c r="B67" s="56" t="s">
        <v>499</v>
      </c>
      <c r="C67" s="58">
        <v>7871.55</v>
      </c>
      <c r="D67" s="58">
        <v>4197.3999999999996</v>
      </c>
      <c r="E67" s="58">
        <v>14530.8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8">
        <v>26599.75</v>
      </c>
      <c r="P67" s="57">
        <v>0</v>
      </c>
      <c r="Q67" s="58">
        <v>-26599.75</v>
      </c>
      <c r="R67" s="57">
        <v>0</v>
      </c>
      <c r="S67" s="57">
        <v>0</v>
      </c>
      <c r="T67" s="57">
        <v>0</v>
      </c>
      <c r="U67" s="57">
        <v>0</v>
      </c>
    </row>
    <row r="68" spans="2:21" outlineLevel="1" x14ac:dyDescent="0.25">
      <c r="B68" s="56" t="s">
        <v>500</v>
      </c>
      <c r="C68" s="57">
        <v>0</v>
      </c>
      <c r="D68" s="57">
        <v>0</v>
      </c>
      <c r="E68" s="58">
        <v>3462.29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8">
        <v>3462.29</v>
      </c>
      <c r="P68" s="57">
        <v>0</v>
      </c>
      <c r="Q68" s="58">
        <v>-3462.29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5">
      <c r="B69" s="53" t="s">
        <v>501</v>
      </c>
      <c r="C69" s="54">
        <v>10335.879999999999</v>
      </c>
      <c r="D69" s="54">
        <v>75697.490000000005</v>
      </c>
      <c r="E69" s="54">
        <v>62322.06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4">
        <v>148355.43</v>
      </c>
      <c r="P69" s="54">
        <v>115000</v>
      </c>
      <c r="Q69" s="54">
        <v>-33355.43</v>
      </c>
      <c r="R69" s="54">
        <v>384000</v>
      </c>
      <c r="S69" s="54">
        <v>-29.0047</v>
      </c>
      <c r="T69" s="54">
        <v>52000</v>
      </c>
      <c r="U69" s="55">
        <v>0</v>
      </c>
    </row>
    <row r="70" spans="2:21" outlineLevel="1" x14ac:dyDescent="0.25">
      <c r="B70" s="56" t="s">
        <v>412</v>
      </c>
      <c r="C70" s="58">
        <v>29609.8</v>
      </c>
      <c r="D70" s="58">
        <v>4375.92</v>
      </c>
      <c r="E70" s="58">
        <v>17524.22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  <c r="O70" s="58">
        <v>51509.94</v>
      </c>
      <c r="P70" s="58">
        <v>39600</v>
      </c>
      <c r="Q70" s="58">
        <v>-11909.94</v>
      </c>
      <c r="R70" s="58">
        <v>158400</v>
      </c>
      <c r="S70" s="58">
        <v>-30.075600000000001</v>
      </c>
      <c r="T70" s="58">
        <v>13200</v>
      </c>
      <c r="U70" s="57">
        <v>0</v>
      </c>
    </row>
    <row r="71" spans="2:21" x14ac:dyDescent="0.25">
      <c r="B71" s="53" t="s">
        <v>413</v>
      </c>
      <c r="C71" s="54">
        <v>29609.8</v>
      </c>
      <c r="D71" s="54">
        <v>4375.92</v>
      </c>
      <c r="E71" s="54">
        <v>17524.22</v>
      </c>
      <c r="F71" s="55">
        <v>0</v>
      </c>
      <c r="G71" s="55">
        <v>0</v>
      </c>
      <c r="H71" s="55">
        <v>0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4">
        <v>51509.94</v>
      </c>
      <c r="P71" s="54">
        <v>39600</v>
      </c>
      <c r="Q71" s="54">
        <v>-11909.94</v>
      </c>
      <c r="R71" s="54">
        <v>158400</v>
      </c>
      <c r="S71" s="54">
        <v>-30.075600000000001</v>
      </c>
      <c r="T71" s="54">
        <v>13200</v>
      </c>
      <c r="U71" s="55">
        <v>0</v>
      </c>
    </row>
    <row r="72" spans="2:21" outlineLevel="1" x14ac:dyDescent="0.25">
      <c r="B72" s="56" t="s">
        <v>502</v>
      </c>
      <c r="C72" s="58">
        <v>615.6</v>
      </c>
      <c r="D72" s="58">
        <v>3713.66</v>
      </c>
      <c r="E72" s="58">
        <v>-0.56999999999999995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8">
        <v>4328.6899999999996</v>
      </c>
      <c r="P72" s="58">
        <v>15950</v>
      </c>
      <c r="Q72" s="58">
        <v>11621.31</v>
      </c>
      <c r="R72" s="58">
        <v>47400</v>
      </c>
      <c r="S72" s="58">
        <v>72.860900000000001</v>
      </c>
      <c r="T72" s="58">
        <v>10950</v>
      </c>
      <c r="U72" s="57">
        <v>0</v>
      </c>
    </row>
    <row r="73" spans="2:21" outlineLevel="1" x14ac:dyDescent="0.25">
      <c r="B73" s="56" t="s">
        <v>611</v>
      </c>
      <c r="C73" s="57">
        <v>0</v>
      </c>
      <c r="D73" s="57">
        <v>0</v>
      </c>
      <c r="E73" s="58">
        <v>1037.06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8">
        <v>1037.06</v>
      </c>
      <c r="P73" s="57">
        <v>0</v>
      </c>
      <c r="Q73" s="58">
        <v>-1037.06</v>
      </c>
      <c r="R73" s="57">
        <v>0</v>
      </c>
      <c r="S73" s="57">
        <v>0</v>
      </c>
      <c r="T73" s="57">
        <v>0</v>
      </c>
      <c r="U73" s="57">
        <v>0</v>
      </c>
    </row>
    <row r="74" spans="2:21" x14ac:dyDescent="0.25">
      <c r="B74" s="53" t="s">
        <v>415</v>
      </c>
      <c r="C74" s="54">
        <v>615.6</v>
      </c>
      <c r="D74" s="54">
        <v>3713.66</v>
      </c>
      <c r="E74" s="54">
        <v>1036.49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4">
        <v>5365.75</v>
      </c>
      <c r="P74" s="54">
        <v>15950</v>
      </c>
      <c r="Q74" s="54">
        <v>10584.25</v>
      </c>
      <c r="R74" s="54">
        <v>47400</v>
      </c>
      <c r="S74" s="54">
        <v>66.358900000000006</v>
      </c>
      <c r="T74" s="54">
        <v>10950</v>
      </c>
      <c r="U74" s="55">
        <v>0</v>
      </c>
    </row>
    <row r="75" spans="2:21" x14ac:dyDescent="0.25">
      <c r="B75" s="53" t="s">
        <v>416</v>
      </c>
      <c r="C75" s="54">
        <v>2242.8200000000002</v>
      </c>
      <c r="D75" s="54">
        <v>7155.42</v>
      </c>
      <c r="E75" s="54">
        <v>3224.73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4">
        <v>12622.97</v>
      </c>
      <c r="P75" s="54">
        <v>12600</v>
      </c>
      <c r="Q75" s="54">
        <v>-22.97</v>
      </c>
      <c r="R75" s="54">
        <v>50400</v>
      </c>
      <c r="S75" s="54">
        <v>-0.18229999999999999</v>
      </c>
      <c r="T75" s="54">
        <v>4200</v>
      </c>
      <c r="U75" s="55">
        <v>0</v>
      </c>
    </row>
    <row r="76" spans="2:21" outlineLevel="1" x14ac:dyDescent="0.25">
      <c r="B76" s="56" t="s">
        <v>417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</row>
    <row r="77" spans="2:21" x14ac:dyDescent="0.25">
      <c r="B77" s="53" t="s">
        <v>418</v>
      </c>
      <c r="C77" s="55">
        <v>0</v>
      </c>
      <c r="D77" s="55">
        <v>0</v>
      </c>
      <c r="E77" s="55">
        <v>0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</row>
    <row r="78" spans="2:21" outlineLevel="1" x14ac:dyDescent="0.25">
      <c r="B78" s="56" t="s">
        <v>419</v>
      </c>
      <c r="C78" s="57">
        <v>0</v>
      </c>
      <c r="D78" s="58">
        <v>424.96</v>
      </c>
      <c r="E78" s="58">
        <v>73.900000000000006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8">
        <v>498.86</v>
      </c>
      <c r="P78" s="57">
        <v>0</v>
      </c>
      <c r="Q78" s="58">
        <v>-498.86</v>
      </c>
      <c r="R78" s="57">
        <v>0</v>
      </c>
      <c r="S78" s="57">
        <v>0</v>
      </c>
      <c r="T78" s="57">
        <v>0</v>
      </c>
      <c r="U78" s="57">
        <v>0</v>
      </c>
    </row>
    <row r="79" spans="2:21" outlineLevel="1" x14ac:dyDescent="0.25">
      <c r="B79" s="56" t="s">
        <v>420</v>
      </c>
      <c r="C79" s="58">
        <v>532.70000000000005</v>
      </c>
      <c r="D79" s="58">
        <v>1393.86</v>
      </c>
      <c r="E79" s="58">
        <v>1302.68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8">
        <v>3229.24</v>
      </c>
      <c r="P79" s="58">
        <v>9600</v>
      </c>
      <c r="Q79" s="58">
        <v>6370.76</v>
      </c>
      <c r="R79" s="58">
        <v>38400</v>
      </c>
      <c r="S79" s="58">
        <v>66.362099999999998</v>
      </c>
      <c r="T79" s="58">
        <v>3200</v>
      </c>
      <c r="U79" s="57">
        <v>0</v>
      </c>
    </row>
    <row r="80" spans="2:21" outlineLevel="1" x14ac:dyDescent="0.25">
      <c r="B80" s="56" t="s">
        <v>421</v>
      </c>
      <c r="C80" s="58">
        <v>1815.01</v>
      </c>
      <c r="D80" s="58">
        <v>2231.37</v>
      </c>
      <c r="E80" s="58">
        <v>554.32000000000005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4600.7</v>
      </c>
      <c r="P80" s="57">
        <v>0</v>
      </c>
      <c r="Q80" s="58">
        <v>-4600.7</v>
      </c>
      <c r="R80" s="57">
        <v>0</v>
      </c>
      <c r="S80" s="57">
        <v>0</v>
      </c>
      <c r="T80" s="57">
        <v>0</v>
      </c>
      <c r="U80" s="57">
        <v>0</v>
      </c>
    </row>
    <row r="81" spans="2:21" outlineLevel="1" x14ac:dyDescent="0.25">
      <c r="B81" s="56" t="s">
        <v>422</v>
      </c>
      <c r="C81" s="58">
        <v>95.11</v>
      </c>
      <c r="D81" s="58">
        <v>95.23</v>
      </c>
      <c r="E81" s="58">
        <v>93.83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8">
        <v>284.17</v>
      </c>
      <c r="P81" s="57">
        <v>0</v>
      </c>
      <c r="Q81" s="58">
        <v>-284.17</v>
      </c>
      <c r="R81" s="57">
        <v>0</v>
      </c>
      <c r="S81" s="57">
        <v>0</v>
      </c>
      <c r="T81" s="57">
        <v>0</v>
      </c>
      <c r="U81" s="57">
        <v>0</v>
      </c>
    </row>
    <row r="82" spans="2:21" x14ac:dyDescent="0.25">
      <c r="B82" s="53" t="s">
        <v>423</v>
      </c>
      <c r="C82" s="54">
        <v>2442.8200000000002</v>
      </c>
      <c r="D82" s="54">
        <v>4145.42</v>
      </c>
      <c r="E82" s="54">
        <v>2024.73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5">
        <v>0</v>
      </c>
      <c r="M82" s="55">
        <v>0</v>
      </c>
      <c r="N82" s="55">
        <v>0</v>
      </c>
      <c r="O82" s="54">
        <v>8612.9699999999993</v>
      </c>
      <c r="P82" s="54">
        <v>9600</v>
      </c>
      <c r="Q82" s="54">
        <v>987.03</v>
      </c>
      <c r="R82" s="54">
        <v>38400</v>
      </c>
      <c r="S82" s="54">
        <v>10.281599999999999</v>
      </c>
      <c r="T82" s="54">
        <v>3200</v>
      </c>
      <c r="U82" s="55">
        <v>0</v>
      </c>
    </row>
    <row r="83" spans="2:21" outlineLevel="1" x14ac:dyDescent="0.25">
      <c r="B83" s="56" t="s">
        <v>424</v>
      </c>
      <c r="C83" s="58">
        <v>-200</v>
      </c>
      <c r="D83" s="58">
        <v>3010</v>
      </c>
      <c r="E83" s="58">
        <v>1200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8">
        <v>4010</v>
      </c>
      <c r="P83" s="58">
        <v>3000</v>
      </c>
      <c r="Q83" s="58">
        <v>-1010</v>
      </c>
      <c r="R83" s="58">
        <v>12000</v>
      </c>
      <c r="S83" s="58">
        <v>-33.666699999999999</v>
      </c>
      <c r="T83" s="58">
        <v>1000</v>
      </c>
      <c r="U83" s="57">
        <v>0</v>
      </c>
    </row>
    <row r="84" spans="2:21" x14ac:dyDescent="0.25">
      <c r="B84" s="53" t="s">
        <v>425</v>
      </c>
      <c r="C84" s="54">
        <v>-200</v>
      </c>
      <c r="D84" s="54">
        <v>3010</v>
      </c>
      <c r="E84" s="54">
        <v>1200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4">
        <v>4010</v>
      </c>
      <c r="P84" s="54">
        <v>3000</v>
      </c>
      <c r="Q84" s="54">
        <v>-1010</v>
      </c>
      <c r="R84" s="54">
        <v>12000</v>
      </c>
      <c r="S84" s="54">
        <v>-33.666699999999999</v>
      </c>
      <c r="T84" s="54">
        <v>1000</v>
      </c>
      <c r="U84" s="55">
        <v>0</v>
      </c>
    </row>
    <row r="85" spans="2:21" outlineLevel="1" x14ac:dyDescent="0.25">
      <c r="B85" s="56" t="s">
        <v>426</v>
      </c>
      <c r="C85" s="58">
        <v>12656</v>
      </c>
      <c r="D85" s="58">
        <v>12656</v>
      </c>
      <c r="E85" s="58">
        <v>12656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8">
        <v>37968</v>
      </c>
      <c r="P85" s="58">
        <v>37968</v>
      </c>
      <c r="Q85" s="57">
        <v>0</v>
      </c>
      <c r="R85" s="58">
        <v>151872</v>
      </c>
      <c r="S85" s="57">
        <v>0</v>
      </c>
      <c r="T85" s="58">
        <v>12656</v>
      </c>
      <c r="U85" s="57">
        <v>0</v>
      </c>
    </row>
    <row r="86" spans="2:21" x14ac:dyDescent="0.25">
      <c r="B86" s="53" t="s">
        <v>427</v>
      </c>
      <c r="C86" s="54">
        <v>12656</v>
      </c>
      <c r="D86" s="54">
        <v>12656</v>
      </c>
      <c r="E86" s="54">
        <v>12656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4">
        <v>37968</v>
      </c>
      <c r="P86" s="54">
        <v>37968</v>
      </c>
      <c r="Q86" s="55">
        <v>0</v>
      </c>
      <c r="R86" s="54">
        <v>151872</v>
      </c>
      <c r="S86" s="55">
        <v>0</v>
      </c>
      <c r="T86" s="54">
        <v>12656</v>
      </c>
      <c r="U86" s="55">
        <v>0</v>
      </c>
    </row>
    <row r="87" spans="2:21" outlineLevel="1" x14ac:dyDescent="0.25">
      <c r="B87" s="56" t="s">
        <v>504</v>
      </c>
      <c r="C87" s="58">
        <v>40468.160000000003</v>
      </c>
      <c r="D87" s="58">
        <v>40468.17</v>
      </c>
      <c r="E87" s="58">
        <v>40468.160000000003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8">
        <v>121404.49</v>
      </c>
      <c r="P87" s="58">
        <v>121404.48</v>
      </c>
      <c r="Q87" s="58">
        <v>-0.01</v>
      </c>
      <c r="R87" s="58">
        <v>485617.91999999998</v>
      </c>
      <c r="S87" s="57">
        <v>0</v>
      </c>
      <c r="T87" s="58">
        <v>40468.160000000003</v>
      </c>
      <c r="U87" s="57">
        <v>0</v>
      </c>
    </row>
    <row r="88" spans="2:21" x14ac:dyDescent="0.25">
      <c r="B88" s="53" t="s">
        <v>414</v>
      </c>
      <c r="C88" s="54">
        <v>40468.160000000003</v>
      </c>
      <c r="D88" s="54">
        <v>40468.17</v>
      </c>
      <c r="E88" s="54">
        <v>40468.160000000003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4">
        <v>121404.49</v>
      </c>
      <c r="P88" s="54">
        <v>121404.48</v>
      </c>
      <c r="Q88" s="54">
        <v>-0.01</v>
      </c>
      <c r="R88" s="54">
        <v>485617.91999999998</v>
      </c>
      <c r="S88" s="55">
        <v>0</v>
      </c>
      <c r="T88" s="54">
        <v>40468.160000000003</v>
      </c>
      <c r="U88" s="55">
        <v>0</v>
      </c>
    </row>
    <row r="89" spans="2:21" x14ac:dyDescent="0.25">
      <c r="B89" s="53" t="s">
        <v>428</v>
      </c>
      <c r="C89" s="54">
        <v>11699.29</v>
      </c>
      <c r="D89" s="54">
        <v>10567.17</v>
      </c>
      <c r="E89" s="54">
        <v>11637.53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5">
        <v>0</v>
      </c>
      <c r="M89" s="55">
        <v>0</v>
      </c>
      <c r="N89" s="55">
        <v>0</v>
      </c>
      <c r="O89" s="54">
        <v>33903.99</v>
      </c>
      <c r="P89" s="54">
        <v>33362.629999999997</v>
      </c>
      <c r="Q89" s="54">
        <v>-541.36</v>
      </c>
      <c r="R89" s="54">
        <v>135983.9</v>
      </c>
      <c r="S89" s="54">
        <v>-1.6227</v>
      </c>
      <c r="T89" s="54">
        <v>11451.02</v>
      </c>
      <c r="U89" s="55">
        <v>0</v>
      </c>
    </row>
    <row r="90" spans="2:21" outlineLevel="1" x14ac:dyDescent="0.25">
      <c r="B90" s="56" t="s">
        <v>505</v>
      </c>
      <c r="C90" s="58">
        <v>7985.81</v>
      </c>
      <c r="D90" s="58">
        <v>7213</v>
      </c>
      <c r="E90" s="58">
        <v>7985.81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8">
        <v>23184.62</v>
      </c>
      <c r="P90" s="58">
        <v>22559.72</v>
      </c>
      <c r="Q90" s="58">
        <v>-624.9</v>
      </c>
      <c r="R90" s="58">
        <v>92491.13</v>
      </c>
      <c r="S90" s="58">
        <v>-2.77</v>
      </c>
      <c r="T90" s="58">
        <v>7770.57</v>
      </c>
      <c r="U90" s="57">
        <v>0</v>
      </c>
    </row>
    <row r="91" spans="2:21" x14ac:dyDescent="0.25">
      <c r="B91" s="53" t="s">
        <v>429</v>
      </c>
      <c r="C91" s="54">
        <v>7985.81</v>
      </c>
      <c r="D91" s="54">
        <v>7213</v>
      </c>
      <c r="E91" s="54">
        <v>7985.81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4">
        <v>23184.62</v>
      </c>
      <c r="P91" s="54">
        <v>22559.72</v>
      </c>
      <c r="Q91" s="54">
        <v>-624.9</v>
      </c>
      <c r="R91" s="54">
        <v>92491.13</v>
      </c>
      <c r="S91" s="54">
        <v>-2.77</v>
      </c>
      <c r="T91" s="54">
        <v>7770.57</v>
      </c>
      <c r="U91" s="55">
        <v>0</v>
      </c>
    </row>
    <row r="92" spans="2:21" outlineLevel="1" x14ac:dyDescent="0.25">
      <c r="B92" s="56" t="s">
        <v>430</v>
      </c>
      <c r="C92" s="58">
        <v>2865.09</v>
      </c>
      <c r="D92" s="58">
        <v>2587.87</v>
      </c>
      <c r="E92" s="58">
        <v>2803.33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8">
        <v>8256.2900000000009</v>
      </c>
      <c r="P92" s="58">
        <v>8339.81</v>
      </c>
      <c r="Q92" s="58">
        <v>83.52</v>
      </c>
      <c r="R92" s="58">
        <v>33462.86</v>
      </c>
      <c r="S92" s="58">
        <v>1.0015000000000001</v>
      </c>
      <c r="T92" s="58">
        <v>2832.05</v>
      </c>
      <c r="U92" s="57">
        <v>0</v>
      </c>
    </row>
    <row r="93" spans="2:21" x14ac:dyDescent="0.25">
      <c r="B93" s="53" t="s">
        <v>431</v>
      </c>
      <c r="C93" s="54">
        <v>2865.09</v>
      </c>
      <c r="D93" s="54">
        <v>2587.87</v>
      </c>
      <c r="E93" s="54">
        <v>2803.33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5">
        <v>0</v>
      </c>
      <c r="N93" s="55">
        <v>0</v>
      </c>
      <c r="O93" s="54">
        <v>8256.2900000000009</v>
      </c>
      <c r="P93" s="54">
        <v>8339.81</v>
      </c>
      <c r="Q93" s="54">
        <v>83.52</v>
      </c>
      <c r="R93" s="54">
        <v>33462.86</v>
      </c>
      <c r="S93" s="54">
        <v>1.0015000000000001</v>
      </c>
      <c r="T93" s="54">
        <v>2832.05</v>
      </c>
      <c r="U93" s="55">
        <v>0</v>
      </c>
    </row>
    <row r="94" spans="2:21" outlineLevel="1" x14ac:dyDescent="0.25">
      <c r="B94" s="56" t="s">
        <v>506</v>
      </c>
      <c r="C94" s="58">
        <v>848.39</v>
      </c>
      <c r="D94" s="58">
        <v>766.3</v>
      </c>
      <c r="E94" s="58">
        <v>848.39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8">
        <v>2463.08</v>
      </c>
      <c r="P94" s="58">
        <v>2463.1</v>
      </c>
      <c r="Q94" s="58">
        <v>0.02</v>
      </c>
      <c r="R94" s="58">
        <v>10029.91</v>
      </c>
      <c r="S94" s="58">
        <v>8.0000000000000004E-4</v>
      </c>
      <c r="T94" s="58">
        <v>848.4</v>
      </c>
      <c r="U94" s="57">
        <v>0</v>
      </c>
    </row>
    <row r="95" spans="2:21" x14ac:dyDescent="0.25">
      <c r="B95" s="53" t="s">
        <v>432</v>
      </c>
      <c r="C95" s="54">
        <v>848.39</v>
      </c>
      <c r="D95" s="54">
        <v>766.3</v>
      </c>
      <c r="E95" s="54">
        <v>848.39</v>
      </c>
      <c r="F95" s="55">
        <v>0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4">
        <v>2463.08</v>
      </c>
      <c r="P95" s="54">
        <v>2463.1</v>
      </c>
      <c r="Q95" s="54">
        <v>0.02</v>
      </c>
      <c r="R95" s="54">
        <v>10029.91</v>
      </c>
      <c r="S95" s="54">
        <v>8.0000000000000004E-4</v>
      </c>
      <c r="T95" s="54">
        <v>848.4</v>
      </c>
      <c r="U95" s="55">
        <v>0</v>
      </c>
    </row>
    <row r="96" spans="2:21" x14ac:dyDescent="0.25">
      <c r="B96" s="53" t="s">
        <v>433</v>
      </c>
      <c r="C96" s="54">
        <v>293011.03999999998</v>
      </c>
      <c r="D96" s="54">
        <v>381896</v>
      </c>
      <c r="E96" s="54">
        <v>317846.84999999998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4">
        <v>992753.89</v>
      </c>
      <c r="P96" s="54">
        <v>940484.5</v>
      </c>
      <c r="Q96" s="54">
        <v>-52269.39</v>
      </c>
      <c r="R96" s="54">
        <v>3705515.3</v>
      </c>
      <c r="S96" s="54">
        <v>-5.5576999999999996</v>
      </c>
      <c r="T96" s="54">
        <v>317410.77</v>
      </c>
      <c r="U96" s="55">
        <v>0</v>
      </c>
    </row>
    <row r="97" spans="2:21" x14ac:dyDescent="0.25">
      <c r="B97" s="53" t="s">
        <v>434</v>
      </c>
      <c r="C97" s="54">
        <v>-498022.19</v>
      </c>
      <c r="D97" s="54">
        <v>-128557.47</v>
      </c>
      <c r="E97" s="54">
        <v>-770970.07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4">
        <v>-1397549.73</v>
      </c>
      <c r="P97" s="54">
        <v>-1127013.5900000001</v>
      </c>
      <c r="Q97" s="54">
        <v>270536.14</v>
      </c>
      <c r="R97" s="54">
        <v>-3407421.3</v>
      </c>
      <c r="S97" s="54">
        <v>-24.0047</v>
      </c>
      <c r="T97" s="54">
        <v>-371755.26</v>
      </c>
      <c r="U97" s="55">
        <v>0</v>
      </c>
    </row>
    <row r="98" spans="2:21" outlineLevel="1" x14ac:dyDescent="0.25">
      <c r="B98" s="56" t="s">
        <v>507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8">
        <v>370214.73</v>
      </c>
      <c r="Q98" s="58">
        <v>370214.73</v>
      </c>
      <c r="R98" s="58">
        <v>1480858.92</v>
      </c>
      <c r="S98" s="58">
        <v>100</v>
      </c>
      <c r="T98" s="58">
        <v>123404.91</v>
      </c>
      <c r="U98" s="57">
        <v>0</v>
      </c>
    </row>
    <row r="99" spans="2:21" outlineLevel="1" x14ac:dyDescent="0.25">
      <c r="B99" s="56" t="s">
        <v>508</v>
      </c>
      <c r="C99" s="58">
        <v>120928.07</v>
      </c>
      <c r="D99" s="58">
        <v>120928.07</v>
      </c>
      <c r="E99" s="58">
        <v>120928.07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8">
        <v>362784.21</v>
      </c>
      <c r="P99" s="57">
        <v>0</v>
      </c>
      <c r="Q99" s="58">
        <v>-362784.21</v>
      </c>
      <c r="R99" s="57">
        <v>0</v>
      </c>
      <c r="S99" s="57">
        <v>0</v>
      </c>
      <c r="T99" s="57">
        <v>0</v>
      </c>
      <c r="U99" s="57">
        <v>0</v>
      </c>
    </row>
    <row r="100" spans="2:21" outlineLevel="1" x14ac:dyDescent="0.25">
      <c r="B100" s="56" t="s">
        <v>510</v>
      </c>
      <c r="C100" s="58">
        <v>194.43</v>
      </c>
      <c r="D100" s="58">
        <v>194.4</v>
      </c>
      <c r="E100" s="58">
        <v>194.43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8">
        <v>583.26</v>
      </c>
      <c r="P100" s="57">
        <v>0</v>
      </c>
      <c r="Q100" s="58">
        <v>-583.26</v>
      </c>
      <c r="R100" s="57">
        <v>0</v>
      </c>
      <c r="S100" s="57">
        <v>0</v>
      </c>
      <c r="T100" s="57">
        <v>0</v>
      </c>
      <c r="U100" s="57">
        <v>0</v>
      </c>
    </row>
    <row r="101" spans="2:21" outlineLevel="1" x14ac:dyDescent="0.25">
      <c r="B101" s="56" t="s">
        <v>512</v>
      </c>
      <c r="C101" s="58">
        <v>2980.42</v>
      </c>
      <c r="D101" s="58">
        <v>3077.9</v>
      </c>
      <c r="E101" s="58">
        <v>3113.27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8">
        <v>9171.59</v>
      </c>
      <c r="P101" s="57">
        <v>0</v>
      </c>
      <c r="Q101" s="58">
        <v>-9171.59</v>
      </c>
      <c r="R101" s="57">
        <v>0</v>
      </c>
      <c r="S101" s="57">
        <v>0</v>
      </c>
      <c r="T101" s="57">
        <v>0</v>
      </c>
      <c r="U101" s="57">
        <v>0</v>
      </c>
    </row>
    <row r="102" spans="2:21" x14ac:dyDescent="0.25">
      <c r="B102" s="53" t="s">
        <v>435</v>
      </c>
      <c r="C102" s="54">
        <v>124102.92</v>
      </c>
      <c r="D102" s="54">
        <v>124200.37</v>
      </c>
      <c r="E102" s="54">
        <v>124235.77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5">
        <v>0</v>
      </c>
      <c r="M102" s="55">
        <v>0</v>
      </c>
      <c r="N102" s="55">
        <v>0</v>
      </c>
      <c r="O102" s="54">
        <v>372539.06</v>
      </c>
      <c r="P102" s="54">
        <v>370214.73</v>
      </c>
      <c r="Q102" s="54">
        <v>-2324.33</v>
      </c>
      <c r="R102" s="54">
        <v>1480858.92</v>
      </c>
      <c r="S102" s="54">
        <v>-0.62780000000000002</v>
      </c>
      <c r="T102" s="54">
        <v>123404.91</v>
      </c>
      <c r="U102" s="55">
        <v>0</v>
      </c>
    </row>
    <row r="103" spans="2:21" x14ac:dyDescent="0.25">
      <c r="B103" s="53" t="s">
        <v>436</v>
      </c>
      <c r="C103" s="54">
        <v>899.7</v>
      </c>
      <c r="D103" s="54">
        <v>571.47</v>
      </c>
      <c r="E103" s="54">
        <v>634.51</v>
      </c>
      <c r="F103" s="55">
        <v>0</v>
      </c>
      <c r="G103" s="55">
        <v>0</v>
      </c>
      <c r="H103" s="55">
        <v>0</v>
      </c>
      <c r="I103" s="55">
        <v>0</v>
      </c>
      <c r="J103" s="55">
        <v>0</v>
      </c>
      <c r="K103" s="55">
        <v>0</v>
      </c>
      <c r="L103" s="55">
        <v>0</v>
      </c>
      <c r="M103" s="55">
        <v>0</v>
      </c>
      <c r="N103" s="55">
        <v>0</v>
      </c>
      <c r="O103" s="54">
        <v>2105.6799999999998</v>
      </c>
      <c r="P103" s="54">
        <v>527.54999999999995</v>
      </c>
      <c r="Q103" s="54">
        <v>-1578.13</v>
      </c>
      <c r="R103" s="54">
        <v>2110.1999999999998</v>
      </c>
      <c r="S103" s="54">
        <v>-299.14319999999998</v>
      </c>
      <c r="T103" s="54">
        <v>175.85</v>
      </c>
      <c r="U103" s="55">
        <v>0</v>
      </c>
    </row>
    <row r="104" spans="2:21" outlineLevel="1" x14ac:dyDescent="0.25">
      <c r="B104" s="56" t="s">
        <v>514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8">
        <v>527.54999999999995</v>
      </c>
      <c r="Q104" s="58">
        <v>527.54999999999995</v>
      </c>
      <c r="R104" s="58">
        <v>2110.1999999999998</v>
      </c>
      <c r="S104" s="58">
        <v>100</v>
      </c>
      <c r="T104" s="58">
        <v>175.85</v>
      </c>
      <c r="U104" s="57">
        <v>0</v>
      </c>
    </row>
    <row r="105" spans="2:21" outlineLevel="1" x14ac:dyDescent="0.25">
      <c r="B105" s="56" t="s">
        <v>515</v>
      </c>
      <c r="C105" s="58">
        <v>330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8">
        <v>330</v>
      </c>
      <c r="P105" s="57">
        <v>0</v>
      </c>
      <c r="Q105" s="58">
        <v>-330</v>
      </c>
      <c r="R105" s="57">
        <v>0</v>
      </c>
      <c r="S105" s="57">
        <v>0</v>
      </c>
      <c r="T105" s="57">
        <v>0</v>
      </c>
      <c r="U105" s="57">
        <v>0</v>
      </c>
    </row>
    <row r="106" spans="2:21" outlineLevel="1" x14ac:dyDescent="0.25">
      <c r="B106" s="56" t="s">
        <v>437</v>
      </c>
      <c r="C106" s="58">
        <v>569.70000000000005</v>
      </c>
      <c r="D106" s="58">
        <v>571.47</v>
      </c>
      <c r="E106" s="58">
        <v>634.51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8">
        <v>1775.68</v>
      </c>
      <c r="P106" s="57">
        <v>0</v>
      </c>
      <c r="Q106" s="58">
        <v>-1775.68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5">
      <c r="B107" s="53" t="s">
        <v>438</v>
      </c>
      <c r="C107" s="54">
        <v>899.7</v>
      </c>
      <c r="D107" s="54">
        <v>571.47</v>
      </c>
      <c r="E107" s="54">
        <v>634.51</v>
      </c>
      <c r="F107" s="55">
        <v>0</v>
      </c>
      <c r="G107" s="55">
        <v>0</v>
      </c>
      <c r="H107" s="55">
        <v>0</v>
      </c>
      <c r="I107" s="55">
        <v>0</v>
      </c>
      <c r="J107" s="55">
        <v>0</v>
      </c>
      <c r="K107" s="55">
        <v>0</v>
      </c>
      <c r="L107" s="55">
        <v>0</v>
      </c>
      <c r="M107" s="55">
        <v>0</v>
      </c>
      <c r="N107" s="55">
        <v>0</v>
      </c>
      <c r="O107" s="54">
        <v>2105.6799999999998</v>
      </c>
      <c r="P107" s="54">
        <v>527.54999999999995</v>
      </c>
      <c r="Q107" s="54">
        <v>-1578.13</v>
      </c>
      <c r="R107" s="54">
        <v>2110.1999999999998</v>
      </c>
      <c r="S107" s="54">
        <v>-299.14319999999998</v>
      </c>
      <c r="T107" s="54">
        <v>175.85</v>
      </c>
      <c r="U107" s="55">
        <v>0</v>
      </c>
    </row>
    <row r="108" spans="2:21" x14ac:dyDescent="0.25">
      <c r="B108" s="53" t="s">
        <v>441</v>
      </c>
      <c r="C108" s="54">
        <v>-373019.57</v>
      </c>
      <c r="D108" s="54">
        <v>-3785.63</v>
      </c>
      <c r="E108" s="54">
        <v>-646099.79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4">
        <v>-1022904.99</v>
      </c>
      <c r="P108" s="54">
        <v>-756271.31</v>
      </c>
      <c r="Q108" s="54">
        <v>266633.68</v>
      </c>
      <c r="R108" s="54">
        <v>-1924452.18</v>
      </c>
      <c r="S108" s="54">
        <v>-35.256399999999999</v>
      </c>
      <c r="T108" s="54">
        <v>-248174.5</v>
      </c>
      <c r="U108" s="55">
        <v>0</v>
      </c>
    </row>
    <row r="109" spans="2:21" x14ac:dyDescent="0.25">
      <c r="B109" s="53" t="s">
        <v>442</v>
      </c>
      <c r="C109" s="55">
        <v>0</v>
      </c>
      <c r="D109" s="55">
        <v>0</v>
      </c>
      <c r="E109" s="55">
        <v>0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5">
        <v>0</v>
      </c>
      <c r="N109" s="55">
        <v>0</v>
      </c>
      <c r="O109" s="55">
        <v>0</v>
      </c>
      <c r="P109" s="55">
        <v>0</v>
      </c>
      <c r="Q109" s="55">
        <v>0</v>
      </c>
      <c r="R109" s="55">
        <v>0</v>
      </c>
      <c r="S109" s="55">
        <v>0</v>
      </c>
      <c r="T109" s="55">
        <v>0</v>
      </c>
      <c r="U109" s="55">
        <v>0</v>
      </c>
    </row>
    <row r="110" spans="2:21" x14ac:dyDescent="0.25">
      <c r="B110" s="53" t="s">
        <v>443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5">
        <v>0</v>
      </c>
      <c r="M110" s="55">
        <v>0</v>
      </c>
      <c r="N110" s="55">
        <v>0</v>
      </c>
      <c r="O110" s="55">
        <v>0</v>
      </c>
      <c r="P110" s="55">
        <v>0</v>
      </c>
      <c r="Q110" s="55">
        <v>0</v>
      </c>
      <c r="R110" s="55">
        <v>0</v>
      </c>
      <c r="S110" s="55">
        <v>0</v>
      </c>
      <c r="T110" s="55">
        <v>0</v>
      </c>
      <c r="U110" s="55">
        <v>0</v>
      </c>
    </row>
    <row r="111" spans="2:21" x14ac:dyDescent="0.25">
      <c r="B111" s="53" t="s">
        <v>444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5">
        <v>0</v>
      </c>
      <c r="P111" s="55">
        <v>0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</row>
    <row r="112" spans="2:21" x14ac:dyDescent="0.25">
      <c r="B112" s="53" t="s">
        <v>445</v>
      </c>
      <c r="C112" s="54">
        <v>-373019.57</v>
      </c>
      <c r="D112" s="54">
        <v>-3785.63</v>
      </c>
      <c r="E112" s="54">
        <v>-646099.79</v>
      </c>
      <c r="F112" s="55">
        <v>0</v>
      </c>
      <c r="G112" s="55">
        <v>0</v>
      </c>
      <c r="H112" s="55">
        <v>0</v>
      </c>
      <c r="I112" s="55">
        <v>0</v>
      </c>
      <c r="J112" s="55">
        <v>0</v>
      </c>
      <c r="K112" s="55">
        <v>0</v>
      </c>
      <c r="L112" s="55">
        <v>0</v>
      </c>
      <c r="M112" s="55">
        <v>0</v>
      </c>
      <c r="N112" s="55">
        <v>0</v>
      </c>
      <c r="O112" s="54">
        <v>-1022904.99</v>
      </c>
      <c r="P112" s="54">
        <v>-756271.31</v>
      </c>
      <c r="Q112" s="54">
        <v>266633.68</v>
      </c>
      <c r="R112" s="54">
        <v>-1924452.18</v>
      </c>
      <c r="S112" s="54">
        <v>-35.256399999999999</v>
      </c>
      <c r="T112" s="54">
        <v>-248174.5</v>
      </c>
      <c r="U112" s="55">
        <v>0</v>
      </c>
    </row>
    <row r="113" spans="2:21" x14ac:dyDescent="0.25">
      <c r="B113" s="53" t="s">
        <v>452</v>
      </c>
      <c r="C113" s="54">
        <v>16937.080000000002</v>
      </c>
      <c r="D113" s="54">
        <v>15298.01</v>
      </c>
      <c r="E113" s="54">
        <v>16566.18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4">
        <v>48801.27</v>
      </c>
      <c r="P113" s="54">
        <v>58532.06</v>
      </c>
      <c r="Q113" s="54">
        <v>9730.7900000000009</v>
      </c>
      <c r="R113" s="54">
        <v>188380.58</v>
      </c>
      <c r="S113" s="54">
        <v>16.624700000000001</v>
      </c>
      <c r="T113" s="54">
        <v>19927.25</v>
      </c>
      <c r="U113" s="55">
        <v>0</v>
      </c>
    </row>
    <row r="114" spans="2:21" outlineLevel="1" x14ac:dyDescent="0.25">
      <c r="B114" s="56" t="s">
        <v>453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7">
        <v>0</v>
      </c>
      <c r="P114" s="58">
        <v>58532.06</v>
      </c>
      <c r="Q114" s="58">
        <v>58532.06</v>
      </c>
      <c r="R114" s="58">
        <v>188380.58</v>
      </c>
      <c r="S114" s="58">
        <v>100</v>
      </c>
      <c r="T114" s="58">
        <v>19927.25</v>
      </c>
      <c r="U114" s="57">
        <v>0</v>
      </c>
    </row>
    <row r="115" spans="2:21" outlineLevel="1" x14ac:dyDescent="0.25">
      <c r="B115" s="56" t="s">
        <v>454</v>
      </c>
      <c r="C115" s="58">
        <v>16937.080000000002</v>
      </c>
      <c r="D115" s="58">
        <v>15298.01</v>
      </c>
      <c r="E115" s="58">
        <v>16566.18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8">
        <v>48801.27</v>
      </c>
      <c r="P115" s="57">
        <v>0</v>
      </c>
      <c r="Q115" s="58">
        <v>-48801.27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5">
      <c r="B116" s="53" t="s">
        <v>455</v>
      </c>
      <c r="C116" s="54">
        <v>16937.080000000002</v>
      </c>
      <c r="D116" s="54">
        <v>15298.01</v>
      </c>
      <c r="E116" s="54">
        <v>16566.18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4">
        <v>48801.27</v>
      </c>
      <c r="P116" s="54">
        <v>58532.06</v>
      </c>
      <c r="Q116" s="54">
        <v>9730.7900000000009</v>
      </c>
      <c r="R116" s="54">
        <v>188380.58</v>
      </c>
      <c r="S116" s="54">
        <v>16.624700000000001</v>
      </c>
      <c r="T116" s="54">
        <v>19927.25</v>
      </c>
      <c r="U116" s="55">
        <v>0</v>
      </c>
    </row>
    <row r="117" spans="2:21" x14ac:dyDescent="0.25">
      <c r="B117" s="59" t="s">
        <v>521</v>
      </c>
      <c r="C117" s="60">
        <v>-356082.49</v>
      </c>
      <c r="D117" s="60">
        <v>11512.38</v>
      </c>
      <c r="E117" s="60">
        <v>-629533.61</v>
      </c>
      <c r="F117" s="61">
        <v>0</v>
      </c>
      <c r="G117" s="61">
        <v>0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0">
        <v>-974103.72</v>
      </c>
      <c r="P117" s="60">
        <v>-697739.25</v>
      </c>
      <c r="Q117" s="60">
        <v>276364.46999999997</v>
      </c>
      <c r="R117" s="60">
        <v>-1736071.6</v>
      </c>
      <c r="S117" s="60">
        <v>-39.608600000000003</v>
      </c>
      <c r="T117" s="60">
        <v>-228247.25</v>
      </c>
      <c r="U117" s="61">
        <v>0</v>
      </c>
    </row>
    <row r="118" spans="2:21" x14ac:dyDescent="0.25">
      <c r="B118" s="53" t="s">
        <v>522</v>
      </c>
      <c r="C118" s="54">
        <v>25517.201000000001</v>
      </c>
      <c r="D118" s="54">
        <v>18230.481100000001</v>
      </c>
      <c r="E118" s="54">
        <v>35123.126499999998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4">
        <v>78870.808600000004</v>
      </c>
      <c r="P118" s="54">
        <v>22972.201000000001</v>
      </c>
      <c r="Q118" s="54">
        <v>-55898.607600000003</v>
      </c>
      <c r="R118" s="54">
        <v>19487.497500000001</v>
      </c>
      <c r="S118" s="54">
        <v>-243.33150000000001</v>
      </c>
      <c r="T118" s="54">
        <v>22231.1623</v>
      </c>
      <c r="U118" s="55">
        <v>0</v>
      </c>
    </row>
    <row r="119" spans="2:21" x14ac:dyDescent="0.25">
      <c r="B119" s="53" t="s">
        <v>446</v>
      </c>
      <c r="C119" s="54">
        <v>-9451.9689999999991</v>
      </c>
      <c r="D119" s="54">
        <v>-13639.142900000001</v>
      </c>
      <c r="E119" s="54">
        <v>-10253.1242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4">
        <v>-33344.236100000002</v>
      </c>
      <c r="P119" s="54">
        <v>-10449.827799999999</v>
      </c>
      <c r="Q119" s="54">
        <v>22894.408299999999</v>
      </c>
      <c r="R119" s="54">
        <v>-10152.0967</v>
      </c>
      <c r="S119" s="54">
        <v>-219.0889</v>
      </c>
      <c r="T119" s="54">
        <v>-10239.0571</v>
      </c>
      <c r="U119" s="55">
        <v>0</v>
      </c>
    </row>
    <row r="120" spans="2:21" x14ac:dyDescent="0.25">
      <c r="B120" s="53" t="s">
        <v>447</v>
      </c>
      <c r="C120" s="54">
        <v>-8146.5445</v>
      </c>
      <c r="D120" s="54">
        <v>-12193.8511</v>
      </c>
      <c r="E120" s="54">
        <v>-8947.6996999999992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4">
        <v>-29288.095300000001</v>
      </c>
      <c r="P120" s="54">
        <v>-9100.8891000000003</v>
      </c>
      <c r="Q120" s="54">
        <v>20187.206200000001</v>
      </c>
      <c r="R120" s="54">
        <v>-8821.6366999999991</v>
      </c>
      <c r="S120" s="54">
        <v>-221.8158</v>
      </c>
      <c r="T120" s="54">
        <v>-8933.6326000000008</v>
      </c>
      <c r="U120" s="55">
        <v>0</v>
      </c>
    </row>
    <row r="121" spans="2:21" x14ac:dyDescent="0.25">
      <c r="B121" s="53" t="s">
        <v>448</v>
      </c>
      <c r="C121" s="54">
        <v>12032.8894</v>
      </c>
      <c r="D121" s="54">
        <v>135.2011</v>
      </c>
      <c r="E121" s="54">
        <v>20841.9287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4">
        <v>33010.019200000002</v>
      </c>
      <c r="P121" s="54">
        <v>8403.0146000000004</v>
      </c>
      <c r="Q121" s="54">
        <v>-24607.0046</v>
      </c>
      <c r="R121" s="54">
        <v>5272.4717000000001</v>
      </c>
      <c r="S121" s="54">
        <v>-292.83539999999999</v>
      </c>
      <c r="T121" s="54">
        <v>8005.6289999999999</v>
      </c>
      <c r="U121" s="55">
        <v>0</v>
      </c>
    </row>
    <row r="122" spans="2:21" x14ac:dyDescent="0.25">
      <c r="B122" s="56" t="s">
        <v>523</v>
      </c>
      <c r="C122" s="58">
        <v>-31</v>
      </c>
      <c r="D122" s="58">
        <v>-28</v>
      </c>
      <c r="E122" s="58">
        <v>-31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8">
        <v>-90</v>
      </c>
      <c r="P122" s="58">
        <v>-90</v>
      </c>
      <c r="Q122" s="57">
        <v>0</v>
      </c>
      <c r="R122" s="58">
        <v>-365</v>
      </c>
      <c r="S122" s="57">
        <v>0</v>
      </c>
      <c r="T122" s="58">
        <v>-31</v>
      </c>
      <c r="U122" s="57">
        <v>0</v>
      </c>
    </row>
    <row r="123" spans="2:21" x14ac:dyDescent="0.25">
      <c r="B123" s="56" t="s">
        <v>524</v>
      </c>
      <c r="C123" s="58">
        <v>-31</v>
      </c>
      <c r="D123" s="58">
        <v>-28</v>
      </c>
      <c r="E123" s="58">
        <v>-31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8">
        <v>-90</v>
      </c>
      <c r="P123" s="58">
        <v>-90</v>
      </c>
      <c r="Q123" s="57">
        <v>0</v>
      </c>
      <c r="R123" s="58">
        <v>-365</v>
      </c>
      <c r="S123" s="57">
        <v>0</v>
      </c>
      <c r="T123" s="58">
        <v>-31</v>
      </c>
      <c r="U123" s="57">
        <v>0</v>
      </c>
    </row>
    <row r="124" spans="2:21" x14ac:dyDescent="0.25">
      <c r="B124" s="56" t="s">
        <v>449</v>
      </c>
      <c r="C124" s="58">
        <v>-3</v>
      </c>
      <c r="D124" s="58">
        <v>-3</v>
      </c>
      <c r="E124" s="58">
        <v>-3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8">
        <v>-9</v>
      </c>
      <c r="P124" s="57">
        <v>0</v>
      </c>
      <c r="Q124" s="58">
        <v>9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5">
      <c r="B125" s="59" t="s">
        <v>450</v>
      </c>
      <c r="C125" s="60">
        <v>-537590.65</v>
      </c>
      <c r="D125" s="60">
        <v>-168454.17</v>
      </c>
      <c r="E125" s="60">
        <v>-810803.72</v>
      </c>
      <c r="F125" s="61">
        <v>0</v>
      </c>
      <c r="G125" s="61">
        <v>0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0">
        <v>-1516848.54</v>
      </c>
      <c r="P125" s="60">
        <v>-1247890.52</v>
      </c>
      <c r="Q125" s="60">
        <v>268958.02</v>
      </c>
      <c r="R125" s="60">
        <v>-3890929.02</v>
      </c>
      <c r="S125" s="60">
        <v>-21.553000000000001</v>
      </c>
      <c r="T125" s="60">
        <v>-412047.57</v>
      </c>
      <c r="U125" s="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896E-7A86-4D66-9A49-58D70DA61C4E}">
  <sheetPr codeName="Hoja9"/>
  <dimension ref="B2:U134"/>
  <sheetViews>
    <sheetView workbookViewId="0">
      <selection sqref="A1:U134"/>
    </sheetView>
  </sheetViews>
  <sheetFormatPr baseColWidth="10" defaultRowHeight="13.2" x14ac:dyDescent="0.25"/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4">
        <v>-9188731.9600000009</v>
      </c>
      <c r="M3" s="54">
        <v>-685632.22</v>
      </c>
      <c r="N3" s="55">
        <v>0</v>
      </c>
      <c r="O3" s="54">
        <v>-9874364.1799999997</v>
      </c>
      <c r="P3" s="54">
        <v>-9531536.3499999996</v>
      </c>
      <c r="Q3" s="54">
        <v>342827.83</v>
      </c>
      <c r="R3" s="54">
        <v>-10570994.199999999</v>
      </c>
      <c r="S3" s="54">
        <v>-3.5968</v>
      </c>
      <c r="T3" s="54">
        <v>-994882.85</v>
      </c>
      <c r="U3" s="55">
        <v>0</v>
      </c>
    </row>
    <row r="4" spans="2:21" x14ac:dyDescent="0.25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-7659375</v>
      </c>
      <c r="Q4" s="58">
        <v>-7659375</v>
      </c>
      <c r="R4" s="58">
        <v>-8535000</v>
      </c>
      <c r="S4" s="58">
        <v>100</v>
      </c>
      <c r="T4" s="58">
        <v>-814050</v>
      </c>
      <c r="U4" s="57">
        <v>0</v>
      </c>
    </row>
    <row r="5" spans="2:21" x14ac:dyDescent="0.25">
      <c r="B5" s="56" t="s">
        <v>470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8">
        <v>-6495536.29</v>
      </c>
      <c r="M5" s="58">
        <v>-306386.56</v>
      </c>
      <c r="N5" s="57">
        <v>0</v>
      </c>
      <c r="O5" s="58">
        <v>-6801922.8499999996</v>
      </c>
      <c r="P5" s="57">
        <v>0</v>
      </c>
      <c r="Q5" s="58">
        <v>6801922.8499999996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371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4">
        <v>-6495536.29</v>
      </c>
      <c r="M6" s="54">
        <v>-306386.56</v>
      </c>
      <c r="N6" s="55">
        <v>0</v>
      </c>
      <c r="O6" s="54">
        <v>-6801922.8499999996</v>
      </c>
      <c r="P6" s="54">
        <v>-7659375</v>
      </c>
      <c r="Q6" s="54">
        <v>-857452.15</v>
      </c>
      <c r="R6" s="54">
        <v>-8535000</v>
      </c>
      <c r="S6" s="54">
        <v>11.194800000000001</v>
      </c>
      <c r="T6" s="54">
        <v>-814050</v>
      </c>
      <c r="U6" s="55">
        <v>0</v>
      </c>
    </row>
    <row r="7" spans="2:21" x14ac:dyDescent="0.25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-1329161.3500000001</v>
      </c>
      <c r="Q7" s="58">
        <v>-1329161.3500000001</v>
      </c>
      <c r="R7" s="58">
        <v>-1449994.2</v>
      </c>
      <c r="S7" s="58">
        <v>100</v>
      </c>
      <c r="T7" s="58">
        <v>-120832.85</v>
      </c>
      <c r="U7" s="57">
        <v>0</v>
      </c>
    </row>
    <row r="8" spans="2:21" x14ac:dyDescent="0.25">
      <c r="B8" s="56" t="s">
        <v>471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-121922.94</v>
      </c>
      <c r="M8" s="58">
        <v>110941.22</v>
      </c>
      <c r="N8" s="57">
        <v>0</v>
      </c>
      <c r="O8" s="58">
        <v>-10981.72</v>
      </c>
      <c r="P8" s="57">
        <v>0</v>
      </c>
      <c r="Q8" s="58">
        <v>10981.72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5">
      <c r="B9" s="56" t="s">
        <v>373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-2232862.1</v>
      </c>
      <c r="M9" s="58">
        <v>-451389.86</v>
      </c>
      <c r="N9" s="57">
        <v>0</v>
      </c>
      <c r="O9" s="58">
        <v>-2684251.96</v>
      </c>
      <c r="P9" s="57">
        <v>0</v>
      </c>
      <c r="Q9" s="58">
        <v>2684251.96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374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-2354785.04</v>
      </c>
      <c r="M10" s="54">
        <v>-340448.64</v>
      </c>
      <c r="N10" s="55">
        <v>0</v>
      </c>
      <c r="O10" s="54">
        <v>-2695233.68</v>
      </c>
      <c r="P10" s="54">
        <v>-1329161.3500000001</v>
      </c>
      <c r="Q10" s="54">
        <v>1366072.33</v>
      </c>
      <c r="R10" s="54">
        <v>-1449994.2</v>
      </c>
      <c r="S10" s="54">
        <v>-102.777</v>
      </c>
      <c r="T10" s="54">
        <v>-120832.85</v>
      </c>
      <c r="U10" s="55">
        <v>0</v>
      </c>
    </row>
    <row r="11" spans="2:21" x14ac:dyDescent="0.25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-543000</v>
      </c>
      <c r="Q11" s="58">
        <v>-543000</v>
      </c>
      <c r="R11" s="58">
        <v>-586000</v>
      </c>
      <c r="S11" s="58">
        <v>100</v>
      </c>
      <c r="T11" s="58">
        <v>-60000</v>
      </c>
      <c r="U11" s="57">
        <v>0</v>
      </c>
    </row>
    <row r="12" spans="2:21" x14ac:dyDescent="0.25">
      <c r="B12" s="56" t="s">
        <v>473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8">
        <v>7510</v>
      </c>
      <c r="M12" s="58">
        <v>-9904</v>
      </c>
      <c r="N12" s="57">
        <v>0</v>
      </c>
      <c r="O12" s="58">
        <v>-2394</v>
      </c>
      <c r="P12" s="57">
        <v>0</v>
      </c>
      <c r="Q12" s="58">
        <v>2394</v>
      </c>
      <c r="R12" s="57">
        <v>0</v>
      </c>
      <c r="S12" s="57">
        <v>0</v>
      </c>
      <c r="T12" s="57">
        <v>0</v>
      </c>
      <c r="U12" s="57">
        <v>0</v>
      </c>
    </row>
    <row r="13" spans="2:21" x14ac:dyDescent="0.25">
      <c r="B13" s="56" t="s">
        <v>474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8">
        <v>-345920.63</v>
      </c>
      <c r="M13" s="58">
        <v>-28893.02</v>
      </c>
      <c r="N13" s="57">
        <v>0</v>
      </c>
      <c r="O13" s="58">
        <v>-374813.65</v>
      </c>
      <c r="P13" s="57">
        <v>0</v>
      </c>
      <c r="Q13" s="58">
        <v>374813.65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5">
      <c r="B14" s="53" t="s">
        <v>375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4">
        <v>-338410.63</v>
      </c>
      <c r="M14" s="54">
        <v>-38797.019999999997</v>
      </c>
      <c r="N14" s="55">
        <v>0</v>
      </c>
      <c r="O14" s="54">
        <v>-377207.65</v>
      </c>
      <c r="P14" s="54">
        <v>-543000</v>
      </c>
      <c r="Q14" s="54">
        <v>-165792.35</v>
      </c>
      <c r="R14" s="54">
        <v>-586000</v>
      </c>
      <c r="S14" s="54">
        <v>30.532699999999998</v>
      </c>
      <c r="T14" s="54">
        <v>-60000</v>
      </c>
      <c r="U14" s="55">
        <v>0</v>
      </c>
    </row>
    <row r="15" spans="2:21" x14ac:dyDescent="0.25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377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4">
        <v>2785634.4</v>
      </c>
      <c r="M16" s="54">
        <v>190862.07</v>
      </c>
      <c r="N16" s="55">
        <v>0</v>
      </c>
      <c r="O16" s="54">
        <v>2976496.47</v>
      </c>
      <c r="P16" s="54">
        <v>3188798.13</v>
      </c>
      <c r="Q16" s="54">
        <v>212301.66</v>
      </c>
      <c r="R16" s="54">
        <v>3556505.01</v>
      </c>
      <c r="S16" s="54">
        <v>6.6577000000000002</v>
      </c>
      <c r="T16" s="54">
        <v>338530.95</v>
      </c>
      <c r="U16" s="55">
        <v>0</v>
      </c>
    </row>
    <row r="17" spans="2:21" x14ac:dyDescent="0.25">
      <c r="B17" s="56" t="s">
        <v>378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8">
        <v>1252394.8400000001</v>
      </c>
      <c r="M17" s="58">
        <v>116643.21</v>
      </c>
      <c r="N17" s="57">
        <v>0</v>
      </c>
      <c r="O17" s="58">
        <v>1369038.05</v>
      </c>
      <c r="P17" s="58">
        <v>1300798.1299999999</v>
      </c>
      <c r="Q17" s="58">
        <v>-68239.92</v>
      </c>
      <c r="R17" s="58">
        <v>1455505.01</v>
      </c>
      <c r="S17" s="58">
        <v>-5.2460000000000004</v>
      </c>
      <c r="T17" s="58">
        <v>137530.95000000001</v>
      </c>
      <c r="U17" s="57">
        <v>0</v>
      </c>
    </row>
    <row r="18" spans="2:21" x14ac:dyDescent="0.25">
      <c r="B18" s="53" t="s">
        <v>379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1252394.8400000001</v>
      </c>
      <c r="M18" s="54">
        <v>116643.21</v>
      </c>
      <c r="N18" s="55">
        <v>0</v>
      </c>
      <c r="O18" s="54">
        <v>1369038.05</v>
      </c>
      <c r="P18" s="54">
        <v>1300798.1299999999</v>
      </c>
      <c r="Q18" s="54">
        <v>-68239.92</v>
      </c>
      <c r="R18" s="54">
        <v>1455505.01</v>
      </c>
      <c r="S18" s="54">
        <v>-5.2460000000000004</v>
      </c>
      <c r="T18" s="54">
        <v>137530.95000000001</v>
      </c>
      <c r="U18" s="55">
        <v>0</v>
      </c>
    </row>
    <row r="19" spans="2:21" x14ac:dyDescent="0.25">
      <c r="B19" s="56" t="s">
        <v>476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1492152.83</v>
      </c>
      <c r="M19" s="58">
        <v>107880.52</v>
      </c>
      <c r="N19" s="57">
        <v>0</v>
      </c>
      <c r="O19" s="58">
        <v>1600033.35</v>
      </c>
      <c r="P19" s="57">
        <v>0</v>
      </c>
      <c r="Q19" s="58">
        <v>-1600033.35</v>
      </c>
      <c r="R19" s="57">
        <v>0</v>
      </c>
      <c r="S19" s="57">
        <v>0</v>
      </c>
      <c r="T19" s="57">
        <v>0</v>
      </c>
      <c r="U19" s="57">
        <v>0</v>
      </c>
    </row>
    <row r="20" spans="2:21" x14ac:dyDescent="0.25">
      <c r="B20" s="56" t="s">
        <v>380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8">
        <v>41086.730000000003</v>
      </c>
      <c r="M20" s="58">
        <v>-33661.660000000003</v>
      </c>
      <c r="N20" s="57">
        <v>0</v>
      </c>
      <c r="O20" s="58">
        <v>7425.07</v>
      </c>
      <c r="P20" s="58">
        <v>1888000</v>
      </c>
      <c r="Q20" s="58">
        <v>1880574.93</v>
      </c>
      <c r="R20" s="58">
        <v>2101000</v>
      </c>
      <c r="S20" s="58">
        <v>99.606700000000004</v>
      </c>
      <c r="T20" s="58">
        <v>201000</v>
      </c>
      <c r="U20" s="57">
        <v>0</v>
      </c>
    </row>
    <row r="21" spans="2:21" x14ac:dyDescent="0.25">
      <c r="B21" s="53" t="s">
        <v>381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4">
        <v>1533239.56</v>
      </c>
      <c r="M21" s="54">
        <v>74218.86</v>
      </c>
      <c r="N21" s="55">
        <v>0</v>
      </c>
      <c r="O21" s="54">
        <v>1607458.42</v>
      </c>
      <c r="P21" s="54">
        <v>1888000</v>
      </c>
      <c r="Q21" s="54">
        <v>280541.58</v>
      </c>
      <c r="R21" s="54">
        <v>2101000</v>
      </c>
      <c r="S21" s="54">
        <v>14.8592</v>
      </c>
      <c r="T21" s="54">
        <v>201000</v>
      </c>
      <c r="U21" s="55">
        <v>0</v>
      </c>
    </row>
    <row r="22" spans="2:21" x14ac:dyDescent="0.25">
      <c r="B22" s="53" t="s">
        <v>384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4">
        <v>-6403097.5599999996</v>
      </c>
      <c r="M22" s="54">
        <v>-494770.15</v>
      </c>
      <c r="N22" s="55">
        <v>0</v>
      </c>
      <c r="O22" s="54">
        <v>-6897867.71</v>
      </c>
      <c r="P22" s="54">
        <v>-6342738.2199999997</v>
      </c>
      <c r="Q22" s="54">
        <v>555129.49</v>
      </c>
      <c r="R22" s="54">
        <v>-7014489.1900000004</v>
      </c>
      <c r="S22" s="54">
        <v>-8.7522000000000002</v>
      </c>
      <c r="T22" s="54">
        <v>-656351.9</v>
      </c>
      <c r="U22" s="55">
        <v>0</v>
      </c>
    </row>
    <row r="23" spans="2:21" x14ac:dyDescent="0.25">
      <c r="B23" s="53" t="s">
        <v>385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4">
        <v>-6403097.5599999996</v>
      </c>
      <c r="M23" s="54">
        <v>-494770.15</v>
      </c>
      <c r="N23" s="55">
        <v>0</v>
      </c>
      <c r="O23" s="54">
        <v>-6897867.71</v>
      </c>
      <c r="P23" s="54">
        <v>-6342738.2199999997</v>
      </c>
      <c r="Q23" s="54">
        <v>555129.49</v>
      </c>
      <c r="R23" s="54">
        <v>-7014489.1900000004</v>
      </c>
      <c r="S23" s="54">
        <v>-8.7522000000000002</v>
      </c>
      <c r="T23" s="54">
        <v>-656351.9</v>
      </c>
      <c r="U23" s="55">
        <v>0</v>
      </c>
    </row>
    <row r="24" spans="2:21" x14ac:dyDescent="0.25">
      <c r="B24" s="53" t="s">
        <v>386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4">
        <v>1662309.96</v>
      </c>
      <c r="M24" s="54">
        <v>165016.70000000001</v>
      </c>
      <c r="N24" s="55">
        <v>0</v>
      </c>
      <c r="O24" s="54">
        <v>1827326.66</v>
      </c>
      <c r="P24" s="54">
        <v>1687078.08</v>
      </c>
      <c r="Q24" s="54">
        <v>-140248.57999999999</v>
      </c>
      <c r="R24" s="54">
        <v>1836835.44</v>
      </c>
      <c r="S24" s="54">
        <v>-8.3131000000000004</v>
      </c>
      <c r="T24" s="54">
        <v>149757.35999999999</v>
      </c>
      <c r="U24" s="55">
        <v>0</v>
      </c>
    </row>
    <row r="25" spans="2:21" x14ac:dyDescent="0.25">
      <c r="B25" s="56" t="s">
        <v>387</v>
      </c>
      <c r="C25" s="57">
        <v>0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8">
        <v>91141.79</v>
      </c>
      <c r="M25" s="58">
        <v>-6394.35</v>
      </c>
      <c r="N25" s="57">
        <v>0</v>
      </c>
      <c r="O25" s="58">
        <v>84747.44</v>
      </c>
      <c r="P25" s="57">
        <v>0</v>
      </c>
      <c r="Q25" s="58">
        <v>-84747.44</v>
      </c>
      <c r="R25" s="57">
        <v>0</v>
      </c>
      <c r="S25" s="57">
        <v>0</v>
      </c>
      <c r="T25" s="57">
        <v>0</v>
      </c>
      <c r="U25" s="57">
        <v>0</v>
      </c>
    </row>
    <row r="26" spans="2:21" x14ac:dyDescent="0.25">
      <c r="B26" s="56" t="s">
        <v>388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8">
        <v>778286.73</v>
      </c>
      <c r="M26" s="58">
        <v>80502.91</v>
      </c>
      <c r="N26" s="57">
        <v>0</v>
      </c>
      <c r="O26" s="58">
        <v>858789.64</v>
      </c>
      <c r="P26" s="58">
        <v>933924.36</v>
      </c>
      <c r="Q26" s="58">
        <v>75134.720000000001</v>
      </c>
      <c r="R26" s="58">
        <v>1015213.2</v>
      </c>
      <c r="S26" s="58">
        <v>8.0450999999999997</v>
      </c>
      <c r="T26" s="58">
        <v>81288.84</v>
      </c>
      <c r="U26" s="57">
        <v>0</v>
      </c>
    </row>
    <row r="27" spans="2:21" x14ac:dyDescent="0.25">
      <c r="B27" s="56" t="s">
        <v>389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8">
        <v>83045.440000000002</v>
      </c>
      <c r="M27" s="58">
        <v>8897.39</v>
      </c>
      <c r="N27" s="57">
        <v>0</v>
      </c>
      <c r="O27" s="58">
        <v>91942.83</v>
      </c>
      <c r="P27" s="57">
        <v>0</v>
      </c>
      <c r="Q27" s="58">
        <v>-91942.83</v>
      </c>
      <c r="R27" s="57">
        <v>0</v>
      </c>
      <c r="S27" s="57">
        <v>0</v>
      </c>
      <c r="T27" s="57">
        <v>0</v>
      </c>
      <c r="U27" s="57">
        <v>0</v>
      </c>
    </row>
    <row r="28" spans="2:21" x14ac:dyDescent="0.25">
      <c r="B28" s="56" t="s">
        <v>480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8">
        <v>2112.16</v>
      </c>
      <c r="M28" s="58">
        <v>290.77</v>
      </c>
      <c r="N28" s="57">
        <v>0</v>
      </c>
      <c r="O28" s="58">
        <v>2402.9299999999998</v>
      </c>
      <c r="P28" s="57">
        <v>0</v>
      </c>
      <c r="Q28" s="58">
        <v>-2402.9299999999998</v>
      </c>
      <c r="R28" s="57">
        <v>0</v>
      </c>
      <c r="S28" s="57">
        <v>0</v>
      </c>
      <c r="T28" s="57">
        <v>0</v>
      </c>
      <c r="U28" s="57">
        <v>0</v>
      </c>
    </row>
    <row r="29" spans="2:21" x14ac:dyDescent="0.25">
      <c r="B29" s="53" t="s">
        <v>390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4">
        <v>954586.12</v>
      </c>
      <c r="M29" s="54">
        <v>83296.72</v>
      </c>
      <c r="N29" s="55">
        <v>0</v>
      </c>
      <c r="O29" s="54">
        <v>1037882.84</v>
      </c>
      <c r="P29" s="54">
        <v>933924.36</v>
      </c>
      <c r="Q29" s="54">
        <v>-103958.48</v>
      </c>
      <c r="R29" s="54">
        <v>1015213.2</v>
      </c>
      <c r="S29" s="54">
        <v>-11.131399999999999</v>
      </c>
      <c r="T29" s="54">
        <v>81288.84</v>
      </c>
      <c r="U29" s="55">
        <v>0</v>
      </c>
    </row>
    <row r="30" spans="2:21" x14ac:dyDescent="0.25">
      <c r="B30" s="56" t="s">
        <v>391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8">
        <v>55923.51</v>
      </c>
      <c r="M30" s="58">
        <v>9850.16</v>
      </c>
      <c r="N30" s="57">
        <v>0</v>
      </c>
      <c r="O30" s="58">
        <v>65773.67</v>
      </c>
      <c r="P30" s="58">
        <v>74327.11</v>
      </c>
      <c r="Q30" s="58">
        <v>8553.44</v>
      </c>
      <c r="R30" s="58">
        <v>81084.12</v>
      </c>
      <c r="S30" s="58">
        <v>11.5078</v>
      </c>
      <c r="T30" s="58">
        <v>6757.01</v>
      </c>
      <c r="U30" s="57">
        <v>0</v>
      </c>
    </row>
    <row r="31" spans="2:21" x14ac:dyDescent="0.25">
      <c r="B31" s="53" t="s">
        <v>392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4">
        <v>55923.51</v>
      </c>
      <c r="M31" s="54">
        <v>9850.16</v>
      </c>
      <c r="N31" s="55">
        <v>0</v>
      </c>
      <c r="O31" s="54">
        <v>65773.67</v>
      </c>
      <c r="P31" s="54">
        <v>74327.11</v>
      </c>
      <c r="Q31" s="54">
        <v>8553.44</v>
      </c>
      <c r="R31" s="54">
        <v>81084.12</v>
      </c>
      <c r="S31" s="54">
        <v>11.5078</v>
      </c>
      <c r="T31" s="54">
        <v>6757.01</v>
      </c>
      <c r="U31" s="55">
        <v>0</v>
      </c>
    </row>
    <row r="32" spans="2:21" x14ac:dyDescent="0.25">
      <c r="B32" s="56" t="s">
        <v>481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8">
        <v>24110.240000000002</v>
      </c>
      <c r="M32" s="57">
        <v>0</v>
      </c>
      <c r="N32" s="57">
        <v>0</v>
      </c>
      <c r="O32" s="58">
        <v>24110.240000000002</v>
      </c>
      <c r="P32" s="58">
        <v>153026.39000000001</v>
      </c>
      <c r="Q32" s="58">
        <v>128916.15</v>
      </c>
      <c r="R32" s="58">
        <v>166937.88</v>
      </c>
      <c r="S32" s="58">
        <v>84.244399999999999</v>
      </c>
      <c r="T32" s="58">
        <v>13911.49</v>
      </c>
      <c r="U32" s="57">
        <v>0</v>
      </c>
    </row>
    <row r="33" spans="2:21" x14ac:dyDescent="0.25">
      <c r="B33" s="56" t="s">
        <v>482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127828.83</v>
      </c>
      <c r="M33" s="58">
        <v>15694.52</v>
      </c>
      <c r="N33" s="57">
        <v>0</v>
      </c>
      <c r="O33" s="58">
        <v>143523.35</v>
      </c>
      <c r="P33" s="57">
        <v>0</v>
      </c>
      <c r="Q33" s="58">
        <v>-143523.35</v>
      </c>
      <c r="R33" s="57">
        <v>0</v>
      </c>
      <c r="S33" s="57">
        <v>0</v>
      </c>
      <c r="T33" s="57">
        <v>0</v>
      </c>
      <c r="U33" s="57">
        <v>0</v>
      </c>
    </row>
    <row r="34" spans="2:21" x14ac:dyDescent="0.25">
      <c r="B34" s="53" t="s">
        <v>393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4">
        <v>151939.07</v>
      </c>
      <c r="M34" s="54">
        <v>15694.52</v>
      </c>
      <c r="N34" s="55">
        <v>0</v>
      </c>
      <c r="O34" s="54">
        <v>167633.59</v>
      </c>
      <c r="P34" s="54">
        <v>153026.39000000001</v>
      </c>
      <c r="Q34" s="54">
        <v>-14607.2</v>
      </c>
      <c r="R34" s="54">
        <v>166937.88</v>
      </c>
      <c r="S34" s="54">
        <v>-9.5455000000000005</v>
      </c>
      <c r="T34" s="54">
        <v>13911.49</v>
      </c>
      <c r="U34" s="55">
        <v>0</v>
      </c>
    </row>
    <row r="35" spans="2:21" x14ac:dyDescent="0.25">
      <c r="B35" s="56" t="s">
        <v>394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8">
        <v>70942.64</v>
      </c>
      <c r="M35" s="58">
        <v>7080.1</v>
      </c>
      <c r="N35" s="57">
        <v>0</v>
      </c>
      <c r="O35" s="58">
        <v>78022.740000000005</v>
      </c>
      <c r="P35" s="58">
        <v>85014.6</v>
      </c>
      <c r="Q35" s="58">
        <v>6991.86</v>
      </c>
      <c r="R35" s="58">
        <v>92743.2</v>
      </c>
      <c r="S35" s="58">
        <v>8.2242999999999995</v>
      </c>
      <c r="T35" s="58">
        <v>7728.6</v>
      </c>
      <c r="U35" s="57">
        <v>0</v>
      </c>
    </row>
    <row r="36" spans="2:21" x14ac:dyDescent="0.25">
      <c r="B36" s="53" t="s">
        <v>395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4">
        <v>70942.64</v>
      </c>
      <c r="M36" s="54">
        <v>7080.1</v>
      </c>
      <c r="N36" s="55">
        <v>0</v>
      </c>
      <c r="O36" s="54">
        <v>78022.740000000005</v>
      </c>
      <c r="P36" s="54">
        <v>85014.6</v>
      </c>
      <c r="Q36" s="54">
        <v>6991.86</v>
      </c>
      <c r="R36" s="54">
        <v>92743.2</v>
      </c>
      <c r="S36" s="54">
        <v>8.2242999999999995</v>
      </c>
      <c r="T36" s="54">
        <v>7728.6</v>
      </c>
      <c r="U36" s="55">
        <v>0</v>
      </c>
    </row>
    <row r="37" spans="2:21" x14ac:dyDescent="0.25">
      <c r="B37" s="56" t="s">
        <v>396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8">
        <v>64118.22</v>
      </c>
      <c r="M37" s="58">
        <v>6924.35</v>
      </c>
      <c r="N37" s="57">
        <v>0</v>
      </c>
      <c r="O37" s="58">
        <v>71042.570000000007</v>
      </c>
      <c r="P37" s="58">
        <v>66143.88</v>
      </c>
      <c r="Q37" s="58">
        <v>-4898.6899999999996</v>
      </c>
      <c r="R37" s="58">
        <v>72156.960000000006</v>
      </c>
      <c r="S37" s="58">
        <v>-7.4061000000000003</v>
      </c>
      <c r="T37" s="58">
        <v>6013.08</v>
      </c>
      <c r="U37" s="57">
        <v>0</v>
      </c>
    </row>
    <row r="38" spans="2:21" x14ac:dyDescent="0.25">
      <c r="B38" s="53" t="s">
        <v>397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4">
        <v>64118.22</v>
      </c>
      <c r="M38" s="54">
        <v>6924.35</v>
      </c>
      <c r="N38" s="55">
        <v>0</v>
      </c>
      <c r="O38" s="54">
        <v>71042.570000000007</v>
      </c>
      <c r="P38" s="54">
        <v>66143.88</v>
      </c>
      <c r="Q38" s="54">
        <v>-4898.6899999999996</v>
      </c>
      <c r="R38" s="54">
        <v>72156.960000000006</v>
      </c>
      <c r="S38" s="54">
        <v>-7.4061000000000003</v>
      </c>
      <c r="T38" s="54">
        <v>6013.08</v>
      </c>
      <c r="U38" s="55">
        <v>0</v>
      </c>
    </row>
    <row r="39" spans="2:21" x14ac:dyDescent="0.25">
      <c r="B39" s="56" t="s">
        <v>483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8">
        <v>28908.35</v>
      </c>
      <c r="M39" s="58">
        <v>53.2</v>
      </c>
      <c r="N39" s="57">
        <v>0</v>
      </c>
      <c r="O39" s="58">
        <v>28961.55</v>
      </c>
      <c r="P39" s="58">
        <v>39600</v>
      </c>
      <c r="Q39" s="58">
        <v>10638.45</v>
      </c>
      <c r="R39" s="58">
        <v>43200</v>
      </c>
      <c r="S39" s="58">
        <v>26.864799999999999</v>
      </c>
      <c r="T39" s="58">
        <v>3600</v>
      </c>
      <c r="U39" s="57">
        <v>0</v>
      </c>
    </row>
    <row r="40" spans="2:21" x14ac:dyDescent="0.25">
      <c r="B40" s="56" t="s">
        <v>398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8">
        <v>29311.56</v>
      </c>
      <c r="M40" s="58">
        <v>240.19</v>
      </c>
      <c r="N40" s="57">
        <v>0</v>
      </c>
      <c r="O40" s="58">
        <v>29551.75</v>
      </c>
      <c r="P40" s="57">
        <v>0</v>
      </c>
      <c r="Q40" s="58">
        <v>-29551.75</v>
      </c>
      <c r="R40" s="57">
        <v>0</v>
      </c>
      <c r="S40" s="57">
        <v>0</v>
      </c>
      <c r="T40" s="57">
        <v>0</v>
      </c>
      <c r="U40" s="57">
        <v>0</v>
      </c>
    </row>
    <row r="41" spans="2:21" x14ac:dyDescent="0.25">
      <c r="B41" s="56" t="s">
        <v>484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8">
        <v>4289.2</v>
      </c>
      <c r="M41" s="57">
        <v>0</v>
      </c>
      <c r="N41" s="57">
        <v>0</v>
      </c>
      <c r="O41" s="58">
        <v>4289.2</v>
      </c>
      <c r="P41" s="57">
        <v>0</v>
      </c>
      <c r="Q41" s="58">
        <v>-4289.2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5">
      <c r="B42" s="53" t="s">
        <v>399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4">
        <v>62509.11</v>
      </c>
      <c r="M42" s="54">
        <v>293.39</v>
      </c>
      <c r="N42" s="55">
        <v>0</v>
      </c>
      <c r="O42" s="54">
        <v>62802.5</v>
      </c>
      <c r="P42" s="54">
        <v>39600</v>
      </c>
      <c r="Q42" s="54">
        <v>-23202.5</v>
      </c>
      <c r="R42" s="54">
        <v>43200</v>
      </c>
      <c r="S42" s="54">
        <v>-58.592199999999998</v>
      </c>
      <c r="T42" s="54">
        <v>3600</v>
      </c>
      <c r="U42" s="55">
        <v>0</v>
      </c>
    </row>
    <row r="43" spans="2:21" x14ac:dyDescent="0.25">
      <c r="B43" s="56" t="s">
        <v>400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8">
        <v>6873.58</v>
      </c>
      <c r="M43" s="58">
        <v>2801.81</v>
      </c>
      <c r="N43" s="57">
        <v>0</v>
      </c>
      <c r="O43" s="58">
        <v>9675.39</v>
      </c>
      <c r="P43" s="58">
        <v>9350</v>
      </c>
      <c r="Q43" s="58">
        <v>-325.39</v>
      </c>
      <c r="R43" s="58">
        <v>10200</v>
      </c>
      <c r="S43" s="58">
        <v>-3.4801000000000002</v>
      </c>
      <c r="T43" s="58">
        <v>850</v>
      </c>
      <c r="U43" s="57">
        <v>0</v>
      </c>
    </row>
    <row r="44" spans="2:21" x14ac:dyDescent="0.25">
      <c r="B44" s="53" t="s">
        <v>401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4">
        <v>6873.58</v>
      </c>
      <c r="M44" s="54">
        <v>2801.81</v>
      </c>
      <c r="N44" s="55">
        <v>0</v>
      </c>
      <c r="O44" s="54">
        <v>9675.39</v>
      </c>
      <c r="P44" s="54">
        <v>9350</v>
      </c>
      <c r="Q44" s="54">
        <v>-325.39</v>
      </c>
      <c r="R44" s="54">
        <v>10200</v>
      </c>
      <c r="S44" s="54">
        <v>-3.4801000000000002</v>
      </c>
      <c r="T44" s="54">
        <v>850</v>
      </c>
      <c r="U44" s="55">
        <v>0</v>
      </c>
    </row>
    <row r="45" spans="2:21" x14ac:dyDescent="0.25">
      <c r="B45" s="56" t="s">
        <v>402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8">
        <v>3475.18</v>
      </c>
      <c r="M45" s="57">
        <v>0</v>
      </c>
      <c r="N45" s="57">
        <v>0</v>
      </c>
      <c r="O45" s="58">
        <v>3475.18</v>
      </c>
      <c r="P45" s="58">
        <v>8800</v>
      </c>
      <c r="Q45" s="58">
        <v>5324.82</v>
      </c>
      <c r="R45" s="58">
        <v>9600</v>
      </c>
      <c r="S45" s="58">
        <v>60.509300000000003</v>
      </c>
      <c r="T45" s="58">
        <v>800</v>
      </c>
      <c r="U45" s="57">
        <v>0</v>
      </c>
    </row>
    <row r="46" spans="2:21" x14ac:dyDescent="0.25">
      <c r="B46" s="53" t="s">
        <v>403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4">
        <v>3475.18</v>
      </c>
      <c r="M46" s="55">
        <v>0</v>
      </c>
      <c r="N46" s="55">
        <v>0</v>
      </c>
      <c r="O46" s="54">
        <v>3475.18</v>
      </c>
      <c r="P46" s="54">
        <v>8800</v>
      </c>
      <c r="Q46" s="54">
        <v>5324.82</v>
      </c>
      <c r="R46" s="54">
        <v>9600</v>
      </c>
      <c r="S46" s="54">
        <v>60.509300000000003</v>
      </c>
      <c r="T46" s="54">
        <v>800</v>
      </c>
      <c r="U46" s="55">
        <v>0</v>
      </c>
    </row>
    <row r="47" spans="2:21" x14ac:dyDescent="0.25">
      <c r="B47" s="56" t="s">
        <v>485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8">
        <v>41418.53</v>
      </c>
      <c r="M47" s="58">
        <v>4913.3599999999997</v>
      </c>
      <c r="N47" s="57">
        <v>0</v>
      </c>
      <c r="O47" s="58">
        <v>46331.89</v>
      </c>
      <c r="P47" s="58">
        <v>79200</v>
      </c>
      <c r="Q47" s="58">
        <v>32868.11</v>
      </c>
      <c r="R47" s="58">
        <v>86400</v>
      </c>
      <c r="S47" s="58">
        <v>41.500100000000003</v>
      </c>
      <c r="T47" s="58">
        <v>7200</v>
      </c>
      <c r="U47" s="57">
        <v>0</v>
      </c>
    </row>
    <row r="48" spans="2:21" x14ac:dyDescent="0.25">
      <c r="B48" s="56" t="s">
        <v>486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8">
        <v>25917.18</v>
      </c>
      <c r="M48" s="58">
        <v>5693.45</v>
      </c>
      <c r="N48" s="57">
        <v>0</v>
      </c>
      <c r="O48" s="58">
        <v>31610.63</v>
      </c>
      <c r="P48" s="57">
        <v>0</v>
      </c>
      <c r="Q48" s="58">
        <v>-31610.63</v>
      </c>
      <c r="R48" s="57">
        <v>0</v>
      </c>
      <c r="S48" s="57">
        <v>0</v>
      </c>
      <c r="T48" s="57">
        <v>0</v>
      </c>
      <c r="U48" s="57">
        <v>0</v>
      </c>
    </row>
    <row r="49" spans="2:21" x14ac:dyDescent="0.25">
      <c r="B49" s="56" t="s">
        <v>487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8">
        <v>957.97</v>
      </c>
      <c r="M49" s="58">
        <v>70.3</v>
      </c>
      <c r="N49" s="57">
        <v>0</v>
      </c>
      <c r="O49" s="58">
        <v>1028.27</v>
      </c>
      <c r="P49" s="57">
        <v>0</v>
      </c>
      <c r="Q49" s="58">
        <v>-1028.27</v>
      </c>
      <c r="R49" s="57">
        <v>0</v>
      </c>
      <c r="S49" s="57">
        <v>0</v>
      </c>
      <c r="T49" s="57">
        <v>0</v>
      </c>
      <c r="U49" s="57">
        <v>0</v>
      </c>
    </row>
    <row r="50" spans="2:21" x14ac:dyDescent="0.25">
      <c r="B50" s="56" t="s">
        <v>488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8">
        <v>184.8</v>
      </c>
      <c r="M50" s="57">
        <v>0</v>
      </c>
      <c r="N50" s="57">
        <v>0</v>
      </c>
      <c r="O50" s="58">
        <v>184.8</v>
      </c>
      <c r="P50" s="57">
        <v>0</v>
      </c>
      <c r="Q50" s="58">
        <v>-184.8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5">
      <c r="B51" s="53" t="s">
        <v>404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4">
        <v>68478.48</v>
      </c>
      <c r="M51" s="54">
        <v>10677.11</v>
      </c>
      <c r="N51" s="55">
        <v>0</v>
      </c>
      <c r="O51" s="54">
        <v>79155.59</v>
      </c>
      <c r="P51" s="54">
        <v>79200</v>
      </c>
      <c r="Q51" s="54">
        <v>44.41</v>
      </c>
      <c r="R51" s="54">
        <v>86400</v>
      </c>
      <c r="S51" s="54">
        <v>5.6099999999999997E-2</v>
      </c>
      <c r="T51" s="54">
        <v>7200</v>
      </c>
      <c r="U51" s="55">
        <v>0</v>
      </c>
    </row>
    <row r="52" spans="2:21" x14ac:dyDescent="0.25">
      <c r="B52" s="56" t="s">
        <v>489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8">
        <v>2284.3000000000002</v>
      </c>
      <c r="M52" s="58">
        <v>845.35</v>
      </c>
      <c r="N52" s="57">
        <v>0</v>
      </c>
      <c r="O52" s="58">
        <v>3129.65</v>
      </c>
      <c r="P52" s="58">
        <v>143452.65</v>
      </c>
      <c r="Q52" s="58">
        <v>140323</v>
      </c>
      <c r="R52" s="58">
        <v>156493.79999999999</v>
      </c>
      <c r="S52" s="58">
        <v>97.818299999999994</v>
      </c>
      <c r="T52" s="58">
        <v>13041.15</v>
      </c>
      <c r="U52" s="57">
        <v>0</v>
      </c>
    </row>
    <row r="53" spans="2:21" x14ac:dyDescent="0.25">
      <c r="B53" s="56" t="s">
        <v>491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8">
        <v>140.72999999999999</v>
      </c>
      <c r="M53" s="57">
        <v>0</v>
      </c>
      <c r="N53" s="57">
        <v>0</v>
      </c>
      <c r="O53" s="58">
        <v>140.72999999999999</v>
      </c>
      <c r="P53" s="57">
        <v>0</v>
      </c>
      <c r="Q53" s="58">
        <v>-140.72999999999999</v>
      </c>
      <c r="R53" s="57">
        <v>0</v>
      </c>
      <c r="S53" s="57">
        <v>0</v>
      </c>
      <c r="T53" s="57">
        <v>0</v>
      </c>
      <c r="U53" s="57">
        <v>0</v>
      </c>
    </row>
    <row r="54" spans="2:21" x14ac:dyDescent="0.25">
      <c r="B54" s="56" t="s">
        <v>492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8">
        <v>112260.52</v>
      </c>
      <c r="M54" s="58">
        <v>10597.18</v>
      </c>
      <c r="N54" s="57">
        <v>0</v>
      </c>
      <c r="O54" s="58">
        <v>122857.7</v>
      </c>
      <c r="P54" s="57">
        <v>0</v>
      </c>
      <c r="Q54" s="58">
        <v>-122857.7</v>
      </c>
      <c r="R54" s="57">
        <v>0</v>
      </c>
      <c r="S54" s="57">
        <v>0</v>
      </c>
      <c r="T54" s="57">
        <v>0</v>
      </c>
      <c r="U54" s="57">
        <v>0</v>
      </c>
    </row>
    <row r="55" spans="2:21" x14ac:dyDescent="0.25">
      <c r="B55" s="53" t="s">
        <v>405</v>
      </c>
      <c r="C55" s="55">
        <v>0</v>
      </c>
      <c r="D55" s="55">
        <v>0</v>
      </c>
      <c r="E55" s="55">
        <v>0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4">
        <v>114685.55</v>
      </c>
      <c r="M55" s="54">
        <v>11442.53</v>
      </c>
      <c r="N55" s="55">
        <v>0</v>
      </c>
      <c r="O55" s="54">
        <v>126128.08</v>
      </c>
      <c r="P55" s="54">
        <v>143452.65</v>
      </c>
      <c r="Q55" s="54">
        <v>17324.57</v>
      </c>
      <c r="R55" s="54">
        <v>156493.79999999999</v>
      </c>
      <c r="S55" s="54">
        <v>12.0769</v>
      </c>
      <c r="T55" s="54">
        <v>13041.15</v>
      </c>
      <c r="U55" s="55">
        <v>0</v>
      </c>
    </row>
    <row r="56" spans="2:21" x14ac:dyDescent="0.25">
      <c r="B56" s="56" t="s">
        <v>493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108778.5</v>
      </c>
      <c r="M56" s="58">
        <v>16956.009999999998</v>
      </c>
      <c r="N56" s="57">
        <v>0</v>
      </c>
      <c r="O56" s="58">
        <v>125734.51</v>
      </c>
      <c r="P56" s="58">
        <v>94239.09</v>
      </c>
      <c r="Q56" s="58">
        <v>-31495.42</v>
      </c>
      <c r="R56" s="58">
        <v>102806.28</v>
      </c>
      <c r="S56" s="58">
        <v>-33.4208</v>
      </c>
      <c r="T56" s="58">
        <v>8567.19</v>
      </c>
      <c r="U56" s="57">
        <v>0</v>
      </c>
    </row>
    <row r="57" spans="2:21" x14ac:dyDescent="0.25">
      <c r="B57" s="53" t="s">
        <v>406</v>
      </c>
      <c r="C57" s="55">
        <v>0</v>
      </c>
      <c r="D57" s="55">
        <v>0</v>
      </c>
      <c r="E57" s="55">
        <v>0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4">
        <v>108778.5</v>
      </c>
      <c r="M57" s="54">
        <v>16956.009999999998</v>
      </c>
      <c r="N57" s="55">
        <v>0</v>
      </c>
      <c r="O57" s="54">
        <v>125734.51</v>
      </c>
      <c r="P57" s="54">
        <v>94239.09</v>
      </c>
      <c r="Q57" s="54">
        <v>-31495.42</v>
      </c>
      <c r="R57" s="54">
        <v>102806.28</v>
      </c>
      <c r="S57" s="54">
        <v>-33.4208</v>
      </c>
      <c r="T57" s="54">
        <v>8567.19</v>
      </c>
      <c r="U57" s="55">
        <v>0</v>
      </c>
    </row>
    <row r="58" spans="2:21" x14ac:dyDescent="0.25">
      <c r="B58" s="53" t="s">
        <v>407</v>
      </c>
      <c r="C58" s="55">
        <v>0</v>
      </c>
      <c r="D58" s="55">
        <v>0</v>
      </c>
      <c r="E58" s="55">
        <v>0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4">
        <v>760089.72</v>
      </c>
      <c r="M58" s="54">
        <v>92885.54</v>
      </c>
      <c r="N58" s="55">
        <v>0</v>
      </c>
      <c r="O58" s="54">
        <v>852975.26</v>
      </c>
      <c r="P58" s="54">
        <v>828716</v>
      </c>
      <c r="Q58" s="54">
        <v>-24259.26</v>
      </c>
      <c r="R58" s="54">
        <v>883372</v>
      </c>
      <c r="S58" s="54">
        <v>-2.9272999999999998</v>
      </c>
      <c r="T58" s="54">
        <v>43656</v>
      </c>
      <c r="U58" s="55">
        <v>0</v>
      </c>
    </row>
    <row r="59" spans="2:21" x14ac:dyDescent="0.25">
      <c r="B59" s="56" t="s">
        <v>408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82276.84</v>
      </c>
      <c r="M59" s="58">
        <v>10019.74</v>
      </c>
      <c r="N59" s="57">
        <v>0</v>
      </c>
      <c r="O59" s="58">
        <v>92296.58</v>
      </c>
      <c r="P59" s="58">
        <v>130000</v>
      </c>
      <c r="Q59" s="58">
        <v>37703.42</v>
      </c>
      <c r="R59" s="58">
        <v>130000</v>
      </c>
      <c r="S59" s="58">
        <v>29.002600000000001</v>
      </c>
      <c r="T59" s="57">
        <v>0</v>
      </c>
      <c r="U59" s="57">
        <v>0</v>
      </c>
    </row>
    <row r="60" spans="2:21" x14ac:dyDescent="0.25">
      <c r="B60" s="53" t="s">
        <v>409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4">
        <v>82276.84</v>
      </c>
      <c r="M60" s="54">
        <v>10019.74</v>
      </c>
      <c r="N60" s="55">
        <v>0</v>
      </c>
      <c r="O60" s="54">
        <v>92296.58</v>
      </c>
      <c r="P60" s="54">
        <v>130000</v>
      </c>
      <c r="Q60" s="54">
        <v>37703.42</v>
      </c>
      <c r="R60" s="54">
        <v>130000</v>
      </c>
      <c r="S60" s="54">
        <v>29.002600000000001</v>
      </c>
      <c r="T60" s="55">
        <v>0</v>
      </c>
      <c r="U60" s="55">
        <v>0</v>
      </c>
    </row>
    <row r="61" spans="2:21" x14ac:dyDescent="0.25">
      <c r="B61" s="56" t="s">
        <v>410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8">
        <v>2494.66</v>
      </c>
      <c r="M61" s="57">
        <v>0</v>
      </c>
      <c r="N61" s="57">
        <v>0</v>
      </c>
      <c r="O61" s="58">
        <v>2494.66</v>
      </c>
      <c r="P61" s="57">
        <v>0</v>
      </c>
      <c r="Q61" s="58">
        <v>-2494.66</v>
      </c>
      <c r="R61" s="57">
        <v>0</v>
      </c>
      <c r="S61" s="57">
        <v>0</v>
      </c>
      <c r="T61" s="57">
        <v>0</v>
      </c>
      <c r="U61" s="57">
        <v>0</v>
      </c>
    </row>
    <row r="62" spans="2:21" x14ac:dyDescent="0.25">
      <c r="B62" s="56" t="s">
        <v>494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1157.96</v>
      </c>
      <c r="M62" s="57">
        <v>0</v>
      </c>
      <c r="N62" s="57">
        <v>0</v>
      </c>
      <c r="O62" s="58">
        <v>1157.96</v>
      </c>
      <c r="P62" s="57">
        <v>0</v>
      </c>
      <c r="Q62" s="58">
        <v>-1157.96</v>
      </c>
      <c r="R62" s="57">
        <v>0</v>
      </c>
      <c r="S62" s="57">
        <v>0</v>
      </c>
      <c r="T62" s="57">
        <v>0</v>
      </c>
      <c r="U62" s="57">
        <v>0</v>
      </c>
    </row>
    <row r="63" spans="2:21" x14ac:dyDescent="0.25">
      <c r="B63" s="56" t="s">
        <v>495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8">
        <v>109451.46</v>
      </c>
      <c r="M63" s="58">
        <v>8570.86</v>
      </c>
      <c r="N63" s="57">
        <v>0</v>
      </c>
      <c r="O63" s="58">
        <v>118022.32</v>
      </c>
      <c r="P63" s="58">
        <v>314000</v>
      </c>
      <c r="Q63" s="58">
        <v>195977.68</v>
      </c>
      <c r="R63" s="58">
        <v>328000</v>
      </c>
      <c r="S63" s="58">
        <v>62.4133</v>
      </c>
      <c r="T63" s="58">
        <v>14000</v>
      </c>
      <c r="U63" s="57">
        <v>0</v>
      </c>
    </row>
    <row r="64" spans="2:21" x14ac:dyDescent="0.25">
      <c r="B64" s="56" t="s">
        <v>496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8">
        <v>38895.5</v>
      </c>
      <c r="M64" s="58">
        <v>4842.6400000000003</v>
      </c>
      <c r="N64" s="57">
        <v>0</v>
      </c>
      <c r="O64" s="58">
        <v>43738.14</v>
      </c>
      <c r="P64" s="57">
        <v>0</v>
      </c>
      <c r="Q64" s="58">
        <v>-43738.14</v>
      </c>
      <c r="R64" s="57">
        <v>0</v>
      </c>
      <c r="S64" s="57">
        <v>0</v>
      </c>
      <c r="T64" s="57">
        <v>0</v>
      </c>
      <c r="U64" s="57">
        <v>0</v>
      </c>
    </row>
    <row r="65" spans="2:21" x14ac:dyDescent="0.25">
      <c r="B65" s="56" t="s">
        <v>411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8">
        <v>17126.2</v>
      </c>
      <c r="M65" s="58">
        <v>10150.48</v>
      </c>
      <c r="N65" s="57">
        <v>0</v>
      </c>
      <c r="O65" s="58">
        <v>27276.68</v>
      </c>
      <c r="P65" s="57">
        <v>0</v>
      </c>
      <c r="Q65" s="58">
        <v>-27276.68</v>
      </c>
      <c r="R65" s="57">
        <v>0</v>
      </c>
      <c r="S65" s="57">
        <v>0</v>
      </c>
      <c r="T65" s="57">
        <v>0</v>
      </c>
      <c r="U65" s="57">
        <v>0</v>
      </c>
    </row>
    <row r="66" spans="2:21" x14ac:dyDescent="0.25">
      <c r="B66" s="56" t="s">
        <v>497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8">
        <v>-3264.87</v>
      </c>
      <c r="M66" s="58">
        <v>5809.81</v>
      </c>
      <c r="N66" s="57">
        <v>0</v>
      </c>
      <c r="O66" s="58">
        <v>2544.94</v>
      </c>
      <c r="P66" s="57">
        <v>0</v>
      </c>
      <c r="Q66" s="58">
        <v>-2544.94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5">
      <c r="B67" s="56" t="s">
        <v>498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8">
        <v>40177.519999999997</v>
      </c>
      <c r="M67" s="57">
        <v>0</v>
      </c>
      <c r="N67" s="57">
        <v>0</v>
      </c>
      <c r="O67" s="58">
        <v>40177.519999999997</v>
      </c>
      <c r="P67" s="57">
        <v>0</v>
      </c>
      <c r="Q67" s="58">
        <v>-40177.519999999997</v>
      </c>
      <c r="R67" s="57">
        <v>0</v>
      </c>
      <c r="S67" s="57">
        <v>0</v>
      </c>
      <c r="T67" s="57">
        <v>0</v>
      </c>
      <c r="U67" s="57">
        <v>0</v>
      </c>
    </row>
    <row r="68" spans="2:21" x14ac:dyDescent="0.25">
      <c r="B68" s="56" t="s">
        <v>499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33368.699999999997</v>
      </c>
      <c r="M68" s="58">
        <v>2010.3</v>
      </c>
      <c r="N68" s="57">
        <v>0</v>
      </c>
      <c r="O68" s="58">
        <v>35379</v>
      </c>
      <c r="P68" s="57">
        <v>0</v>
      </c>
      <c r="Q68" s="58">
        <v>-35379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5">
      <c r="B69" s="56" t="s">
        <v>500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8">
        <v>13829.99</v>
      </c>
      <c r="M69" s="58">
        <v>6505.38</v>
      </c>
      <c r="N69" s="57">
        <v>0</v>
      </c>
      <c r="O69" s="58">
        <v>20335.37</v>
      </c>
      <c r="P69" s="57">
        <v>0</v>
      </c>
      <c r="Q69" s="58">
        <v>-20335.37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5">
      <c r="B70" s="53" t="s">
        <v>501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4">
        <v>253237.12</v>
      </c>
      <c r="M70" s="54">
        <v>37889.47</v>
      </c>
      <c r="N70" s="55">
        <v>0</v>
      </c>
      <c r="O70" s="54">
        <v>291126.59000000003</v>
      </c>
      <c r="P70" s="54">
        <v>314000</v>
      </c>
      <c r="Q70" s="54">
        <v>22873.41</v>
      </c>
      <c r="R70" s="54">
        <v>328000</v>
      </c>
      <c r="S70" s="54">
        <v>7.2845000000000004</v>
      </c>
      <c r="T70" s="54">
        <v>14000</v>
      </c>
      <c r="U70" s="55">
        <v>0</v>
      </c>
    </row>
    <row r="71" spans="2:21" x14ac:dyDescent="0.25">
      <c r="B71" s="56" t="s">
        <v>412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181603.69</v>
      </c>
      <c r="M71" s="58">
        <v>23742.27</v>
      </c>
      <c r="N71" s="57">
        <v>0</v>
      </c>
      <c r="O71" s="58">
        <v>205345.96</v>
      </c>
      <c r="P71" s="58">
        <v>140000</v>
      </c>
      <c r="Q71" s="58">
        <v>-65345.96</v>
      </c>
      <c r="R71" s="58">
        <v>150000</v>
      </c>
      <c r="S71" s="58">
        <v>-46.675699999999999</v>
      </c>
      <c r="T71" s="58">
        <v>10000</v>
      </c>
      <c r="U71" s="57">
        <v>0</v>
      </c>
    </row>
    <row r="72" spans="2:21" x14ac:dyDescent="0.25">
      <c r="B72" s="56" t="s">
        <v>451</v>
      </c>
      <c r="C72" s="57">
        <v>0</v>
      </c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8">
        <v>973.44</v>
      </c>
      <c r="M72" s="57">
        <v>0</v>
      </c>
      <c r="N72" s="57">
        <v>0</v>
      </c>
      <c r="O72" s="58">
        <v>973.44</v>
      </c>
      <c r="P72" s="57">
        <v>0</v>
      </c>
      <c r="Q72" s="58">
        <v>-973.44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5">
      <c r="B73" s="53" t="s">
        <v>413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4">
        <v>182577.13</v>
      </c>
      <c r="M73" s="54">
        <v>23742.27</v>
      </c>
      <c r="N73" s="55">
        <v>0</v>
      </c>
      <c r="O73" s="54">
        <v>206319.4</v>
      </c>
      <c r="P73" s="54">
        <v>140000</v>
      </c>
      <c r="Q73" s="54">
        <v>-66319.399999999994</v>
      </c>
      <c r="R73" s="54">
        <v>150000</v>
      </c>
      <c r="S73" s="54">
        <v>-47.371000000000002</v>
      </c>
      <c r="T73" s="54">
        <v>10000</v>
      </c>
      <c r="U73" s="55">
        <v>0</v>
      </c>
    </row>
    <row r="74" spans="2:21" x14ac:dyDescent="0.25">
      <c r="B74" s="56" t="s">
        <v>502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8">
        <v>44092.11</v>
      </c>
      <c r="M74" s="58">
        <v>2462.59</v>
      </c>
      <c r="N74" s="57">
        <v>0</v>
      </c>
      <c r="O74" s="58">
        <v>46554.7</v>
      </c>
      <c r="P74" s="58">
        <v>35000</v>
      </c>
      <c r="Q74" s="58">
        <v>-11554.7</v>
      </c>
      <c r="R74" s="58">
        <v>38000</v>
      </c>
      <c r="S74" s="58">
        <v>-33.013399999999997</v>
      </c>
      <c r="T74" s="58">
        <v>3000</v>
      </c>
      <c r="U74" s="57">
        <v>0</v>
      </c>
    </row>
    <row r="75" spans="2:21" x14ac:dyDescent="0.25">
      <c r="B75" s="53" t="s">
        <v>415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4">
        <v>44092.11</v>
      </c>
      <c r="M75" s="54">
        <v>2462.59</v>
      </c>
      <c r="N75" s="55">
        <v>0</v>
      </c>
      <c r="O75" s="54">
        <v>46554.7</v>
      </c>
      <c r="P75" s="54">
        <v>35000</v>
      </c>
      <c r="Q75" s="54">
        <v>-11554.7</v>
      </c>
      <c r="R75" s="54">
        <v>38000</v>
      </c>
      <c r="S75" s="54">
        <v>-33.013399999999997</v>
      </c>
      <c r="T75" s="54">
        <v>3000</v>
      </c>
      <c r="U75" s="55">
        <v>0</v>
      </c>
    </row>
    <row r="76" spans="2:21" x14ac:dyDescent="0.25">
      <c r="B76" s="53" t="s">
        <v>416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4">
        <v>71346.52</v>
      </c>
      <c r="M76" s="54">
        <v>6115.47</v>
      </c>
      <c r="N76" s="55">
        <v>0</v>
      </c>
      <c r="O76" s="54">
        <v>77461.990000000005</v>
      </c>
      <c r="P76" s="54">
        <v>70500</v>
      </c>
      <c r="Q76" s="54">
        <v>-6961.99</v>
      </c>
      <c r="R76" s="54">
        <v>85500</v>
      </c>
      <c r="S76" s="54">
        <v>-9.8751999999999995</v>
      </c>
      <c r="T76" s="54">
        <v>4000</v>
      </c>
      <c r="U76" s="55">
        <v>0</v>
      </c>
    </row>
    <row r="77" spans="2:21" x14ac:dyDescent="0.25">
      <c r="B77" s="56" t="s">
        <v>417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8">
        <v>1454.62</v>
      </c>
      <c r="M77" s="57">
        <v>0</v>
      </c>
      <c r="N77" s="57">
        <v>0</v>
      </c>
      <c r="O77" s="58">
        <v>1454.62</v>
      </c>
      <c r="P77" s="58">
        <v>28000</v>
      </c>
      <c r="Q77" s="58">
        <v>26545.38</v>
      </c>
      <c r="R77" s="58">
        <v>28000</v>
      </c>
      <c r="S77" s="58">
        <v>94.804900000000004</v>
      </c>
      <c r="T77" s="57">
        <v>0</v>
      </c>
      <c r="U77" s="57">
        <v>0</v>
      </c>
    </row>
    <row r="78" spans="2:21" x14ac:dyDescent="0.25">
      <c r="B78" s="53" t="s">
        <v>418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4">
        <v>1454.62</v>
      </c>
      <c r="M78" s="55">
        <v>0</v>
      </c>
      <c r="N78" s="55">
        <v>0</v>
      </c>
      <c r="O78" s="54">
        <v>1454.62</v>
      </c>
      <c r="P78" s="54">
        <v>28000</v>
      </c>
      <c r="Q78" s="54">
        <v>26545.38</v>
      </c>
      <c r="R78" s="54">
        <v>28000</v>
      </c>
      <c r="S78" s="54">
        <v>94.804900000000004</v>
      </c>
      <c r="T78" s="55">
        <v>0</v>
      </c>
      <c r="U78" s="55">
        <v>0</v>
      </c>
    </row>
    <row r="79" spans="2:21" x14ac:dyDescent="0.25">
      <c r="B79" s="56" t="s">
        <v>419</v>
      </c>
      <c r="C79" s="57">
        <v>0</v>
      </c>
      <c r="D79" s="57">
        <v>0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8">
        <v>2117.4299999999998</v>
      </c>
      <c r="M79" s="58">
        <v>247.89</v>
      </c>
      <c r="N79" s="57">
        <v>0</v>
      </c>
      <c r="O79" s="58">
        <v>2365.3200000000002</v>
      </c>
      <c r="P79" s="57">
        <v>0</v>
      </c>
      <c r="Q79" s="58">
        <v>-2365.3200000000002</v>
      </c>
      <c r="R79" s="57">
        <v>0</v>
      </c>
      <c r="S79" s="57">
        <v>0</v>
      </c>
      <c r="T79" s="57">
        <v>0</v>
      </c>
      <c r="U79" s="57">
        <v>0</v>
      </c>
    </row>
    <row r="80" spans="2:21" x14ac:dyDescent="0.25">
      <c r="B80" s="56" t="s">
        <v>420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17043.8</v>
      </c>
      <c r="M80" s="58">
        <v>663.61</v>
      </c>
      <c r="N80" s="57">
        <v>0</v>
      </c>
      <c r="O80" s="58">
        <v>17707.41</v>
      </c>
      <c r="P80" s="58">
        <v>31500</v>
      </c>
      <c r="Q80" s="58">
        <v>13792.59</v>
      </c>
      <c r="R80" s="58">
        <v>34500</v>
      </c>
      <c r="S80" s="58">
        <v>43.786000000000001</v>
      </c>
      <c r="T80" s="58">
        <v>3000</v>
      </c>
      <c r="U80" s="57">
        <v>0</v>
      </c>
    </row>
    <row r="81" spans="2:21" x14ac:dyDescent="0.25">
      <c r="B81" s="56" t="s">
        <v>421</v>
      </c>
      <c r="C81" s="57">
        <v>0</v>
      </c>
      <c r="D81" s="57">
        <v>0</v>
      </c>
      <c r="E81" s="57">
        <v>0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8">
        <v>26810.85</v>
      </c>
      <c r="M81" s="58">
        <v>1815.01</v>
      </c>
      <c r="N81" s="57">
        <v>0</v>
      </c>
      <c r="O81" s="58">
        <v>28625.86</v>
      </c>
      <c r="P81" s="57">
        <v>0</v>
      </c>
      <c r="Q81" s="58">
        <v>-28625.86</v>
      </c>
      <c r="R81" s="57">
        <v>0</v>
      </c>
      <c r="S81" s="57">
        <v>0</v>
      </c>
      <c r="T81" s="57">
        <v>0</v>
      </c>
      <c r="U81" s="57">
        <v>0</v>
      </c>
    </row>
    <row r="82" spans="2:21" x14ac:dyDescent="0.25">
      <c r="B82" s="56" t="s">
        <v>422</v>
      </c>
      <c r="C82" s="57">
        <v>0</v>
      </c>
      <c r="D82" s="57">
        <v>0</v>
      </c>
      <c r="E82" s="57">
        <v>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8">
        <v>858.29</v>
      </c>
      <c r="M82" s="58">
        <v>91.83</v>
      </c>
      <c r="N82" s="57">
        <v>0</v>
      </c>
      <c r="O82" s="58">
        <v>950.12</v>
      </c>
      <c r="P82" s="57">
        <v>0</v>
      </c>
      <c r="Q82" s="58">
        <v>-950.12</v>
      </c>
      <c r="R82" s="57">
        <v>0</v>
      </c>
      <c r="S82" s="57">
        <v>0</v>
      </c>
      <c r="T82" s="57">
        <v>0</v>
      </c>
      <c r="U82" s="57">
        <v>0</v>
      </c>
    </row>
    <row r="83" spans="2:21" x14ac:dyDescent="0.25">
      <c r="B83" s="53" t="s">
        <v>423</v>
      </c>
      <c r="C83" s="55">
        <v>0</v>
      </c>
      <c r="D83" s="55">
        <v>0</v>
      </c>
      <c r="E83" s="55">
        <v>0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4">
        <v>46830.37</v>
      </c>
      <c r="M83" s="54">
        <v>2818.34</v>
      </c>
      <c r="N83" s="55">
        <v>0</v>
      </c>
      <c r="O83" s="54">
        <v>49648.71</v>
      </c>
      <c r="P83" s="54">
        <v>31500</v>
      </c>
      <c r="Q83" s="54">
        <v>-18148.71</v>
      </c>
      <c r="R83" s="54">
        <v>34500</v>
      </c>
      <c r="S83" s="54">
        <v>-57.615000000000002</v>
      </c>
      <c r="T83" s="54">
        <v>3000</v>
      </c>
      <c r="U83" s="55">
        <v>0</v>
      </c>
    </row>
    <row r="84" spans="2:21" x14ac:dyDescent="0.25">
      <c r="B84" s="56" t="s">
        <v>424</v>
      </c>
      <c r="C84" s="57">
        <v>0</v>
      </c>
      <c r="D84" s="57">
        <v>0</v>
      </c>
      <c r="E84" s="57">
        <v>0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8">
        <v>23061.53</v>
      </c>
      <c r="M84" s="58">
        <v>3297.13</v>
      </c>
      <c r="N84" s="57">
        <v>0</v>
      </c>
      <c r="O84" s="58">
        <v>26358.66</v>
      </c>
      <c r="P84" s="58">
        <v>11000</v>
      </c>
      <c r="Q84" s="58">
        <v>-15358.66</v>
      </c>
      <c r="R84" s="58">
        <v>23000</v>
      </c>
      <c r="S84" s="58">
        <v>-139.6242</v>
      </c>
      <c r="T84" s="58">
        <v>1000</v>
      </c>
      <c r="U84" s="57">
        <v>0</v>
      </c>
    </row>
    <row r="85" spans="2:21" x14ac:dyDescent="0.25">
      <c r="B85" s="53" t="s">
        <v>425</v>
      </c>
      <c r="C85" s="55">
        <v>0</v>
      </c>
      <c r="D85" s="55">
        <v>0</v>
      </c>
      <c r="E85" s="55">
        <v>0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4">
        <v>23061.53</v>
      </c>
      <c r="M85" s="54">
        <v>3297.13</v>
      </c>
      <c r="N85" s="55">
        <v>0</v>
      </c>
      <c r="O85" s="54">
        <v>26358.66</v>
      </c>
      <c r="P85" s="54">
        <v>11000</v>
      </c>
      <c r="Q85" s="54">
        <v>-15358.66</v>
      </c>
      <c r="R85" s="54">
        <v>23000</v>
      </c>
      <c r="S85" s="54">
        <v>-139.6242</v>
      </c>
      <c r="T85" s="54">
        <v>1000</v>
      </c>
      <c r="U85" s="55">
        <v>0</v>
      </c>
    </row>
    <row r="86" spans="2:21" x14ac:dyDescent="0.25">
      <c r="B86" s="56" t="s">
        <v>426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8">
        <v>126560</v>
      </c>
      <c r="M86" s="58">
        <v>12656</v>
      </c>
      <c r="N86" s="57">
        <v>0</v>
      </c>
      <c r="O86" s="58">
        <v>139216</v>
      </c>
      <c r="P86" s="58">
        <v>139216</v>
      </c>
      <c r="Q86" s="57">
        <v>0</v>
      </c>
      <c r="R86" s="58">
        <v>151872</v>
      </c>
      <c r="S86" s="57">
        <v>0</v>
      </c>
      <c r="T86" s="58">
        <v>12656</v>
      </c>
      <c r="U86" s="57">
        <v>0</v>
      </c>
    </row>
    <row r="87" spans="2:21" x14ac:dyDescent="0.25">
      <c r="B87" s="53" t="s">
        <v>427</v>
      </c>
      <c r="C87" s="55">
        <v>0</v>
      </c>
      <c r="D87" s="55">
        <v>0</v>
      </c>
      <c r="E87" s="55">
        <v>0</v>
      </c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0</v>
      </c>
      <c r="L87" s="54">
        <v>126560</v>
      </c>
      <c r="M87" s="54">
        <v>12656</v>
      </c>
      <c r="N87" s="55">
        <v>0</v>
      </c>
      <c r="O87" s="54">
        <v>139216</v>
      </c>
      <c r="P87" s="54">
        <v>139216</v>
      </c>
      <c r="Q87" s="55">
        <v>0</v>
      </c>
      <c r="R87" s="54">
        <v>151872</v>
      </c>
      <c r="S87" s="55">
        <v>0</v>
      </c>
      <c r="T87" s="54">
        <v>12656</v>
      </c>
      <c r="U87" s="55">
        <v>0</v>
      </c>
    </row>
    <row r="88" spans="2:21" x14ac:dyDescent="0.25">
      <c r="B88" s="56" t="s">
        <v>541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8">
        <v>98962</v>
      </c>
      <c r="M88" s="58">
        <v>49481</v>
      </c>
      <c r="N88" s="57">
        <v>0</v>
      </c>
      <c r="O88" s="58">
        <v>148443</v>
      </c>
      <c r="P88" s="57">
        <v>0</v>
      </c>
      <c r="Q88" s="58">
        <v>-148443</v>
      </c>
      <c r="R88" s="57">
        <v>0</v>
      </c>
      <c r="S88" s="57">
        <v>0</v>
      </c>
      <c r="T88" s="57">
        <v>0</v>
      </c>
      <c r="U88" s="57">
        <v>0</v>
      </c>
    </row>
    <row r="89" spans="2:21" x14ac:dyDescent="0.25">
      <c r="B89" s="53" t="s">
        <v>414</v>
      </c>
      <c r="C89" s="55">
        <v>0</v>
      </c>
      <c r="D89" s="55">
        <v>0</v>
      </c>
      <c r="E89" s="55">
        <v>0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4">
        <v>98962</v>
      </c>
      <c r="M89" s="54">
        <v>49481</v>
      </c>
      <c r="N89" s="55">
        <v>0</v>
      </c>
      <c r="O89" s="54">
        <v>148443</v>
      </c>
      <c r="P89" s="55">
        <v>0</v>
      </c>
      <c r="Q89" s="54">
        <v>-148443</v>
      </c>
      <c r="R89" s="55">
        <v>0</v>
      </c>
      <c r="S89" s="55">
        <v>0</v>
      </c>
      <c r="T89" s="55">
        <v>0</v>
      </c>
      <c r="U89" s="55">
        <v>0</v>
      </c>
    </row>
    <row r="90" spans="2:21" x14ac:dyDescent="0.25">
      <c r="B90" s="53" t="s">
        <v>428</v>
      </c>
      <c r="C90" s="55">
        <v>0</v>
      </c>
      <c r="D90" s="55">
        <v>0</v>
      </c>
      <c r="E90" s="55">
        <v>0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4">
        <v>83992.26</v>
      </c>
      <c r="M90" s="54">
        <v>11321.91</v>
      </c>
      <c r="N90" s="55">
        <v>0</v>
      </c>
      <c r="O90" s="54">
        <v>95314.17</v>
      </c>
      <c r="P90" s="54">
        <v>63554.6</v>
      </c>
      <c r="Q90" s="54">
        <v>-31759.57</v>
      </c>
      <c r="R90" s="54">
        <v>69479.02</v>
      </c>
      <c r="S90" s="54">
        <v>-49.972099999999998</v>
      </c>
      <c r="T90" s="54">
        <v>5733.31</v>
      </c>
      <c r="U90" s="55">
        <v>0</v>
      </c>
    </row>
    <row r="91" spans="2:21" x14ac:dyDescent="0.25">
      <c r="B91" s="56" t="s">
        <v>505</v>
      </c>
      <c r="C91" s="57">
        <v>0</v>
      </c>
      <c r="D91" s="57">
        <v>0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8">
        <v>51030.79</v>
      </c>
      <c r="M91" s="58">
        <v>7728.21</v>
      </c>
      <c r="N91" s="57">
        <v>0</v>
      </c>
      <c r="O91" s="58">
        <v>58759</v>
      </c>
      <c r="P91" s="58">
        <v>24130.12</v>
      </c>
      <c r="Q91" s="58">
        <v>-34628.879999999997</v>
      </c>
      <c r="R91" s="58">
        <v>26363.79</v>
      </c>
      <c r="S91" s="58">
        <v>-143.50890000000001</v>
      </c>
      <c r="T91" s="58">
        <v>2161.62</v>
      </c>
      <c r="U91" s="57">
        <v>0</v>
      </c>
    </row>
    <row r="92" spans="2:21" x14ac:dyDescent="0.25">
      <c r="B92" s="53" t="s">
        <v>429</v>
      </c>
      <c r="C92" s="55">
        <v>0</v>
      </c>
      <c r="D92" s="55">
        <v>0</v>
      </c>
      <c r="E92" s="55">
        <v>0</v>
      </c>
      <c r="F92" s="55">
        <v>0</v>
      </c>
      <c r="G92" s="55">
        <v>0</v>
      </c>
      <c r="H92" s="55">
        <v>0</v>
      </c>
      <c r="I92" s="55">
        <v>0</v>
      </c>
      <c r="J92" s="55">
        <v>0</v>
      </c>
      <c r="K92" s="55">
        <v>0</v>
      </c>
      <c r="L92" s="54">
        <v>51030.79</v>
      </c>
      <c r="M92" s="54">
        <v>7728.21</v>
      </c>
      <c r="N92" s="55">
        <v>0</v>
      </c>
      <c r="O92" s="54">
        <v>58759</v>
      </c>
      <c r="P92" s="54">
        <v>24130.12</v>
      </c>
      <c r="Q92" s="54">
        <v>-34628.879999999997</v>
      </c>
      <c r="R92" s="54">
        <v>26363.79</v>
      </c>
      <c r="S92" s="54">
        <v>-143.50890000000001</v>
      </c>
      <c r="T92" s="54">
        <v>2161.62</v>
      </c>
      <c r="U92" s="55">
        <v>0</v>
      </c>
    </row>
    <row r="93" spans="2:21" x14ac:dyDescent="0.25">
      <c r="B93" s="56" t="s">
        <v>430</v>
      </c>
      <c r="C93" s="57">
        <v>0</v>
      </c>
      <c r="D93" s="57">
        <v>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8">
        <v>25753.85</v>
      </c>
      <c r="M93" s="58">
        <v>2772.67</v>
      </c>
      <c r="N93" s="57">
        <v>0</v>
      </c>
      <c r="O93" s="58">
        <v>28526.52</v>
      </c>
      <c r="P93" s="58">
        <v>33010.81</v>
      </c>
      <c r="Q93" s="58">
        <v>4484.29</v>
      </c>
      <c r="R93" s="58">
        <v>36106.28</v>
      </c>
      <c r="S93" s="58">
        <v>13.584300000000001</v>
      </c>
      <c r="T93" s="58">
        <v>2995.61</v>
      </c>
      <c r="U93" s="57">
        <v>0</v>
      </c>
    </row>
    <row r="94" spans="2:21" x14ac:dyDescent="0.25">
      <c r="B94" s="53" t="s">
        <v>431</v>
      </c>
      <c r="C94" s="55">
        <v>0</v>
      </c>
      <c r="D94" s="55">
        <v>0</v>
      </c>
      <c r="E94" s="55">
        <v>0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4">
        <v>25753.85</v>
      </c>
      <c r="M94" s="54">
        <v>2772.67</v>
      </c>
      <c r="N94" s="55">
        <v>0</v>
      </c>
      <c r="O94" s="54">
        <v>28526.52</v>
      </c>
      <c r="P94" s="54">
        <v>33010.81</v>
      </c>
      <c r="Q94" s="54">
        <v>4484.29</v>
      </c>
      <c r="R94" s="54">
        <v>36106.28</v>
      </c>
      <c r="S94" s="54">
        <v>13.584300000000001</v>
      </c>
      <c r="T94" s="54">
        <v>2995.61</v>
      </c>
      <c r="U94" s="55">
        <v>0</v>
      </c>
    </row>
    <row r="95" spans="2:21" x14ac:dyDescent="0.25">
      <c r="B95" s="56" t="s">
        <v>506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8">
        <v>7207.62</v>
      </c>
      <c r="M95" s="58">
        <v>821.03</v>
      </c>
      <c r="N95" s="57">
        <v>0</v>
      </c>
      <c r="O95" s="58">
        <v>8028.65</v>
      </c>
      <c r="P95" s="58">
        <v>6413.67</v>
      </c>
      <c r="Q95" s="58">
        <v>-1614.98</v>
      </c>
      <c r="R95" s="58">
        <v>7008.95</v>
      </c>
      <c r="S95" s="58">
        <v>-25.180299999999999</v>
      </c>
      <c r="T95" s="58">
        <v>576.08000000000004</v>
      </c>
      <c r="U95" s="57">
        <v>0</v>
      </c>
    </row>
    <row r="96" spans="2:21" x14ac:dyDescent="0.25">
      <c r="B96" s="53" t="s">
        <v>432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4">
        <v>7207.62</v>
      </c>
      <c r="M96" s="54">
        <v>821.03</v>
      </c>
      <c r="N96" s="55">
        <v>0</v>
      </c>
      <c r="O96" s="54">
        <v>8028.65</v>
      </c>
      <c r="P96" s="54">
        <v>6413.67</v>
      </c>
      <c r="Q96" s="54">
        <v>-1614.98</v>
      </c>
      <c r="R96" s="54">
        <v>7008.95</v>
      </c>
      <c r="S96" s="54">
        <v>-25.180299999999999</v>
      </c>
      <c r="T96" s="54">
        <v>576.08000000000004</v>
      </c>
      <c r="U96" s="55">
        <v>0</v>
      </c>
    </row>
    <row r="97" spans="2:21" x14ac:dyDescent="0.25">
      <c r="B97" s="53" t="s">
        <v>433</v>
      </c>
      <c r="C97" s="55">
        <v>0</v>
      </c>
      <c r="D97" s="55">
        <v>0</v>
      </c>
      <c r="E97" s="55">
        <v>0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4">
        <v>2605353.94</v>
      </c>
      <c r="M97" s="54">
        <v>318705.15000000002</v>
      </c>
      <c r="N97" s="55">
        <v>0</v>
      </c>
      <c r="O97" s="54">
        <v>2924059.09</v>
      </c>
      <c r="P97" s="54">
        <v>2579348.6800000002</v>
      </c>
      <c r="Q97" s="54">
        <v>-344710.41</v>
      </c>
      <c r="R97" s="54">
        <v>2789686.46</v>
      </c>
      <c r="S97" s="54">
        <v>-13.3642</v>
      </c>
      <c r="T97" s="54">
        <v>199146.67</v>
      </c>
      <c r="U97" s="55">
        <v>0</v>
      </c>
    </row>
    <row r="98" spans="2:21" x14ac:dyDescent="0.25">
      <c r="B98" s="53" t="s">
        <v>434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-3797743.62</v>
      </c>
      <c r="M98" s="54">
        <v>-176065</v>
      </c>
      <c r="N98" s="55">
        <v>0</v>
      </c>
      <c r="O98" s="54">
        <v>-3973808.62</v>
      </c>
      <c r="P98" s="54">
        <v>-3763389.54</v>
      </c>
      <c r="Q98" s="54">
        <v>210419.08</v>
      </c>
      <c r="R98" s="54">
        <v>-4224802.7300000004</v>
      </c>
      <c r="S98" s="54">
        <v>-5.5911999999999997</v>
      </c>
      <c r="T98" s="54">
        <v>-457205.23</v>
      </c>
      <c r="U98" s="55">
        <v>0</v>
      </c>
    </row>
    <row r="99" spans="2:21" x14ac:dyDescent="0.25">
      <c r="B99" s="56" t="s">
        <v>507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7">
        <v>0</v>
      </c>
      <c r="P99" s="58">
        <v>1342097.46</v>
      </c>
      <c r="Q99" s="58">
        <v>1342097.46</v>
      </c>
      <c r="R99" s="58">
        <v>1464106.32</v>
      </c>
      <c r="S99" s="58">
        <v>100</v>
      </c>
      <c r="T99" s="58">
        <v>122008.86</v>
      </c>
      <c r="U99" s="57">
        <v>0</v>
      </c>
    </row>
    <row r="100" spans="2:21" x14ac:dyDescent="0.25">
      <c r="B100" s="56" t="s">
        <v>508</v>
      </c>
      <c r="C100" s="57">
        <v>0</v>
      </c>
      <c r="D100" s="57">
        <v>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8">
        <v>1209280.71</v>
      </c>
      <c r="M100" s="58">
        <v>120928.08</v>
      </c>
      <c r="N100" s="57">
        <v>0</v>
      </c>
      <c r="O100" s="58">
        <v>1330208.79</v>
      </c>
      <c r="P100" s="57">
        <v>0</v>
      </c>
      <c r="Q100" s="58">
        <v>-1330208.79</v>
      </c>
      <c r="R100" s="57">
        <v>0</v>
      </c>
      <c r="S100" s="57">
        <v>0</v>
      </c>
      <c r="T100" s="57">
        <v>0</v>
      </c>
      <c r="U100" s="57">
        <v>0</v>
      </c>
    </row>
    <row r="101" spans="2:21" x14ac:dyDescent="0.25">
      <c r="B101" s="56" t="s">
        <v>510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8">
        <v>1602.91</v>
      </c>
      <c r="M101" s="58">
        <v>194.42</v>
      </c>
      <c r="N101" s="57">
        <v>0</v>
      </c>
      <c r="O101" s="58">
        <v>1797.33</v>
      </c>
      <c r="P101" s="57">
        <v>0</v>
      </c>
      <c r="Q101" s="58">
        <v>-1797.33</v>
      </c>
      <c r="R101" s="57">
        <v>0</v>
      </c>
      <c r="S101" s="57">
        <v>0</v>
      </c>
      <c r="T101" s="57">
        <v>0</v>
      </c>
      <c r="U101" s="57">
        <v>0</v>
      </c>
    </row>
    <row r="102" spans="2:21" x14ac:dyDescent="0.25">
      <c r="B102" s="56" t="s">
        <v>512</v>
      </c>
      <c r="C102" s="57">
        <v>0</v>
      </c>
      <c r="D102" s="57">
        <v>0</v>
      </c>
      <c r="E102" s="57">
        <v>0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8">
        <v>12860.95</v>
      </c>
      <c r="M102" s="58">
        <v>-362.03</v>
      </c>
      <c r="N102" s="57">
        <v>0</v>
      </c>
      <c r="O102" s="58">
        <v>12498.92</v>
      </c>
      <c r="P102" s="57">
        <v>0</v>
      </c>
      <c r="Q102" s="58">
        <v>-12498.92</v>
      </c>
      <c r="R102" s="57">
        <v>0</v>
      </c>
      <c r="S102" s="57">
        <v>0</v>
      </c>
      <c r="T102" s="57">
        <v>0</v>
      </c>
      <c r="U102" s="57">
        <v>0</v>
      </c>
    </row>
    <row r="103" spans="2:21" x14ac:dyDescent="0.25">
      <c r="B103" s="53" t="s">
        <v>435</v>
      </c>
      <c r="C103" s="55">
        <v>0</v>
      </c>
      <c r="D103" s="55">
        <v>0</v>
      </c>
      <c r="E103" s="55">
        <v>0</v>
      </c>
      <c r="F103" s="55">
        <v>0</v>
      </c>
      <c r="G103" s="55">
        <v>0</v>
      </c>
      <c r="H103" s="55">
        <v>0</v>
      </c>
      <c r="I103" s="55">
        <v>0</v>
      </c>
      <c r="J103" s="55">
        <v>0</v>
      </c>
      <c r="K103" s="55">
        <v>0</v>
      </c>
      <c r="L103" s="54">
        <v>1223744.57</v>
      </c>
      <c r="M103" s="54">
        <v>120760.47</v>
      </c>
      <c r="N103" s="55">
        <v>0</v>
      </c>
      <c r="O103" s="54">
        <v>1344505.04</v>
      </c>
      <c r="P103" s="54">
        <v>1342097.46</v>
      </c>
      <c r="Q103" s="54">
        <v>-2407.58</v>
      </c>
      <c r="R103" s="54">
        <v>1464106.32</v>
      </c>
      <c r="S103" s="54">
        <v>-0.1794</v>
      </c>
      <c r="T103" s="54">
        <v>122008.86</v>
      </c>
      <c r="U103" s="55">
        <v>0</v>
      </c>
    </row>
    <row r="104" spans="2:21" x14ac:dyDescent="0.25">
      <c r="B104" s="53" t="s">
        <v>436</v>
      </c>
      <c r="C104" s="55">
        <v>0</v>
      </c>
      <c r="D104" s="55">
        <v>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4">
        <v>2110.23</v>
      </c>
      <c r="M104" s="54">
        <v>485.05</v>
      </c>
      <c r="N104" s="55">
        <v>0</v>
      </c>
      <c r="O104" s="54">
        <v>2595.2800000000002</v>
      </c>
      <c r="P104" s="54">
        <v>9742.92</v>
      </c>
      <c r="Q104" s="54">
        <v>7147.64</v>
      </c>
      <c r="R104" s="54">
        <v>10628.64</v>
      </c>
      <c r="S104" s="54">
        <v>73.362399999999994</v>
      </c>
      <c r="T104" s="54">
        <v>885.72</v>
      </c>
      <c r="U104" s="55">
        <v>0</v>
      </c>
    </row>
    <row r="105" spans="2:21" x14ac:dyDescent="0.25">
      <c r="B105" s="56" t="s">
        <v>514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8">
        <v>9742.92</v>
      </c>
      <c r="Q105" s="58">
        <v>9742.92</v>
      </c>
      <c r="R105" s="58">
        <v>10628.64</v>
      </c>
      <c r="S105" s="58">
        <v>100</v>
      </c>
      <c r="T105" s="58">
        <v>885.72</v>
      </c>
      <c r="U105" s="57">
        <v>0</v>
      </c>
    </row>
    <row r="106" spans="2:21" x14ac:dyDescent="0.25">
      <c r="B106" s="56" t="s">
        <v>437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8">
        <v>485.05</v>
      </c>
      <c r="N106" s="57">
        <v>0</v>
      </c>
      <c r="O106" s="58">
        <v>485.05</v>
      </c>
      <c r="P106" s="57">
        <v>0</v>
      </c>
      <c r="Q106" s="58">
        <v>-485.05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5">
      <c r="B107" s="56" t="s">
        <v>516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8">
        <v>558.86</v>
      </c>
      <c r="M107" s="57">
        <v>0</v>
      </c>
      <c r="N107" s="57">
        <v>0</v>
      </c>
      <c r="O107" s="58">
        <v>558.86</v>
      </c>
      <c r="P107" s="57">
        <v>0</v>
      </c>
      <c r="Q107" s="58">
        <v>-558.86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5">
      <c r="B108" s="53" t="s">
        <v>438</v>
      </c>
      <c r="C108" s="55">
        <v>0</v>
      </c>
      <c r="D108" s="55">
        <v>0</v>
      </c>
      <c r="E108" s="55">
        <v>0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4">
        <v>558.86</v>
      </c>
      <c r="M108" s="54">
        <v>485.05</v>
      </c>
      <c r="N108" s="55">
        <v>0</v>
      </c>
      <c r="O108" s="54">
        <v>1043.9100000000001</v>
      </c>
      <c r="P108" s="54">
        <v>9742.92</v>
      </c>
      <c r="Q108" s="54">
        <v>8699.01</v>
      </c>
      <c r="R108" s="54">
        <v>10628.64</v>
      </c>
      <c r="S108" s="54">
        <v>89.285499999999999</v>
      </c>
      <c r="T108" s="54">
        <v>885.72</v>
      </c>
      <c r="U108" s="55">
        <v>0</v>
      </c>
    </row>
    <row r="109" spans="2:21" x14ac:dyDescent="0.25">
      <c r="B109" s="56" t="s">
        <v>526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1468.34</v>
      </c>
      <c r="M109" s="57">
        <v>0</v>
      </c>
      <c r="N109" s="57">
        <v>0</v>
      </c>
      <c r="O109" s="58">
        <v>1468.34</v>
      </c>
      <c r="P109" s="57">
        <v>0</v>
      </c>
      <c r="Q109" s="58">
        <v>-1468.34</v>
      </c>
      <c r="R109" s="57">
        <v>0</v>
      </c>
      <c r="S109" s="57">
        <v>0</v>
      </c>
      <c r="T109" s="57">
        <v>0</v>
      </c>
      <c r="U109" s="57">
        <v>0</v>
      </c>
    </row>
    <row r="110" spans="2:21" x14ac:dyDescent="0.25">
      <c r="B110" s="53" t="s">
        <v>518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4">
        <v>1468.34</v>
      </c>
      <c r="M110" s="55">
        <v>0</v>
      </c>
      <c r="N110" s="55">
        <v>0</v>
      </c>
      <c r="O110" s="54">
        <v>1468.34</v>
      </c>
      <c r="P110" s="55">
        <v>0</v>
      </c>
      <c r="Q110" s="54">
        <v>-1468.34</v>
      </c>
      <c r="R110" s="55">
        <v>0</v>
      </c>
      <c r="S110" s="55">
        <v>0</v>
      </c>
      <c r="T110" s="55">
        <v>0</v>
      </c>
      <c r="U110" s="55">
        <v>0</v>
      </c>
    </row>
    <row r="111" spans="2:21" x14ac:dyDescent="0.25">
      <c r="B111" s="56" t="s">
        <v>439</v>
      </c>
      <c r="C111" s="57">
        <v>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8">
        <v>83.03</v>
      </c>
      <c r="M111" s="57">
        <v>0</v>
      </c>
      <c r="N111" s="57">
        <v>0</v>
      </c>
      <c r="O111" s="58">
        <v>83.03</v>
      </c>
      <c r="P111" s="57">
        <v>0</v>
      </c>
      <c r="Q111" s="58">
        <v>-83.03</v>
      </c>
      <c r="R111" s="57">
        <v>0</v>
      </c>
      <c r="S111" s="57">
        <v>0</v>
      </c>
      <c r="T111" s="57">
        <v>0</v>
      </c>
      <c r="U111" s="57">
        <v>0</v>
      </c>
    </row>
    <row r="112" spans="2:21" x14ac:dyDescent="0.25">
      <c r="B112" s="53" t="s">
        <v>440</v>
      </c>
      <c r="C112" s="55">
        <v>0</v>
      </c>
      <c r="D112" s="55">
        <v>0</v>
      </c>
      <c r="E112" s="55">
        <v>0</v>
      </c>
      <c r="F112" s="55">
        <v>0</v>
      </c>
      <c r="G112" s="55">
        <v>0</v>
      </c>
      <c r="H112" s="55">
        <v>0</v>
      </c>
      <c r="I112" s="55">
        <v>0</v>
      </c>
      <c r="J112" s="55">
        <v>0</v>
      </c>
      <c r="K112" s="55">
        <v>0</v>
      </c>
      <c r="L112" s="54">
        <v>83.03</v>
      </c>
      <c r="M112" s="55">
        <v>0</v>
      </c>
      <c r="N112" s="55">
        <v>0</v>
      </c>
      <c r="O112" s="54">
        <v>83.03</v>
      </c>
      <c r="P112" s="55">
        <v>0</v>
      </c>
      <c r="Q112" s="54">
        <v>-83.03</v>
      </c>
      <c r="R112" s="55">
        <v>0</v>
      </c>
      <c r="S112" s="55">
        <v>0</v>
      </c>
      <c r="T112" s="55">
        <v>0</v>
      </c>
      <c r="U112" s="55">
        <v>0</v>
      </c>
    </row>
    <row r="113" spans="2:21" x14ac:dyDescent="0.25">
      <c r="B113" s="53" t="s">
        <v>441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4">
        <v>-2571888.8199999998</v>
      </c>
      <c r="M113" s="54">
        <v>-54819.48</v>
      </c>
      <c r="N113" s="55">
        <v>0</v>
      </c>
      <c r="O113" s="54">
        <v>-2626708.2999999998</v>
      </c>
      <c r="P113" s="54">
        <v>-2411549.16</v>
      </c>
      <c r="Q113" s="54">
        <v>215159.14</v>
      </c>
      <c r="R113" s="54">
        <v>-2750067.77</v>
      </c>
      <c r="S113" s="54">
        <v>-8.9220000000000006</v>
      </c>
      <c r="T113" s="54">
        <v>-334310.65000000002</v>
      </c>
      <c r="U113" s="55">
        <v>0</v>
      </c>
    </row>
    <row r="114" spans="2:21" x14ac:dyDescent="0.25">
      <c r="B114" s="53" t="s">
        <v>442</v>
      </c>
      <c r="C114" s="55">
        <v>0</v>
      </c>
      <c r="D114" s="55">
        <v>0</v>
      </c>
      <c r="E114" s="55">
        <v>0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0</v>
      </c>
      <c r="M114" s="55">
        <v>0</v>
      </c>
      <c r="N114" s="55">
        <v>0</v>
      </c>
      <c r="O114" s="55">
        <v>0</v>
      </c>
      <c r="P114" s="55">
        <v>0</v>
      </c>
      <c r="Q114" s="55">
        <v>0</v>
      </c>
      <c r="R114" s="55">
        <v>0</v>
      </c>
      <c r="S114" s="55">
        <v>0</v>
      </c>
      <c r="T114" s="55">
        <v>0</v>
      </c>
      <c r="U114" s="55">
        <v>0</v>
      </c>
    </row>
    <row r="115" spans="2:21" x14ac:dyDescent="0.25">
      <c r="B115" s="53" t="s">
        <v>443</v>
      </c>
      <c r="C115" s="55">
        <v>0</v>
      </c>
      <c r="D115" s="55">
        <v>0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5">
        <v>0</v>
      </c>
      <c r="P115" s="55">
        <v>0</v>
      </c>
      <c r="Q115" s="55">
        <v>0</v>
      </c>
      <c r="R115" s="55">
        <v>0</v>
      </c>
      <c r="S115" s="55">
        <v>0</v>
      </c>
      <c r="T115" s="55">
        <v>0</v>
      </c>
      <c r="U115" s="55">
        <v>0</v>
      </c>
    </row>
    <row r="116" spans="2:21" x14ac:dyDescent="0.25">
      <c r="B116" s="53" t="s">
        <v>444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5">
        <v>0</v>
      </c>
      <c r="P116" s="55">
        <v>0</v>
      </c>
      <c r="Q116" s="55">
        <v>0</v>
      </c>
      <c r="R116" s="55">
        <v>0</v>
      </c>
      <c r="S116" s="55">
        <v>0</v>
      </c>
      <c r="T116" s="55">
        <v>0</v>
      </c>
      <c r="U116" s="55">
        <v>0</v>
      </c>
    </row>
    <row r="117" spans="2:21" x14ac:dyDescent="0.25">
      <c r="B117" s="53" t="s">
        <v>445</v>
      </c>
      <c r="C117" s="55">
        <v>0</v>
      </c>
      <c r="D117" s="55">
        <v>0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>
        <v>0</v>
      </c>
      <c r="K117" s="55">
        <v>0</v>
      </c>
      <c r="L117" s="54">
        <v>-2571888.8199999998</v>
      </c>
      <c r="M117" s="54">
        <v>-54819.48</v>
      </c>
      <c r="N117" s="55">
        <v>0</v>
      </c>
      <c r="O117" s="54">
        <v>-2626708.2999999998</v>
      </c>
      <c r="P117" s="54">
        <v>-2411549.16</v>
      </c>
      <c r="Q117" s="54">
        <v>215159.14</v>
      </c>
      <c r="R117" s="54">
        <v>-2750067.77</v>
      </c>
      <c r="S117" s="54">
        <v>-8.9220000000000006</v>
      </c>
      <c r="T117" s="54">
        <v>-334310.65000000002</v>
      </c>
      <c r="U117" s="55">
        <v>0</v>
      </c>
    </row>
    <row r="118" spans="2:21" x14ac:dyDescent="0.25">
      <c r="B118" s="53" t="s">
        <v>452</v>
      </c>
      <c r="C118" s="55">
        <v>0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4">
        <v>251529.97</v>
      </c>
      <c r="M118" s="54">
        <v>19643.14</v>
      </c>
      <c r="N118" s="55">
        <v>0</v>
      </c>
      <c r="O118" s="54">
        <v>271173.11</v>
      </c>
      <c r="P118" s="54">
        <v>293683.15999999997</v>
      </c>
      <c r="Q118" s="54">
        <v>22510.05</v>
      </c>
      <c r="R118" s="54">
        <v>316518.11</v>
      </c>
      <c r="S118" s="54">
        <v>7.6646999999999998</v>
      </c>
      <c r="T118" s="54">
        <v>22268.6</v>
      </c>
      <c r="U118" s="55">
        <v>0</v>
      </c>
    </row>
    <row r="119" spans="2:21" x14ac:dyDescent="0.25">
      <c r="B119" s="56" t="s">
        <v>453</v>
      </c>
      <c r="C119" s="57">
        <v>0</v>
      </c>
      <c r="D119" s="57">
        <v>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7">
        <v>0</v>
      </c>
      <c r="M119" s="57">
        <v>0</v>
      </c>
      <c r="N119" s="57">
        <v>0</v>
      </c>
      <c r="O119" s="57">
        <v>0</v>
      </c>
      <c r="P119" s="58">
        <v>293683.15999999997</v>
      </c>
      <c r="Q119" s="58">
        <v>293683.15999999997</v>
      </c>
      <c r="R119" s="58">
        <v>316518.11</v>
      </c>
      <c r="S119" s="58">
        <v>100</v>
      </c>
      <c r="T119" s="58">
        <v>22268.6</v>
      </c>
      <c r="U119" s="57">
        <v>0</v>
      </c>
    </row>
    <row r="120" spans="2:21" x14ac:dyDescent="0.25">
      <c r="B120" s="56" t="s">
        <v>454</v>
      </c>
      <c r="C120" s="57">
        <v>0</v>
      </c>
      <c r="D120" s="57">
        <v>0</v>
      </c>
      <c r="E120" s="57">
        <v>0</v>
      </c>
      <c r="F120" s="57">
        <v>0</v>
      </c>
      <c r="G120" s="57">
        <v>0</v>
      </c>
      <c r="H120" s="57">
        <v>0</v>
      </c>
      <c r="I120" s="57">
        <v>0</v>
      </c>
      <c r="J120" s="57">
        <v>0</v>
      </c>
      <c r="K120" s="57">
        <v>0</v>
      </c>
      <c r="L120" s="58">
        <v>251385.69</v>
      </c>
      <c r="M120" s="58">
        <v>19643.14</v>
      </c>
      <c r="N120" s="57">
        <v>0</v>
      </c>
      <c r="O120" s="58">
        <v>271028.83</v>
      </c>
      <c r="P120" s="57">
        <v>0</v>
      </c>
      <c r="Q120" s="58">
        <v>-271028.83</v>
      </c>
      <c r="R120" s="57">
        <v>0</v>
      </c>
      <c r="S120" s="57">
        <v>0</v>
      </c>
      <c r="T120" s="57">
        <v>0</v>
      </c>
      <c r="U120" s="57">
        <v>0</v>
      </c>
    </row>
    <row r="121" spans="2:21" x14ac:dyDescent="0.25">
      <c r="B121" s="53" t="s">
        <v>455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4">
        <v>251385.69</v>
      </c>
      <c r="M121" s="54">
        <v>19643.14</v>
      </c>
      <c r="N121" s="55">
        <v>0</v>
      </c>
      <c r="O121" s="54">
        <v>271028.83</v>
      </c>
      <c r="P121" s="54">
        <v>293683.15999999997</v>
      </c>
      <c r="Q121" s="54">
        <v>22654.33</v>
      </c>
      <c r="R121" s="54">
        <v>316518.11</v>
      </c>
      <c r="S121" s="54">
        <v>7.7138999999999998</v>
      </c>
      <c r="T121" s="54">
        <v>22268.6</v>
      </c>
      <c r="U121" s="55">
        <v>0</v>
      </c>
    </row>
    <row r="122" spans="2:21" x14ac:dyDescent="0.25">
      <c r="B122" s="56" t="s">
        <v>519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8">
        <v>144.28</v>
      </c>
      <c r="M122" s="57">
        <v>0</v>
      </c>
      <c r="N122" s="57">
        <v>0</v>
      </c>
      <c r="O122" s="58">
        <v>144.28</v>
      </c>
      <c r="P122" s="57">
        <v>0</v>
      </c>
      <c r="Q122" s="58">
        <v>-144.28</v>
      </c>
      <c r="R122" s="57">
        <v>0</v>
      </c>
      <c r="S122" s="57">
        <v>0</v>
      </c>
      <c r="T122" s="57">
        <v>0</v>
      </c>
      <c r="U122" s="57">
        <v>0</v>
      </c>
    </row>
    <row r="123" spans="2:21" x14ac:dyDescent="0.25">
      <c r="B123" s="53" t="s">
        <v>520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4">
        <v>144.28</v>
      </c>
      <c r="M123" s="55">
        <v>0</v>
      </c>
      <c r="N123" s="55">
        <v>0</v>
      </c>
      <c r="O123" s="54">
        <v>144.28</v>
      </c>
      <c r="P123" s="55">
        <v>0</v>
      </c>
      <c r="Q123" s="54">
        <v>-144.28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5">
      <c r="B124" s="56" t="s">
        <v>527</v>
      </c>
      <c r="C124" s="57">
        <v>0</v>
      </c>
      <c r="D124" s="57">
        <v>0</v>
      </c>
      <c r="E124" s="57">
        <v>0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7">
        <v>0</v>
      </c>
      <c r="P124" s="57">
        <v>0</v>
      </c>
      <c r="Q124" s="57">
        <v>0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5">
      <c r="B125" s="53" t="s">
        <v>528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5">
      <c r="B126" s="59" t="s">
        <v>521</v>
      </c>
      <c r="C126" s="61">
        <v>0</v>
      </c>
      <c r="D126" s="61">
        <v>0</v>
      </c>
      <c r="E126" s="61">
        <v>0</v>
      </c>
      <c r="F126" s="61">
        <v>0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0">
        <v>-2320358.85</v>
      </c>
      <c r="M126" s="60">
        <v>-35176.339999999997</v>
      </c>
      <c r="N126" s="61">
        <v>0</v>
      </c>
      <c r="O126" s="60">
        <v>-2355535.19</v>
      </c>
      <c r="P126" s="60">
        <v>-2117866</v>
      </c>
      <c r="Q126" s="60">
        <v>237669.19</v>
      </c>
      <c r="R126" s="60">
        <v>-2433549.66</v>
      </c>
      <c r="S126" s="60">
        <v>-11.222099999999999</v>
      </c>
      <c r="T126" s="60">
        <v>-312042.05</v>
      </c>
      <c r="U126" s="61">
        <v>0</v>
      </c>
    </row>
    <row r="127" spans="2:21" x14ac:dyDescent="0.25">
      <c r="B127" s="53" t="s">
        <v>522</v>
      </c>
      <c r="C127" s="55">
        <v>0</v>
      </c>
      <c r="D127" s="55">
        <v>0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4">
        <v>23454.569800000001</v>
      </c>
      <c r="M127" s="54">
        <v>16492.338299999999</v>
      </c>
      <c r="N127" s="55">
        <v>0</v>
      </c>
      <c r="O127" s="54">
        <v>39946.908100000001</v>
      </c>
      <c r="P127" s="54">
        <v>18990.234199999999</v>
      </c>
      <c r="Q127" s="54">
        <v>-20956.673900000002</v>
      </c>
      <c r="R127" s="54">
        <v>19217.778600000001</v>
      </c>
      <c r="S127" s="54">
        <v>-110.355</v>
      </c>
      <c r="T127" s="54">
        <v>21878.396700000001</v>
      </c>
      <c r="U127" s="55">
        <v>0</v>
      </c>
    </row>
    <row r="128" spans="2:21" x14ac:dyDescent="0.25">
      <c r="B128" s="53" t="s">
        <v>446</v>
      </c>
      <c r="C128" s="55">
        <v>0</v>
      </c>
      <c r="D128" s="55">
        <v>0</v>
      </c>
      <c r="E128" s="55">
        <v>0</v>
      </c>
      <c r="F128" s="55">
        <v>0</v>
      </c>
      <c r="G128" s="55">
        <v>0</v>
      </c>
      <c r="H128" s="55">
        <v>0</v>
      </c>
      <c r="I128" s="55">
        <v>0</v>
      </c>
      <c r="J128" s="55">
        <v>0</v>
      </c>
      <c r="K128" s="55">
        <v>0</v>
      </c>
      <c r="L128" s="54">
        <v>-8570.2432000000008</v>
      </c>
      <c r="M128" s="54">
        <v>-10623.504999999999</v>
      </c>
      <c r="N128" s="55">
        <v>0</v>
      </c>
      <c r="O128" s="54">
        <v>-19193.748200000002</v>
      </c>
      <c r="P128" s="54">
        <v>-7722.6008000000002</v>
      </c>
      <c r="Q128" s="54">
        <v>11471.1474</v>
      </c>
      <c r="R128" s="54">
        <v>-7642.9766</v>
      </c>
      <c r="S128" s="54">
        <v>-148.54</v>
      </c>
      <c r="T128" s="54">
        <v>-6638.2223000000004</v>
      </c>
      <c r="U128" s="55">
        <v>0</v>
      </c>
    </row>
    <row r="129" spans="2:21" x14ac:dyDescent="0.25">
      <c r="B129" s="53" t="s">
        <v>447</v>
      </c>
      <c r="C129" s="55">
        <v>0</v>
      </c>
      <c r="D129" s="55">
        <v>0</v>
      </c>
      <c r="E129" s="55">
        <v>0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5">
        <v>0</v>
      </c>
      <c r="L129" s="54">
        <v>-8244.7103000000006</v>
      </c>
      <c r="M129" s="54">
        <v>-8974.1383000000005</v>
      </c>
      <c r="N129" s="55">
        <v>0</v>
      </c>
      <c r="O129" s="54">
        <v>-17218.848600000001</v>
      </c>
      <c r="P129" s="54">
        <v>-7722.6008000000002</v>
      </c>
      <c r="Q129" s="54">
        <v>9496.2477999999992</v>
      </c>
      <c r="R129" s="54">
        <v>-7642.9766</v>
      </c>
      <c r="S129" s="54">
        <v>-122.967</v>
      </c>
      <c r="T129" s="54">
        <v>-6638.2223000000004</v>
      </c>
      <c r="U129" s="55">
        <v>0</v>
      </c>
    </row>
    <row r="130" spans="2:21" x14ac:dyDescent="0.25">
      <c r="B130" s="53" t="s">
        <v>448</v>
      </c>
      <c r="C130" s="55">
        <v>0</v>
      </c>
      <c r="D130" s="55">
        <v>0</v>
      </c>
      <c r="E130" s="55">
        <v>0</v>
      </c>
      <c r="F130" s="55">
        <v>0</v>
      </c>
      <c r="G130" s="55">
        <v>0</v>
      </c>
      <c r="H130" s="55">
        <v>0</v>
      </c>
      <c r="I130" s="55">
        <v>0</v>
      </c>
      <c r="J130" s="55">
        <v>0</v>
      </c>
      <c r="K130" s="55">
        <v>0</v>
      </c>
      <c r="L130" s="54">
        <v>8460.1605999999992</v>
      </c>
      <c r="M130" s="54">
        <v>1827.316</v>
      </c>
      <c r="N130" s="55">
        <v>0</v>
      </c>
      <c r="O130" s="54">
        <v>10287.4766</v>
      </c>
      <c r="P130" s="54">
        <v>7220.2070999999996</v>
      </c>
      <c r="Q130" s="54">
        <v>-3067.2694999999999</v>
      </c>
      <c r="R130" s="54">
        <v>7534.4322000000002</v>
      </c>
      <c r="S130" s="54">
        <v>-42.481699999999996</v>
      </c>
      <c r="T130" s="54">
        <v>11143.6883</v>
      </c>
      <c r="U130" s="55">
        <v>0</v>
      </c>
    </row>
    <row r="131" spans="2:21" x14ac:dyDescent="0.25">
      <c r="B131" s="56" t="s">
        <v>523</v>
      </c>
      <c r="C131" s="57">
        <v>0</v>
      </c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8">
        <v>-273</v>
      </c>
      <c r="M131" s="58">
        <v>-30</v>
      </c>
      <c r="N131" s="57">
        <v>0</v>
      </c>
      <c r="O131" s="58">
        <v>-303</v>
      </c>
      <c r="P131" s="58">
        <v>-334</v>
      </c>
      <c r="Q131" s="58">
        <v>-31</v>
      </c>
      <c r="R131" s="58">
        <v>-365</v>
      </c>
      <c r="S131" s="58">
        <v>9.2813999999999997</v>
      </c>
      <c r="T131" s="58">
        <v>-30</v>
      </c>
      <c r="U131" s="57">
        <v>0</v>
      </c>
    </row>
    <row r="132" spans="2:21" x14ac:dyDescent="0.25">
      <c r="B132" s="56" t="s">
        <v>524</v>
      </c>
      <c r="C132" s="57">
        <v>0</v>
      </c>
      <c r="D132" s="57">
        <v>0</v>
      </c>
      <c r="E132" s="57">
        <v>0</v>
      </c>
      <c r="F132" s="57">
        <v>0</v>
      </c>
      <c r="G132" s="57">
        <v>0</v>
      </c>
      <c r="H132" s="57">
        <v>0</v>
      </c>
      <c r="I132" s="57">
        <v>0</v>
      </c>
      <c r="J132" s="57">
        <v>0</v>
      </c>
      <c r="K132" s="57">
        <v>0</v>
      </c>
      <c r="L132" s="58">
        <v>-304</v>
      </c>
      <c r="M132" s="58">
        <v>-30</v>
      </c>
      <c r="N132" s="57">
        <v>0</v>
      </c>
      <c r="O132" s="58">
        <v>-334</v>
      </c>
      <c r="P132" s="58">
        <v>-334</v>
      </c>
      <c r="Q132" s="57">
        <v>0</v>
      </c>
      <c r="R132" s="58">
        <v>-365</v>
      </c>
      <c r="S132" s="57">
        <v>0</v>
      </c>
      <c r="T132" s="58">
        <v>-30</v>
      </c>
      <c r="U132" s="57">
        <v>0</v>
      </c>
    </row>
    <row r="133" spans="2:21" x14ac:dyDescent="0.25">
      <c r="B133" s="56" t="s">
        <v>449</v>
      </c>
      <c r="C133" s="57">
        <v>0</v>
      </c>
      <c r="D133" s="57">
        <v>0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0</v>
      </c>
      <c r="L133" s="58">
        <v>-25</v>
      </c>
      <c r="M133" s="58">
        <v>-2</v>
      </c>
      <c r="N133" s="57">
        <v>0</v>
      </c>
      <c r="O133" s="58">
        <v>-27</v>
      </c>
      <c r="P133" s="57">
        <v>0</v>
      </c>
      <c r="Q133" s="58">
        <v>27</v>
      </c>
      <c r="R133" s="57">
        <v>0</v>
      </c>
      <c r="S133" s="57">
        <v>0</v>
      </c>
      <c r="T133" s="57">
        <v>0</v>
      </c>
      <c r="U133" s="57">
        <v>0</v>
      </c>
    </row>
    <row r="134" spans="2:21" x14ac:dyDescent="0.25">
      <c r="B134" s="59" t="s">
        <v>450</v>
      </c>
      <c r="C134" s="61">
        <v>0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0">
        <v>-3894595.39</v>
      </c>
      <c r="M134" s="60">
        <v>-225060.95</v>
      </c>
      <c r="N134" s="61">
        <v>0</v>
      </c>
      <c r="O134" s="60">
        <v>-4119656.34</v>
      </c>
      <c r="P134" s="60">
        <v>-3753646.62</v>
      </c>
      <c r="Q134" s="60">
        <v>366009.72</v>
      </c>
      <c r="R134" s="60">
        <v>-4214174.09</v>
      </c>
      <c r="S134" s="60">
        <v>-9.7507999999999999</v>
      </c>
      <c r="T134" s="60">
        <v>-456319.51</v>
      </c>
      <c r="U134" s="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5277-7C5A-4FD7-8397-6CB3149218D3}">
  <sheetPr codeName="Hoja10">
    <tabColor theme="0" tint="-0.14999847407452621"/>
    <outlinePr summaryBelow="0"/>
    <pageSetUpPr fitToPage="1"/>
  </sheetPr>
  <dimension ref="A1:IV127"/>
  <sheetViews>
    <sheetView showGridLines="0" tabSelected="1" zoomScale="75" zoomScaleNormal="75" workbookViewId="0">
      <pane xSplit="3" ySplit="6" topLeftCell="D26" activePane="bottomRight" state="frozen"/>
      <selection activeCell="X7" sqref="X7"/>
      <selection pane="topRight" activeCell="X7" sqref="X7"/>
      <selection pane="bottomLeft" activeCell="X7" sqref="X7"/>
      <selection pane="bottomRight" activeCell="H116" sqref="H116"/>
    </sheetView>
  </sheetViews>
  <sheetFormatPr baseColWidth="10" defaultColWidth="11.44140625" defaultRowHeight="13.8" outlineLevelRow="1" x14ac:dyDescent="0.25"/>
  <cols>
    <col min="1" max="1" width="11.44140625" style="6" hidden="1" customWidth="1"/>
    <col min="2" max="2" width="35.77734375" style="4" customWidth="1"/>
    <col min="3" max="3" width="0.6640625" style="21" customWidth="1"/>
    <col min="4" max="8" width="11.77734375" style="21" customWidth="1"/>
    <col min="9" max="15" width="5.44140625" style="21" customWidth="1"/>
    <col min="16" max="16" width="0.6640625" style="21" customWidth="1"/>
    <col min="17" max="19" width="12.77734375" style="21" customWidth="1"/>
    <col min="20" max="20" width="5.77734375" style="21" customWidth="1"/>
    <col min="21" max="21" width="0.6640625" style="21" customWidth="1"/>
    <col min="22" max="22" width="12.77734375" style="21" customWidth="1"/>
    <col min="23" max="23" width="0.6640625" style="21" customWidth="1"/>
    <col min="24" max="24" width="12.77734375" style="21" customWidth="1"/>
    <col min="25" max="34" width="11.44140625" style="6" customWidth="1"/>
    <col min="35" max="16384" width="11.44140625" style="6"/>
  </cols>
  <sheetData>
    <row r="1" spans="1:35" ht="14.4" customHeight="1" x14ac:dyDescent="0.25">
      <c r="B1" s="20"/>
      <c r="Z1" s="13">
        <f>+PETRAL!Z1</f>
        <v>5</v>
      </c>
    </row>
    <row r="2" spans="1:35" ht="14.4" customHeight="1" x14ac:dyDescent="0.2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35" x14ac:dyDescent="0.25">
      <c r="B3" s="8">
        <f>+PETRAL!B3</f>
        <v>46143</v>
      </c>
      <c r="C3" s="7"/>
      <c r="D3" s="67" t="s">
        <v>110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7"/>
      <c r="V3" s="7"/>
      <c r="W3" s="7"/>
      <c r="X3" s="7" t="s">
        <v>1</v>
      </c>
    </row>
    <row r="4" spans="1:35" ht="1.95" customHeight="1" x14ac:dyDescent="0.25">
      <c r="B4" s="7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35" x14ac:dyDescent="0.25">
      <c r="B5" s="9"/>
      <c r="C5" s="7"/>
      <c r="D5" s="10"/>
      <c r="E5" s="10"/>
      <c r="F5" s="10"/>
      <c r="G5" s="10"/>
      <c r="H5" s="10"/>
      <c r="I5" s="10"/>
      <c r="J5" s="10"/>
      <c r="K5" s="10"/>
      <c r="L5" s="10"/>
      <c r="M5" s="1"/>
      <c r="N5" s="1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35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+PETRAL!X6</f>
        <v>45778</v>
      </c>
    </row>
    <row r="7" spans="1:35" s="12" customFormat="1" ht="3.6" customHeight="1" x14ac:dyDescent="0.25">
      <c r="B7" s="25"/>
      <c r="C7" s="2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/>
      <c r="Q7" s="5"/>
      <c r="R7" s="5"/>
      <c r="S7" s="5"/>
      <c r="T7" s="5"/>
      <c r="U7" s="5"/>
      <c r="V7" s="5"/>
      <c r="W7" s="5"/>
      <c r="X7" s="5"/>
    </row>
    <row r="8" spans="1:35" x14ac:dyDescent="0.25">
      <c r="B8" s="3" t="s">
        <v>24</v>
      </c>
      <c r="C8" s="4"/>
      <c r="D8" s="2">
        <v>0</v>
      </c>
      <c r="E8" s="2">
        <v>0</v>
      </c>
      <c r="F8" s="2">
        <v>0</v>
      </c>
      <c r="G8" s="2">
        <v>0</v>
      </c>
      <c r="H8" s="2">
        <v>472589.52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2">
        <v>472589.52</v>
      </c>
      <c r="R8" s="2">
        <v>0</v>
      </c>
      <c r="S8" s="2">
        <v>472589.52</v>
      </c>
      <c r="T8" s="2">
        <v>0</v>
      </c>
      <c r="U8" s="4"/>
      <c r="V8" s="2">
        <v>0</v>
      </c>
      <c r="W8" s="4"/>
      <c r="X8" s="2">
        <v>0</v>
      </c>
      <c r="AI8" s="4"/>
    </row>
    <row r="9" spans="1:35" x14ac:dyDescent="0.25">
      <c r="A9" s="53" t="s">
        <v>371</v>
      </c>
      <c r="B9" s="16" t="s">
        <v>111</v>
      </c>
      <c r="D9" s="26">
        <v>0</v>
      </c>
      <c r="E9" s="26">
        <v>0</v>
      </c>
      <c r="F9" s="26">
        <v>0</v>
      </c>
      <c r="G9" s="26">
        <v>0</v>
      </c>
      <c r="H9" s="26">
        <v>362131.63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4"/>
      <c r="Q9" s="26">
        <v>362131.63</v>
      </c>
      <c r="R9" s="26">
        <v>0</v>
      </c>
      <c r="S9" s="16">
        <v>362131.63</v>
      </c>
      <c r="T9" s="16">
        <v>0</v>
      </c>
      <c r="V9" s="26">
        <v>0</v>
      </c>
      <c r="X9" s="26">
        <v>0</v>
      </c>
      <c r="AI9" s="4"/>
    </row>
    <row r="10" spans="1:35" x14ac:dyDescent="0.25"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4"/>
      <c r="Q10" s="26">
        <v>0</v>
      </c>
      <c r="R10" s="26">
        <v>0</v>
      </c>
      <c r="S10" s="16">
        <v>0</v>
      </c>
      <c r="T10" s="16">
        <v>0</v>
      </c>
      <c r="V10" s="26">
        <v>0</v>
      </c>
      <c r="X10" s="26">
        <v>0</v>
      </c>
      <c r="AI10" s="4"/>
    </row>
    <row r="11" spans="1:35" x14ac:dyDescent="0.25">
      <c r="A11" s="53" t="s">
        <v>374</v>
      </c>
      <c r="B11" s="16" t="s">
        <v>27</v>
      </c>
      <c r="D11" s="26">
        <v>0</v>
      </c>
      <c r="E11" s="26">
        <v>0</v>
      </c>
      <c r="F11" s="26">
        <v>0</v>
      </c>
      <c r="G11" s="26">
        <v>0</v>
      </c>
      <c r="H11" s="26">
        <v>110457.89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4"/>
      <c r="Q11" s="26">
        <v>110457.89</v>
      </c>
      <c r="R11" s="26">
        <v>0</v>
      </c>
      <c r="S11" s="16">
        <v>110457.89</v>
      </c>
      <c r="T11" s="16">
        <v>0</v>
      </c>
      <c r="V11" s="26">
        <v>0</v>
      </c>
      <c r="X11" s="26">
        <v>0</v>
      </c>
      <c r="AI11" s="4"/>
    </row>
    <row r="12" spans="1:35" x14ac:dyDescent="0.25">
      <c r="A12" s="53" t="s">
        <v>375</v>
      </c>
      <c r="B12" s="16" t="s">
        <v>28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4"/>
      <c r="Q12" s="26">
        <v>0</v>
      </c>
      <c r="R12" s="26">
        <v>0</v>
      </c>
      <c r="S12" s="16">
        <v>0</v>
      </c>
      <c r="T12" s="16">
        <v>0</v>
      </c>
      <c r="V12" s="26">
        <v>0</v>
      </c>
      <c r="X12" s="26">
        <v>0</v>
      </c>
      <c r="AI12" s="4"/>
    </row>
    <row r="13" spans="1:35" x14ac:dyDescent="0.25">
      <c r="A13" s="53" t="s">
        <v>376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4"/>
      <c r="Q13" s="26">
        <v>0</v>
      </c>
      <c r="R13" s="26">
        <v>0</v>
      </c>
      <c r="S13" s="16">
        <v>0</v>
      </c>
      <c r="T13" s="16">
        <v>0</v>
      </c>
      <c r="V13" s="16">
        <v>0</v>
      </c>
      <c r="X13" s="26">
        <v>0</v>
      </c>
      <c r="AI13" s="4"/>
    </row>
    <row r="14" spans="1:35" s="12" customFormat="1" ht="3.6" customHeight="1" x14ac:dyDescent="0.25">
      <c r="B14" s="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4"/>
      <c r="Q14" s="21"/>
      <c r="R14" s="21"/>
      <c r="S14" s="21"/>
      <c r="T14" s="21"/>
      <c r="U14" s="21"/>
      <c r="V14" s="21"/>
      <c r="W14" s="21"/>
      <c r="X14" s="21"/>
      <c r="AI14" s="4"/>
    </row>
    <row r="15" spans="1:35" s="18" customFormat="1" x14ac:dyDescent="0.25">
      <c r="B15" s="27" t="s">
        <v>30</v>
      </c>
      <c r="C15" s="4"/>
      <c r="D15" s="28">
        <v>0</v>
      </c>
      <c r="E15" s="28">
        <v>0</v>
      </c>
      <c r="F15" s="28">
        <v>0</v>
      </c>
      <c r="G15" s="28">
        <v>0</v>
      </c>
      <c r="H15" s="28">
        <v>-112500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4"/>
      <c r="Q15" s="28">
        <v>-112500</v>
      </c>
      <c r="R15" s="28">
        <v>0</v>
      </c>
      <c r="S15" s="28">
        <v>-112500</v>
      </c>
      <c r="T15" s="28">
        <v>0</v>
      </c>
      <c r="U15" s="4"/>
      <c r="V15" s="28">
        <v>0</v>
      </c>
      <c r="W15" s="4"/>
      <c r="X15" s="28">
        <v>16617.689999999999</v>
      </c>
      <c r="Z15" s="6"/>
      <c r="AA15" s="6"/>
      <c r="AB15" s="6"/>
      <c r="AI15" s="4"/>
    </row>
    <row r="16" spans="1:35" x14ac:dyDescent="0.25">
      <c r="A16" s="53" t="s">
        <v>379</v>
      </c>
      <c r="B16" s="16" t="s">
        <v>31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16">
        <v>0</v>
      </c>
      <c r="R16" s="26">
        <v>0</v>
      </c>
      <c r="S16" s="16">
        <v>0</v>
      </c>
      <c r="T16" s="16">
        <v>0</v>
      </c>
      <c r="V16" s="26">
        <v>0</v>
      </c>
      <c r="X16" s="26">
        <v>0</v>
      </c>
      <c r="AI16" s="4"/>
    </row>
    <row r="17" spans="1:256" x14ac:dyDescent="0.25">
      <c r="A17" s="53" t="s">
        <v>381</v>
      </c>
      <c r="B17" s="16" t="s">
        <v>32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16">
        <v>0</v>
      </c>
      <c r="R17" s="26">
        <v>0</v>
      </c>
      <c r="S17" s="16">
        <v>0</v>
      </c>
      <c r="T17" s="16">
        <v>0</v>
      </c>
      <c r="V17" s="26">
        <v>0</v>
      </c>
      <c r="X17" s="26">
        <v>16617.689999999999</v>
      </c>
      <c r="AI17" s="4"/>
    </row>
    <row r="18" spans="1:256" ht="13.95" customHeight="1" x14ac:dyDescent="0.25">
      <c r="A18" s="53" t="s">
        <v>615</v>
      </c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-112500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16">
        <v>-112500</v>
      </c>
      <c r="R18" s="26">
        <v>0</v>
      </c>
      <c r="S18" s="16">
        <v>-112500</v>
      </c>
      <c r="T18" s="16">
        <v>0</v>
      </c>
      <c r="V18" s="26">
        <v>0</v>
      </c>
      <c r="X18" s="26">
        <v>0</v>
      </c>
      <c r="AI18" s="4"/>
    </row>
    <row r="19" spans="1:256" ht="13.95" customHeight="1" x14ac:dyDescent="0.25">
      <c r="B19" s="16" t="s">
        <v>35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Q19" s="16">
        <v>0</v>
      </c>
      <c r="R19" s="26">
        <v>0</v>
      </c>
      <c r="S19" s="16">
        <v>0</v>
      </c>
      <c r="T19" s="16">
        <v>0</v>
      </c>
      <c r="V19" s="26">
        <v>0</v>
      </c>
      <c r="X19" s="26">
        <v>0</v>
      </c>
      <c r="AI19" s="4"/>
    </row>
    <row r="20" spans="1:256" x14ac:dyDescent="0.25">
      <c r="B20" s="16" t="s">
        <v>36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16">
        <v>0</v>
      </c>
      <c r="R20" s="26">
        <v>0</v>
      </c>
      <c r="S20" s="16">
        <v>0</v>
      </c>
      <c r="T20" s="16">
        <v>0</v>
      </c>
      <c r="V20" s="26">
        <v>0</v>
      </c>
      <c r="X20" s="26">
        <v>0</v>
      </c>
      <c r="AI20" s="4"/>
    </row>
    <row r="21" spans="1:256" hidden="1" x14ac:dyDescent="0.25">
      <c r="B21" s="1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Q21" s="16"/>
      <c r="R21" s="26"/>
      <c r="S21" s="16"/>
      <c r="T21" s="16"/>
      <c r="V21" s="26"/>
      <c r="X21" s="26"/>
      <c r="AI21" s="4"/>
    </row>
    <row r="22" spans="1:256" hidden="1" x14ac:dyDescent="0.2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Q22" s="29"/>
      <c r="R22" s="29"/>
      <c r="S22" s="29"/>
      <c r="T22" s="29"/>
      <c r="V22" s="29"/>
      <c r="X22" s="29"/>
      <c r="AI22" s="4"/>
    </row>
    <row r="23" spans="1:256" s="12" customFormat="1" ht="3.6" customHeight="1" x14ac:dyDescent="0.25">
      <c r="B23" s="3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AI23" s="4"/>
    </row>
    <row r="24" spans="1:256" x14ac:dyDescent="0.25">
      <c r="B24" s="3" t="s">
        <v>38</v>
      </c>
      <c r="C24" s="4"/>
      <c r="D24" s="2">
        <v>0</v>
      </c>
      <c r="E24" s="2">
        <v>0</v>
      </c>
      <c r="F24" s="2">
        <v>0</v>
      </c>
      <c r="G24" s="2">
        <v>0</v>
      </c>
      <c r="H24" s="2">
        <v>360089.52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360089.52</v>
      </c>
      <c r="R24" s="2">
        <v>0</v>
      </c>
      <c r="S24" s="2">
        <v>360089.52</v>
      </c>
      <c r="T24" s="2">
        <v>0</v>
      </c>
      <c r="U24" s="4"/>
      <c r="V24" s="2">
        <v>0</v>
      </c>
      <c r="W24" s="4"/>
      <c r="X24" s="2">
        <v>16617.689999999999</v>
      </c>
      <c r="AI24" s="4"/>
    </row>
    <row r="25" spans="1:256" s="12" customFormat="1" ht="3.6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AI25" s="4"/>
    </row>
    <row r="26" spans="1:256" x14ac:dyDescent="0.25">
      <c r="A26" s="53" t="s">
        <v>457</v>
      </c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-417912.29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16">
        <v>-417912.29</v>
      </c>
      <c r="R26" s="26">
        <v>0</v>
      </c>
      <c r="S26" s="16">
        <v>-417912.29</v>
      </c>
      <c r="T26" s="16">
        <v>0</v>
      </c>
      <c r="V26" s="26">
        <v>0</v>
      </c>
      <c r="X26" s="26">
        <v>0</v>
      </c>
      <c r="AI26" s="4"/>
    </row>
    <row r="27" spans="1:256" s="12" customFormat="1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AI27" s="4"/>
    </row>
    <row r="28" spans="1:256" x14ac:dyDescent="0.25">
      <c r="B28" s="3" t="s">
        <v>40</v>
      </c>
      <c r="C28" s="4"/>
      <c r="D28" s="2">
        <v>0</v>
      </c>
      <c r="E28" s="2">
        <v>0</v>
      </c>
      <c r="F28" s="2">
        <v>0</v>
      </c>
      <c r="G28" s="2">
        <v>0</v>
      </c>
      <c r="H28" s="2">
        <v>-57822.76999999996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-57822.76999999996</v>
      </c>
      <c r="R28" s="2">
        <v>0</v>
      </c>
      <c r="S28" s="2">
        <v>-57822.76999999996</v>
      </c>
      <c r="T28" s="32">
        <v>0</v>
      </c>
      <c r="V28" s="2">
        <v>0</v>
      </c>
      <c r="W28" s="4"/>
      <c r="X28" s="2">
        <v>16617.689999999999</v>
      </c>
      <c r="AI28" s="4"/>
    </row>
    <row r="29" spans="1:256" s="12" customFormat="1" ht="3.6" customHeight="1" x14ac:dyDescent="0.25">
      <c r="B29" s="3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AI29" s="4"/>
    </row>
    <row r="30" spans="1:256" s="18" customFormat="1" x14ac:dyDescent="0.25">
      <c r="B30" s="27" t="s">
        <v>41</v>
      </c>
      <c r="C30" s="4"/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4"/>
      <c r="Q30" s="28">
        <v>0</v>
      </c>
      <c r="R30" s="28">
        <v>0</v>
      </c>
      <c r="S30" s="28">
        <v>0</v>
      </c>
      <c r="T30" s="28">
        <v>0</v>
      </c>
      <c r="U30" s="4"/>
      <c r="V30" s="28">
        <v>0</v>
      </c>
      <c r="W30" s="4"/>
      <c r="X30" s="28">
        <v>0</v>
      </c>
      <c r="Z30" s="6"/>
      <c r="AA30" s="6"/>
      <c r="AB30" s="6"/>
      <c r="AI30" s="4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</row>
    <row r="31" spans="1:256" s="18" customFormat="1" collapsed="1" x14ac:dyDescent="0.25">
      <c r="B31" s="16" t="s">
        <v>42</v>
      </c>
      <c r="C31" s="4"/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0</v>
      </c>
      <c r="R31" s="16">
        <v>0</v>
      </c>
      <c r="S31" s="16">
        <v>0</v>
      </c>
      <c r="T31" s="28">
        <v>0</v>
      </c>
      <c r="U31" s="21"/>
      <c r="V31" s="16">
        <v>0</v>
      </c>
      <c r="W31" s="21"/>
      <c r="X31" s="16">
        <v>0</v>
      </c>
      <c r="Z31" s="6"/>
      <c r="AA31" s="6"/>
      <c r="AB31" s="6"/>
      <c r="AI31" s="4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</row>
    <row r="32" spans="1:256" s="18" customFormat="1" hidden="1" outlineLevel="1" x14ac:dyDescent="0.25">
      <c r="B32" s="3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Z32" s="6"/>
      <c r="AA32" s="6"/>
      <c r="AB32" s="6"/>
      <c r="AI32" s="4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2:35" hidden="1" outlineLevel="1" x14ac:dyDescent="0.25">
      <c r="B33" s="16" t="s">
        <v>43</v>
      </c>
      <c r="C33" s="4"/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16">
        <v>0</v>
      </c>
      <c r="R33" s="26">
        <v>0</v>
      </c>
      <c r="S33" s="16">
        <v>0</v>
      </c>
      <c r="T33" s="16">
        <v>0</v>
      </c>
      <c r="V33" s="26">
        <v>0</v>
      </c>
      <c r="X33" s="26">
        <v>0</v>
      </c>
      <c r="AI33" s="4"/>
    </row>
    <row r="34" spans="2:35" ht="13.95" hidden="1" customHeight="1" outlineLevel="1" x14ac:dyDescent="0.25">
      <c r="B34" s="16" t="s">
        <v>44</v>
      </c>
      <c r="C34" s="4"/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16">
        <v>0</v>
      </c>
      <c r="R34" s="26">
        <v>0</v>
      </c>
      <c r="S34" s="16">
        <v>0</v>
      </c>
      <c r="T34" s="16">
        <v>0</v>
      </c>
      <c r="V34" s="26">
        <v>0</v>
      </c>
      <c r="X34" s="26">
        <v>0</v>
      </c>
      <c r="AI34" s="4"/>
    </row>
    <row r="35" spans="2:35" ht="13.95" hidden="1" customHeight="1" outlineLevel="1" x14ac:dyDescent="0.25">
      <c r="B35" s="16" t="s">
        <v>45</v>
      </c>
      <c r="C35" s="4"/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16">
        <v>0</v>
      </c>
      <c r="R35" s="26">
        <v>0</v>
      </c>
      <c r="S35" s="16">
        <v>0</v>
      </c>
      <c r="T35" s="16">
        <v>0</v>
      </c>
      <c r="V35" s="26">
        <v>0</v>
      </c>
      <c r="X35" s="26">
        <v>0</v>
      </c>
      <c r="AI35" s="4"/>
    </row>
    <row r="36" spans="2:35" ht="13.95" hidden="1" customHeight="1" outlineLevel="1" x14ac:dyDescent="0.25">
      <c r="B36" s="16" t="s">
        <v>46</v>
      </c>
      <c r="C36" s="4"/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16">
        <v>0</v>
      </c>
      <c r="R36" s="26">
        <v>0</v>
      </c>
      <c r="S36" s="16">
        <v>0</v>
      </c>
      <c r="T36" s="16">
        <v>0</v>
      </c>
      <c r="V36" s="26">
        <v>0</v>
      </c>
      <c r="X36" s="26">
        <v>0</v>
      </c>
      <c r="AI36" s="4"/>
    </row>
    <row r="37" spans="2:35" ht="13.95" hidden="1" customHeight="1" outlineLevel="1" x14ac:dyDescent="0.25">
      <c r="B37" s="16" t="s">
        <v>47</v>
      </c>
      <c r="C37" s="4"/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16">
        <v>0</v>
      </c>
      <c r="R37" s="26">
        <v>0</v>
      </c>
      <c r="S37" s="16">
        <v>0</v>
      </c>
      <c r="T37" s="16">
        <v>0</v>
      </c>
      <c r="V37" s="26">
        <v>0</v>
      </c>
      <c r="X37" s="26">
        <v>0</v>
      </c>
      <c r="AI37" s="4"/>
    </row>
    <row r="38" spans="2:35" ht="13.95" hidden="1" customHeight="1" outlineLevel="1" x14ac:dyDescent="0.25">
      <c r="B38" s="16" t="s">
        <v>48</v>
      </c>
      <c r="C38" s="4"/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16">
        <v>0</v>
      </c>
      <c r="R38" s="26">
        <v>0</v>
      </c>
      <c r="S38" s="16">
        <v>0</v>
      </c>
      <c r="T38" s="16">
        <v>0</v>
      </c>
      <c r="V38" s="26">
        <v>0</v>
      </c>
      <c r="X38" s="26">
        <v>0</v>
      </c>
      <c r="AI38" s="4"/>
    </row>
    <row r="39" spans="2:35" ht="13.95" hidden="1" customHeight="1" outlineLevel="1" x14ac:dyDescent="0.25">
      <c r="B39" s="16" t="s">
        <v>49</v>
      </c>
      <c r="C39" s="4"/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16">
        <v>0</v>
      </c>
      <c r="R39" s="26">
        <v>0</v>
      </c>
      <c r="S39" s="16">
        <v>0</v>
      </c>
      <c r="T39" s="16">
        <v>0</v>
      </c>
      <c r="V39" s="26">
        <v>0</v>
      </c>
      <c r="X39" s="26">
        <v>0</v>
      </c>
      <c r="AI39" s="4"/>
    </row>
    <row r="40" spans="2:35" ht="13.95" hidden="1" customHeight="1" outlineLevel="1" x14ac:dyDescent="0.25">
      <c r="B40" s="16" t="s">
        <v>50</v>
      </c>
      <c r="C40" s="4"/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16">
        <v>0</v>
      </c>
      <c r="R40" s="26">
        <v>0</v>
      </c>
      <c r="S40" s="16">
        <v>0</v>
      </c>
      <c r="T40" s="16">
        <v>0</v>
      </c>
      <c r="V40" s="26">
        <v>0</v>
      </c>
      <c r="X40" s="26">
        <v>0</v>
      </c>
      <c r="AI40" s="4"/>
    </row>
    <row r="41" spans="2:35" ht="13.95" hidden="1" customHeight="1" outlineLevel="1" x14ac:dyDescent="0.25">
      <c r="B41" s="16" t="s">
        <v>51</v>
      </c>
      <c r="C41" s="4"/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16">
        <v>0</v>
      </c>
      <c r="R41" s="26">
        <v>0</v>
      </c>
      <c r="S41" s="16">
        <v>0</v>
      </c>
      <c r="T41" s="16">
        <v>0</v>
      </c>
      <c r="V41" s="26">
        <v>0</v>
      </c>
      <c r="X41" s="26">
        <v>0</v>
      </c>
      <c r="AI41" s="4"/>
    </row>
    <row r="42" spans="2:35" ht="13.95" hidden="1" customHeight="1" outlineLevel="1" x14ac:dyDescent="0.25">
      <c r="B42" s="16" t="s">
        <v>52</v>
      </c>
      <c r="C42" s="4"/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16">
        <v>0</v>
      </c>
      <c r="R42" s="26">
        <v>0</v>
      </c>
      <c r="S42" s="16">
        <v>0</v>
      </c>
      <c r="T42" s="16">
        <v>0</v>
      </c>
      <c r="V42" s="26">
        <v>0</v>
      </c>
      <c r="X42" s="26">
        <v>0</v>
      </c>
      <c r="AI42" s="4"/>
    </row>
    <row r="43" spans="2:35" ht="13.95" hidden="1" customHeight="1" outlineLevel="1" x14ac:dyDescent="0.25">
      <c r="B43" s="16" t="s">
        <v>53</v>
      </c>
      <c r="C43" s="4"/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16">
        <v>0</v>
      </c>
      <c r="R43" s="26">
        <v>0</v>
      </c>
      <c r="S43" s="16">
        <v>0</v>
      </c>
      <c r="T43" s="16">
        <v>0</v>
      </c>
      <c r="V43" s="26">
        <v>0</v>
      </c>
      <c r="X43" s="26">
        <v>0</v>
      </c>
      <c r="AI43" s="4"/>
    </row>
    <row r="44" spans="2:35" s="12" customFormat="1" ht="3.6" customHeight="1" x14ac:dyDescent="0.25">
      <c r="B44" s="3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AI44" s="4"/>
    </row>
    <row r="45" spans="2:35" s="18" customFormat="1" x14ac:dyDescent="0.25">
      <c r="B45" s="27" t="s">
        <v>54</v>
      </c>
      <c r="C45" s="4"/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4"/>
      <c r="Q45" s="28">
        <v>0</v>
      </c>
      <c r="R45" s="28">
        <v>0</v>
      </c>
      <c r="S45" s="28">
        <v>0</v>
      </c>
      <c r="T45" s="28">
        <v>0</v>
      </c>
      <c r="U45" s="4"/>
      <c r="V45" s="28">
        <v>0</v>
      </c>
      <c r="W45" s="21"/>
      <c r="X45" s="28">
        <v>0</v>
      </c>
      <c r="Z45" s="6"/>
      <c r="AA45" s="6"/>
      <c r="AB45" s="6"/>
      <c r="AI45" s="4"/>
    </row>
    <row r="46" spans="2:35" x14ac:dyDescent="0.25">
      <c r="B46" s="16" t="s">
        <v>55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26">
        <v>0</v>
      </c>
      <c r="R46" s="26">
        <v>0</v>
      </c>
      <c r="S46" s="16">
        <v>0</v>
      </c>
      <c r="T46" s="16">
        <v>0</v>
      </c>
      <c r="V46" s="26">
        <v>0</v>
      </c>
      <c r="X46" s="26">
        <v>0</v>
      </c>
      <c r="AI46" s="4"/>
    </row>
    <row r="47" spans="2:35" x14ac:dyDescent="0.25">
      <c r="B47" s="16" t="s">
        <v>56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26">
        <v>0</v>
      </c>
      <c r="R47" s="26">
        <v>0</v>
      </c>
      <c r="S47" s="16">
        <v>0</v>
      </c>
      <c r="T47" s="16">
        <v>0</v>
      </c>
      <c r="V47" s="26">
        <v>0</v>
      </c>
      <c r="X47" s="26">
        <v>0</v>
      </c>
      <c r="AI47" s="4"/>
    </row>
    <row r="48" spans="2:35" x14ac:dyDescent="0.25">
      <c r="B48" s="16" t="s">
        <v>57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26">
        <v>0</v>
      </c>
      <c r="R48" s="26">
        <v>0</v>
      </c>
      <c r="S48" s="16">
        <v>0</v>
      </c>
      <c r="T48" s="16">
        <v>0</v>
      </c>
      <c r="V48" s="26">
        <v>0</v>
      </c>
      <c r="X48" s="26">
        <v>0</v>
      </c>
      <c r="AI48" s="4"/>
    </row>
    <row r="49" spans="1:35" x14ac:dyDescent="0.25">
      <c r="B49" s="16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26">
        <v>0</v>
      </c>
      <c r="R49" s="26">
        <v>0</v>
      </c>
      <c r="S49" s="16">
        <v>0</v>
      </c>
      <c r="T49" s="16">
        <v>0</v>
      </c>
      <c r="V49" s="26">
        <v>0</v>
      </c>
      <c r="X49" s="26">
        <v>0</v>
      </c>
      <c r="AI49" s="4"/>
    </row>
    <row r="50" spans="1:35" x14ac:dyDescent="0.25">
      <c r="B50" s="16" t="s">
        <v>58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Q50" s="26">
        <v>0</v>
      </c>
      <c r="R50" s="26">
        <v>0</v>
      </c>
      <c r="S50" s="16">
        <v>0</v>
      </c>
      <c r="T50" s="16">
        <v>0</v>
      </c>
      <c r="V50" s="26">
        <v>0</v>
      </c>
      <c r="X50" s="26">
        <v>0</v>
      </c>
      <c r="AI50" s="4"/>
    </row>
    <row r="51" spans="1:35" collapsed="1" x14ac:dyDescent="0.25">
      <c r="B51" s="16" t="s">
        <v>59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26">
        <v>0</v>
      </c>
      <c r="R51" s="26">
        <v>0</v>
      </c>
      <c r="S51" s="16">
        <v>0</v>
      </c>
      <c r="T51" s="16">
        <v>0</v>
      </c>
      <c r="V51" s="16">
        <v>0</v>
      </c>
      <c r="X51" s="26">
        <v>0</v>
      </c>
      <c r="AI51" s="4"/>
    </row>
    <row r="52" spans="1:35" ht="13.95" hidden="1" customHeight="1" outlineLevel="1" x14ac:dyDescent="0.25">
      <c r="B52" s="16" t="s">
        <v>60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26">
        <v>0</v>
      </c>
      <c r="R52" s="26">
        <v>0</v>
      </c>
      <c r="S52" s="16">
        <v>0</v>
      </c>
      <c r="T52" s="16">
        <v>0</v>
      </c>
      <c r="V52" s="26">
        <v>0</v>
      </c>
      <c r="X52" s="26">
        <v>0</v>
      </c>
      <c r="AI52" s="4"/>
    </row>
    <row r="53" spans="1:35" ht="13.95" hidden="1" customHeight="1" outlineLevel="1" x14ac:dyDescent="0.25">
      <c r="B53" s="16" t="s">
        <v>61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26">
        <v>0</v>
      </c>
      <c r="R53" s="26">
        <v>0</v>
      </c>
      <c r="S53" s="16">
        <v>0</v>
      </c>
      <c r="T53" s="16">
        <v>0</v>
      </c>
      <c r="V53" s="26">
        <v>0</v>
      </c>
      <c r="X53" s="26">
        <v>0</v>
      </c>
      <c r="AI53" s="4"/>
    </row>
    <row r="54" spans="1:35" ht="13.95" hidden="1" customHeight="1" outlineLevel="1" x14ac:dyDescent="0.25">
      <c r="B54" s="16" t="s">
        <v>112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26">
        <v>0</v>
      </c>
      <c r="R54" s="26">
        <v>0</v>
      </c>
      <c r="S54" s="16">
        <v>0</v>
      </c>
      <c r="T54" s="16">
        <v>0</v>
      </c>
      <c r="V54" s="26">
        <v>0</v>
      </c>
      <c r="X54" s="26">
        <v>0</v>
      </c>
      <c r="AI54" s="4"/>
    </row>
    <row r="55" spans="1:35" ht="13.95" hidden="1" customHeight="1" outlineLevel="1" x14ac:dyDescent="0.25">
      <c r="B55" s="16" t="s">
        <v>63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26">
        <v>0</v>
      </c>
      <c r="R55" s="26">
        <v>0</v>
      </c>
      <c r="S55" s="16">
        <v>0</v>
      </c>
      <c r="T55" s="16">
        <v>0</v>
      </c>
      <c r="V55" s="26">
        <v>0</v>
      </c>
      <c r="X55" s="26">
        <v>0</v>
      </c>
      <c r="AI55" s="4"/>
    </row>
    <row r="56" spans="1:35" ht="13.95" hidden="1" customHeight="1" outlineLevel="1" x14ac:dyDescent="0.25">
      <c r="B56" s="16" t="s">
        <v>64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26">
        <v>0</v>
      </c>
      <c r="R56" s="26">
        <v>0</v>
      </c>
      <c r="S56" s="16">
        <v>0</v>
      </c>
      <c r="T56" s="16">
        <v>0</v>
      </c>
      <c r="V56" s="26">
        <v>0</v>
      </c>
      <c r="X56" s="26">
        <v>0</v>
      </c>
      <c r="AI56" s="4"/>
    </row>
    <row r="57" spans="1:35" x14ac:dyDescent="0.25">
      <c r="B57" s="16" t="s">
        <v>65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Q57" s="26">
        <v>0</v>
      </c>
      <c r="R57" s="26">
        <v>0</v>
      </c>
      <c r="S57" s="16">
        <v>0</v>
      </c>
      <c r="T57" s="16">
        <v>0</v>
      </c>
      <c r="V57" s="26">
        <v>0</v>
      </c>
      <c r="X57" s="26">
        <v>0</v>
      </c>
      <c r="AI57" s="4"/>
    </row>
    <row r="58" spans="1:35" s="12" customFormat="1" ht="3.6" customHeight="1" x14ac:dyDescent="0.25">
      <c r="B58" s="3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AI58" s="4"/>
    </row>
    <row r="59" spans="1:35" s="18" customFormat="1" x14ac:dyDescent="0.25">
      <c r="B59" s="27" t="s">
        <v>67</v>
      </c>
      <c r="C59" s="4"/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4"/>
      <c r="Q59" s="28">
        <v>0</v>
      </c>
      <c r="R59" s="28">
        <v>0</v>
      </c>
      <c r="S59" s="28">
        <v>0</v>
      </c>
      <c r="T59" s="28">
        <v>0</v>
      </c>
      <c r="U59" s="4"/>
      <c r="V59" s="28">
        <v>0</v>
      </c>
      <c r="W59" s="4"/>
      <c r="X59" s="28">
        <v>0</v>
      </c>
      <c r="Z59" s="6"/>
      <c r="AA59" s="6"/>
      <c r="AB59" s="6"/>
      <c r="AI59" s="4"/>
    </row>
    <row r="60" spans="1:35" x14ac:dyDescent="0.25">
      <c r="B60" s="16" t="s">
        <v>68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Q60" s="26">
        <v>0</v>
      </c>
      <c r="R60" s="26">
        <v>0</v>
      </c>
      <c r="S60" s="16">
        <v>0</v>
      </c>
      <c r="T60" s="16">
        <v>0</v>
      </c>
      <c r="V60" s="26">
        <v>0</v>
      </c>
      <c r="X60" s="26">
        <v>0</v>
      </c>
      <c r="AI60" s="4"/>
    </row>
    <row r="61" spans="1:35" x14ac:dyDescent="0.25">
      <c r="A61" s="53" t="s">
        <v>431</v>
      </c>
      <c r="B61" s="16" t="s">
        <v>69</v>
      </c>
      <c r="D61" s="26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26">
        <v>0</v>
      </c>
      <c r="R61" s="26">
        <v>0</v>
      </c>
      <c r="S61" s="16">
        <v>0</v>
      </c>
      <c r="T61" s="16">
        <v>0</v>
      </c>
      <c r="V61" s="26">
        <v>0</v>
      </c>
      <c r="X61" s="26">
        <v>0</v>
      </c>
      <c r="AI61" s="4"/>
    </row>
    <row r="62" spans="1:35" x14ac:dyDescent="0.25">
      <c r="B62" s="16" t="s">
        <v>70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26">
        <v>0</v>
      </c>
      <c r="R62" s="26">
        <v>0</v>
      </c>
      <c r="S62" s="16">
        <v>0</v>
      </c>
      <c r="T62" s="16">
        <v>0</v>
      </c>
      <c r="V62" s="26">
        <v>0</v>
      </c>
      <c r="X62" s="26">
        <v>0</v>
      </c>
      <c r="AI62" s="4"/>
    </row>
    <row r="63" spans="1:35" s="12" customFormat="1" ht="3" customHeight="1" x14ac:dyDescent="0.25">
      <c r="B63" s="3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6">
        <v>0</v>
      </c>
      <c r="AI63" s="4"/>
    </row>
    <row r="64" spans="1:35" x14ac:dyDescent="0.25">
      <c r="B64" s="2" t="s">
        <v>71</v>
      </c>
      <c r="C64" s="4"/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4"/>
      <c r="Q64" s="2">
        <v>0</v>
      </c>
      <c r="R64" s="2">
        <v>0</v>
      </c>
      <c r="S64" s="2">
        <v>0</v>
      </c>
      <c r="T64" s="2">
        <v>0</v>
      </c>
      <c r="U64" s="4"/>
      <c r="V64" s="2">
        <v>0</v>
      </c>
      <c r="W64" s="4"/>
      <c r="X64" s="2">
        <v>0</v>
      </c>
      <c r="AI64" s="4"/>
    </row>
    <row r="65" spans="1:35" s="12" customFormat="1" ht="3.6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AI65" s="4"/>
    </row>
    <row r="66" spans="1:35" x14ac:dyDescent="0.25">
      <c r="B66" s="2" t="s">
        <v>72</v>
      </c>
      <c r="C66" s="4"/>
      <c r="D66" s="2">
        <v>0</v>
      </c>
      <c r="E66" s="2">
        <v>0</v>
      </c>
      <c r="F66" s="2">
        <v>0</v>
      </c>
      <c r="G66" s="2">
        <v>0</v>
      </c>
      <c r="H66" s="2">
        <v>360089.52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4"/>
      <c r="Q66" s="2">
        <v>360089.52</v>
      </c>
      <c r="R66" s="2">
        <v>0</v>
      </c>
      <c r="S66" s="2">
        <v>360089.52</v>
      </c>
      <c r="T66" s="2">
        <v>0</v>
      </c>
      <c r="U66" s="4"/>
      <c r="V66" s="2">
        <v>0</v>
      </c>
      <c r="W66" s="4"/>
      <c r="X66" s="2">
        <v>16617.689999999999</v>
      </c>
      <c r="AI66" s="4"/>
    </row>
    <row r="67" spans="1:35" s="12" customFormat="1" ht="3.6" customHeight="1" x14ac:dyDescent="0.25">
      <c r="B67" s="3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AI67" s="4"/>
    </row>
    <row r="68" spans="1:35" x14ac:dyDescent="0.25">
      <c r="B68" s="16" t="s">
        <v>73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Q68" s="26">
        <v>0</v>
      </c>
      <c r="R68" s="26">
        <v>0</v>
      </c>
      <c r="S68" s="16">
        <v>0</v>
      </c>
      <c r="T68" s="16">
        <v>0</v>
      </c>
      <c r="V68" s="26">
        <v>0</v>
      </c>
      <c r="X68" s="26">
        <v>0</v>
      </c>
      <c r="AI68" s="4"/>
    </row>
    <row r="69" spans="1:35" ht="13.95" hidden="1" customHeight="1" x14ac:dyDescent="0.25">
      <c r="B69" s="16" t="s">
        <v>74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Q69" s="16">
        <v>0</v>
      </c>
      <c r="R69" s="16">
        <v>0</v>
      </c>
      <c r="S69" s="16">
        <v>0</v>
      </c>
      <c r="T69" s="16">
        <v>0</v>
      </c>
      <c r="V69" s="16">
        <v>0</v>
      </c>
      <c r="X69" s="16">
        <v>0</v>
      </c>
      <c r="AI69" s="4"/>
    </row>
    <row r="70" spans="1:35" ht="13.95" hidden="1" customHeight="1" x14ac:dyDescent="0.25">
      <c r="B70" s="21"/>
      <c r="AI70" s="4"/>
    </row>
    <row r="71" spans="1:35" ht="13.95" hidden="1" customHeight="1" x14ac:dyDescent="0.25">
      <c r="B71" s="2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4"/>
      <c r="Q71" s="2"/>
      <c r="R71" s="2"/>
      <c r="S71" s="2"/>
      <c r="T71" s="2"/>
      <c r="U71" s="4"/>
      <c r="V71" s="2"/>
      <c r="W71" s="4"/>
      <c r="X71" s="2"/>
      <c r="AI71" s="4"/>
    </row>
    <row r="72" spans="1:35" s="12" customFormat="1" ht="4.2" customHeight="1" x14ac:dyDescent="0.25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AI72" s="4"/>
    </row>
    <row r="73" spans="1:35" x14ac:dyDescent="0.25">
      <c r="A73" s="53" t="s">
        <v>458</v>
      </c>
      <c r="B73" s="16" t="s">
        <v>76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Q73" s="26">
        <v>0</v>
      </c>
      <c r="R73" s="26">
        <v>0</v>
      </c>
      <c r="S73" s="16">
        <v>0</v>
      </c>
      <c r="T73" s="16">
        <v>0</v>
      </c>
      <c r="V73" s="26">
        <v>0</v>
      </c>
      <c r="X73" s="26">
        <v>0</v>
      </c>
      <c r="AI73" s="4"/>
    </row>
    <row r="74" spans="1:35" ht="13.95" hidden="1" customHeight="1" x14ac:dyDescent="0.25">
      <c r="B74" s="29" t="s">
        <v>79</v>
      </c>
      <c r="C74" s="29"/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Q74" s="16">
        <v>0</v>
      </c>
      <c r="R74" s="29">
        <v>0</v>
      </c>
      <c r="S74" s="29">
        <v>0</v>
      </c>
      <c r="T74" s="29">
        <v>0</v>
      </c>
      <c r="V74" s="29">
        <v>0</v>
      </c>
      <c r="X74" s="29">
        <v>0</v>
      </c>
      <c r="AI74" s="4"/>
    </row>
    <row r="75" spans="1:35" ht="13.95" hidden="1" customHeight="1" x14ac:dyDescent="0.25">
      <c r="B75" s="29" t="s">
        <v>80</v>
      </c>
      <c r="C75" s="29"/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Q75" s="16">
        <v>0</v>
      </c>
      <c r="R75" s="29">
        <v>0</v>
      </c>
      <c r="S75" s="29">
        <v>0</v>
      </c>
      <c r="T75" s="29">
        <v>0</v>
      </c>
      <c r="V75" s="29">
        <v>0</v>
      </c>
      <c r="X75" s="29">
        <v>0</v>
      </c>
      <c r="AI75" s="4"/>
    </row>
    <row r="76" spans="1:35" ht="13.95" hidden="1" customHeight="1" x14ac:dyDescent="0.25">
      <c r="B76" s="29" t="s">
        <v>81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26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  <c r="AI76" s="4"/>
    </row>
    <row r="77" spans="1:35" hidden="1" x14ac:dyDescent="0.25">
      <c r="B77" s="29" t="s">
        <v>82</v>
      </c>
      <c r="C77" s="29"/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16">
        <v>0</v>
      </c>
      <c r="R77" s="26">
        <v>0</v>
      </c>
      <c r="S77" s="29">
        <v>0</v>
      </c>
      <c r="T77" s="29">
        <v>0</v>
      </c>
      <c r="V77" s="26">
        <v>0</v>
      </c>
      <c r="X77" s="26">
        <v>0</v>
      </c>
      <c r="AI77" s="4"/>
    </row>
    <row r="78" spans="1:35" s="12" customFormat="1" ht="5.7" hidden="1" customHeight="1" x14ac:dyDescent="0.25">
      <c r="B78" s="29"/>
      <c r="C78" s="29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1"/>
      <c r="Q78" s="26"/>
      <c r="R78" s="26"/>
      <c r="S78" s="29"/>
      <c r="T78" s="29"/>
      <c r="U78" s="21"/>
      <c r="V78" s="26"/>
      <c r="W78" s="21"/>
      <c r="X78" s="26"/>
      <c r="AI78" s="4"/>
    </row>
    <row r="79" spans="1:35" ht="13.95" hidden="1" customHeight="1" x14ac:dyDescent="0.25">
      <c r="B79" s="29" t="s">
        <v>113</v>
      </c>
      <c r="C79" s="29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Q79" s="16">
        <v>0</v>
      </c>
      <c r="R79" s="26"/>
      <c r="S79" s="29">
        <v>0</v>
      </c>
      <c r="T79" s="29">
        <v>0</v>
      </c>
      <c r="V79" s="26">
        <v>0</v>
      </c>
      <c r="X79" s="26">
        <v>0</v>
      </c>
      <c r="AI79" s="4"/>
    </row>
    <row r="80" spans="1:35" ht="13.95" hidden="1" customHeight="1" x14ac:dyDescent="0.25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Q80" s="29"/>
      <c r="R80" s="29"/>
      <c r="S80" s="29"/>
      <c r="T80" s="29"/>
      <c r="V80" s="29"/>
      <c r="X80" s="29"/>
      <c r="AI80" s="4"/>
    </row>
    <row r="81" spans="1:35" ht="13.95" hidden="1" customHeight="1" x14ac:dyDescent="0.25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/>
      <c r="V81" s="29"/>
      <c r="X81" s="29"/>
      <c r="AI81" s="4"/>
    </row>
    <row r="82" spans="1:35" ht="13.95" hidden="1" customHeight="1" x14ac:dyDescent="0.25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/>
      <c r="V82" s="29"/>
      <c r="X82" s="29"/>
      <c r="AI82" s="4"/>
    </row>
    <row r="83" spans="1:35" s="12" customFormat="1" hidden="1" x14ac:dyDescent="0.25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1"/>
      <c r="Q83" s="29"/>
      <c r="R83" s="29"/>
      <c r="S83" s="29"/>
      <c r="T83" s="29"/>
      <c r="U83" s="21"/>
      <c r="V83" s="29"/>
      <c r="W83" s="21"/>
      <c r="X83" s="29"/>
      <c r="AI83" s="4"/>
    </row>
    <row r="84" spans="1:35" s="12" customFormat="1" ht="3.6" hidden="1" customHeight="1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1"/>
      <c r="Q84" s="29"/>
      <c r="R84" s="29"/>
      <c r="S84" s="29"/>
      <c r="T84" s="29"/>
      <c r="U84" s="21"/>
      <c r="V84" s="29"/>
      <c r="W84" s="21"/>
      <c r="X84" s="29"/>
      <c r="AI84" s="4"/>
    </row>
    <row r="85" spans="1:35" s="12" customFormat="1" ht="3.6" customHeight="1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AI85" s="4"/>
    </row>
    <row r="86" spans="1:35" x14ac:dyDescent="0.25">
      <c r="B86" s="2" t="s">
        <v>83</v>
      </c>
      <c r="C86" s="4"/>
      <c r="D86" s="2">
        <v>0</v>
      </c>
      <c r="E86" s="2">
        <v>0</v>
      </c>
      <c r="F86" s="2">
        <v>0</v>
      </c>
      <c r="G86" s="2">
        <v>0</v>
      </c>
      <c r="H86" s="2">
        <v>-57822.76999999996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4"/>
      <c r="Q86" s="2">
        <v>-57822.76999999996</v>
      </c>
      <c r="R86" s="2">
        <v>0</v>
      </c>
      <c r="S86" s="2">
        <v>-57822.76999999996</v>
      </c>
      <c r="T86" s="2">
        <v>0</v>
      </c>
      <c r="U86" s="4"/>
      <c r="V86" s="2">
        <v>0</v>
      </c>
      <c r="W86" s="4"/>
      <c r="X86" s="2">
        <v>16617.689999999999</v>
      </c>
      <c r="AI86" s="4"/>
    </row>
    <row r="87" spans="1:35" s="12" customFormat="1" ht="3.6" customHeight="1" x14ac:dyDescent="0.25">
      <c r="B87" s="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AI87" s="4"/>
    </row>
    <row r="88" spans="1:35" x14ac:dyDescent="0.25">
      <c r="B88" s="2" t="s">
        <v>84</v>
      </c>
      <c r="C88" s="4"/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4"/>
      <c r="Q88" s="2">
        <v>0</v>
      </c>
      <c r="R88" s="33">
        <v>0</v>
      </c>
      <c r="S88" s="2">
        <v>0</v>
      </c>
      <c r="T88" s="2">
        <v>0</v>
      </c>
      <c r="U88" s="4"/>
      <c r="V88" s="33">
        <v>0</v>
      </c>
      <c r="W88" s="4"/>
      <c r="X88" s="33">
        <v>0</v>
      </c>
      <c r="AI88" s="4"/>
    </row>
    <row r="89" spans="1:35" x14ac:dyDescent="0.25">
      <c r="A89" s="17"/>
      <c r="B89" s="2" t="s">
        <v>85</v>
      </c>
      <c r="C89" s="4"/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4"/>
      <c r="Q89" s="2">
        <v>0</v>
      </c>
      <c r="R89" s="33">
        <v>0</v>
      </c>
      <c r="S89" s="2">
        <v>0</v>
      </c>
      <c r="T89" s="2">
        <v>0</v>
      </c>
      <c r="U89" s="4"/>
      <c r="V89" s="33">
        <v>0</v>
      </c>
      <c r="W89" s="4"/>
      <c r="X89" s="33">
        <v>0</v>
      </c>
      <c r="AI89" s="4"/>
    </row>
    <row r="90" spans="1:35" s="12" customFormat="1" ht="3.6" customHeight="1" x14ac:dyDescent="0.25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AI90" s="4"/>
    </row>
    <row r="91" spans="1:35" s="12" customFormat="1" ht="12" hidden="1" customHeight="1" x14ac:dyDescent="0.25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AI91" s="4"/>
    </row>
    <row r="92" spans="1:35" x14ac:dyDescent="0.25">
      <c r="A92" s="17"/>
      <c r="B92" s="2" t="s">
        <v>114</v>
      </c>
      <c r="C92" s="4"/>
      <c r="D92" s="33">
        <v>0</v>
      </c>
      <c r="E92" s="33">
        <v>0</v>
      </c>
      <c r="F92" s="33">
        <v>0</v>
      </c>
      <c r="G92" s="33">
        <v>0</v>
      </c>
      <c r="H92" s="33">
        <v>-57822.76999999996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4">
        <v>0</v>
      </c>
      <c r="Q92" s="33">
        <v>-57822.76999999996</v>
      </c>
      <c r="R92" s="33">
        <v>0</v>
      </c>
      <c r="S92" s="33">
        <v>-57822.76999999996</v>
      </c>
      <c r="T92" s="2">
        <v>0</v>
      </c>
      <c r="U92" s="4"/>
      <c r="V92" s="33">
        <v>0</v>
      </c>
      <c r="W92" s="4"/>
      <c r="X92" s="33">
        <v>16617.689999999999</v>
      </c>
      <c r="AI92" s="4"/>
    </row>
    <row r="93" spans="1:35" s="12" customFormat="1" ht="3.6" customHeight="1" x14ac:dyDescent="0.25">
      <c r="B93" s="31"/>
      <c r="C93" s="2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AI93" s="4"/>
    </row>
    <row r="94" spans="1:35" x14ac:dyDescent="0.25">
      <c r="B94" s="3" t="s">
        <v>88</v>
      </c>
      <c r="C94" s="4"/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4"/>
      <c r="Q94" s="2">
        <v>0</v>
      </c>
      <c r="R94" s="2">
        <v>0</v>
      </c>
      <c r="S94" s="2">
        <v>0</v>
      </c>
      <c r="T94" s="2">
        <v>0</v>
      </c>
      <c r="U94" s="4"/>
      <c r="V94" s="2">
        <v>0</v>
      </c>
      <c r="W94" s="4"/>
      <c r="X94" s="2">
        <v>0</v>
      </c>
      <c r="AI94" s="4"/>
    </row>
    <row r="95" spans="1:35" x14ac:dyDescent="0.25">
      <c r="B95" s="16" t="s">
        <v>89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Q95" s="26">
        <v>0</v>
      </c>
      <c r="R95" s="26">
        <v>0</v>
      </c>
      <c r="S95" s="16">
        <v>0</v>
      </c>
      <c r="T95" s="16">
        <v>0</v>
      </c>
      <c r="V95" s="26">
        <v>0</v>
      </c>
      <c r="X95" s="26">
        <v>0</v>
      </c>
      <c r="AI95" s="4"/>
    </row>
    <row r="96" spans="1:35" x14ac:dyDescent="0.25">
      <c r="B96" s="16" t="s">
        <v>90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26">
        <v>0</v>
      </c>
      <c r="R96" s="26">
        <v>0</v>
      </c>
      <c r="S96" s="16">
        <v>0</v>
      </c>
      <c r="T96" s="16">
        <v>0</v>
      </c>
      <c r="V96" s="26">
        <v>0</v>
      </c>
      <c r="X96" s="26">
        <v>0</v>
      </c>
      <c r="AI96" s="4"/>
    </row>
    <row r="97" spans="1:35" ht="13.95" hidden="1" customHeight="1" x14ac:dyDescent="0.25">
      <c r="B97" s="16" t="s">
        <v>91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26">
        <v>0</v>
      </c>
      <c r="R97" s="26">
        <v>0</v>
      </c>
      <c r="S97" s="16">
        <v>0</v>
      </c>
      <c r="T97" s="16">
        <v>0</v>
      </c>
      <c r="V97" s="26">
        <v>0</v>
      </c>
      <c r="X97" s="26">
        <v>0</v>
      </c>
      <c r="AI97" s="4"/>
    </row>
    <row r="98" spans="1:35" x14ac:dyDescent="0.25">
      <c r="B98" s="16" t="s">
        <v>92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26">
        <v>0</v>
      </c>
      <c r="R98" s="26">
        <v>0</v>
      </c>
      <c r="S98" s="16">
        <v>0</v>
      </c>
      <c r="T98" s="16">
        <v>0</v>
      </c>
      <c r="V98" s="26">
        <v>0</v>
      </c>
      <c r="X98" s="26">
        <v>0</v>
      </c>
      <c r="AI98" s="4"/>
    </row>
    <row r="99" spans="1:35" ht="3.6" hidden="1" customHeight="1" x14ac:dyDescent="0.25">
      <c r="B99" s="16" t="s">
        <v>94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26">
        <v>0</v>
      </c>
      <c r="R99" s="26">
        <v>0</v>
      </c>
      <c r="S99" s="16">
        <v>0</v>
      </c>
      <c r="T99" s="16">
        <v>0</v>
      </c>
      <c r="V99" s="26">
        <v>0</v>
      </c>
      <c r="X99" s="26">
        <v>0</v>
      </c>
      <c r="AI99" s="4"/>
    </row>
    <row r="100" spans="1:35" x14ac:dyDescent="0.25">
      <c r="B100" s="16" t="s">
        <v>115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26">
        <v>0</v>
      </c>
      <c r="R100" s="26">
        <v>0</v>
      </c>
      <c r="S100" s="16">
        <v>0</v>
      </c>
      <c r="T100" s="16">
        <v>0</v>
      </c>
      <c r="V100" s="26">
        <v>0</v>
      </c>
      <c r="X100" s="26">
        <v>0</v>
      </c>
      <c r="AI100" s="4"/>
    </row>
    <row r="101" spans="1:35" hidden="1" x14ac:dyDescent="0.25">
      <c r="B101" s="1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Q101" s="16"/>
      <c r="R101" s="26"/>
      <c r="S101" s="16"/>
      <c r="T101" s="16"/>
      <c r="V101" s="26"/>
      <c r="X101" s="26"/>
      <c r="AI101" s="4"/>
    </row>
    <row r="102" spans="1:35" s="12" customFormat="1" ht="3.6" customHeight="1" x14ac:dyDescent="0.25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AI102" s="4"/>
    </row>
    <row r="103" spans="1:35" x14ac:dyDescent="0.25">
      <c r="B103" s="2" t="s">
        <v>116</v>
      </c>
      <c r="C103" s="4"/>
      <c r="D103" s="2">
        <v>0</v>
      </c>
      <c r="E103" s="2">
        <v>0</v>
      </c>
      <c r="F103" s="2">
        <v>0</v>
      </c>
      <c r="G103" s="2">
        <v>0</v>
      </c>
      <c r="H103" s="2">
        <v>-57822.76999999996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4"/>
      <c r="Q103" s="2">
        <v>-57822.76999999996</v>
      </c>
      <c r="R103" s="2">
        <v>0</v>
      </c>
      <c r="S103" s="2">
        <v>-57822.76999999996</v>
      </c>
      <c r="T103" s="2">
        <v>0</v>
      </c>
      <c r="U103" s="4"/>
      <c r="V103" s="2">
        <v>0</v>
      </c>
      <c r="W103" s="4"/>
      <c r="X103" s="2">
        <v>16617.689999999999</v>
      </c>
      <c r="AI103" s="4"/>
    </row>
    <row r="104" spans="1:35" s="12" customFormat="1" ht="4.2" customHeight="1" x14ac:dyDescent="0.25">
      <c r="B104" s="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AI104" s="4"/>
    </row>
    <row r="105" spans="1:35" ht="12" hidden="1" customHeight="1" x14ac:dyDescent="0.25">
      <c r="A105" s="6" t="s">
        <v>117</v>
      </c>
      <c r="B105" s="43" t="s">
        <v>97</v>
      </c>
      <c r="C105" s="6"/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3"/>
      <c r="Q105" s="15">
        <v>0</v>
      </c>
      <c r="R105" s="15">
        <v>0</v>
      </c>
      <c r="S105" s="15">
        <v>0</v>
      </c>
      <c r="T105" s="15">
        <v>0</v>
      </c>
      <c r="U105" s="13"/>
      <c r="V105" s="15">
        <v>0</v>
      </c>
      <c r="W105" s="13"/>
      <c r="X105" s="15">
        <v>0</v>
      </c>
      <c r="AI105" s="4"/>
    </row>
    <row r="106" spans="1:35" ht="13.95" hidden="1" customHeight="1" x14ac:dyDescent="0.25">
      <c r="A106" s="6" t="s">
        <v>118</v>
      </c>
      <c r="B106" s="43" t="s">
        <v>98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Q106" s="16">
        <v>0</v>
      </c>
      <c r="R106" s="16">
        <v>0</v>
      </c>
      <c r="S106" s="16">
        <v>0</v>
      </c>
      <c r="T106" s="15">
        <v>0</v>
      </c>
      <c r="U106" s="4"/>
      <c r="V106" s="16">
        <v>0</v>
      </c>
      <c r="X106" s="16">
        <v>0</v>
      </c>
      <c r="AI106" s="4"/>
    </row>
    <row r="107" spans="1:35" ht="13.95" hidden="1" customHeight="1" x14ac:dyDescent="0.25">
      <c r="A107" s="18" t="s">
        <v>119</v>
      </c>
      <c r="B107" s="43" t="s">
        <v>106</v>
      </c>
      <c r="C107" s="6"/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3"/>
      <c r="Q107" s="15">
        <v>0</v>
      </c>
      <c r="R107" s="15">
        <v>0</v>
      </c>
      <c r="S107" s="16">
        <v>0</v>
      </c>
      <c r="T107" s="15">
        <v>0</v>
      </c>
      <c r="U107" s="13"/>
      <c r="V107" s="15">
        <v>0</v>
      </c>
      <c r="W107" s="13"/>
      <c r="X107" s="15">
        <v>0</v>
      </c>
      <c r="AI107" s="4"/>
    </row>
    <row r="108" spans="1:35" ht="13.95" hidden="1" customHeight="1" x14ac:dyDescent="0.25">
      <c r="A108" s="6" t="s">
        <v>120</v>
      </c>
      <c r="B108" s="43" t="s">
        <v>99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Q108" s="15">
        <v>0</v>
      </c>
      <c r="R108" s="15">
        <v>0</v>
      </c>
      <c r="S108" s="16">
        <v>0</v>
      </c>
      <c r="T108" s="16">
        <v>0</v>
      </c>
      <c r="V108" s="16">
        <v>0</v>
      </c>
      <c r="X108" s="15">
        <v>0</v>
      </c>
      <c r="AI108" s="4"/>
    </row>
    <row r="109" spans="1:35" ht="13.95" hidden="1" customHeight="1" x14ac:dyDescent="0.25">
      <c r="A109" s="6" t="s">
        <v>121</v>
      </c>
      <c r="B109" s="14" t="s">
        <v>122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Q109" s="16">
        <v>0</v>
      </c>
      <c r="R109" s="15">
        <v>0</v>
      </c>
      <c r="S109" s="16">
        <v>0</v>
      </c>
      <c r="T109" s="16">
        <v>0</v>
      </c>
      <c r="V109" s="16">
        <v>0</v>
      </c>
      <c r="X109" s="15">
        <v>0</v>
      </c>
      <c r="AI109" s="4"/>
    </row>
    <row r="110" spans="1:35" ht="13.95" hidden="1" customHeight="1" x14ac:dyDescent="0.25">
      <c r="A110" s="6" t="s">
        <v>123</v>
      </c>
      <c r="B110" s="14" t="s">
        <v>103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Q110" s="16">
        <v>0</v>
      </c>
      <c r="R110" s="15">
        <v>0</v>
      </c>
      <c r="S110" s="16">
        <v>0</v>
      </c>
      <c r="T110" s="16">
        <v>0</v>
      </c>
      <c r="V110" s="16">
        <v>0</v>
      </c>
      <c r="X110" s="15">
        <v>0</v>
      </c>
      <c r="AI110" s="4"/>
    </row>
    <row r="111" spans="1:35" ht="13.95" hidden="1" customHeight="1" x14ac:dyDescent="0.25">
      <c r="A111" s="17">
        <v>5008</v>
      </c>
      <c r="B111" s="14" t="s">
        <v>107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4"/>
      <c r="Q111" s="16">
        <v>0</v>
      </c>
      <c r="R111" s="15">
        <v>0</v>
      </c>
      <c r="S111" s="16">
        <v>0</v>
      </c>
      <c r="T111" s="28">
        <v>0</v>
      </c>
      <c r="U111" s="4"/>
      <c r="V111" s="28">
        <v>0</v>
      </c>
      <c r="W111" s="4"/>
      <c r="X111" s="15">
        <v>0</v>
      </c>
      <c r="AI111" s="4"/>
    </row>
    <row r="112" spans="1:35" s="12" customFormat="1" ht="3.6" hidden="1" customHeight="1" x14ac:dyDescent="0.25">
      <c r="A112" s="19"/>
      <c r="B112" s="4"/>
      <c r="C112" s="2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21"/>
      <c r="R112" s="4"/>
      <c r="S112" s="4"/>
      <c r="T112" s="4"/>
      <c r="U112" s="4"/>
      <c r="V112" s="4"/>
      <c r="W112" s="4"/>
      <c r="X112" s="4"/>
      <c r="Z112" s="6"/>
      <c r="AA112" s="6"/>
      <c r="AB112" s="6"/>
      <c r="AI112" s="4"/>
    </row>
    <row r="113" spans="2:35" x14ac:dyDescent="0.25">
      <c r="B113" s="2" t="s">
        <v>104</v>
      </c>
      <c r="C113" s="4"/>
      <c r="D113" s="2">
        <v>0</v>
      </c>
      <c r="E113" s="2">
        <v>0</v>
      </c>
      <c r="F113" s="2">
        <v>0</v>
      </c>
      <c r="G113" s="2">
        <v>0</v>
      </c>
      <c r="H113" s="2">
        <v>-57822.76999999996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4"/>
      <c r="Q113" s="2">
        <v>-57822.76999999996</v>
      </c>
      <c r="R113" s="2">
        <v>0</v>
      </c>
      <c r="S113" s="2">
        <v>-57822.76999999996</v>
      </c>
      <c r="T113" s="2">
        <v>0</v>
      </c>
      <c r="U113" s="4"/>
      <c r="V113" s="2">
        <v>0</v>
      </c>
      <c r="W113" s="4"/>
      <c r="X113" s="2">
        <v>16617.689999999999</v>
      </c>
      <c r="Y113" s="6" t="s">
        <v>1</v>
      </c>
      <c r="AI113" s="4"/>
    </row>
    <row r="114" spans="2:35" s="12" customFormat="1" x14ac:dyDescent="0.25">
      <c r="B114" s="4"/>
      <c r="C114" s="21"/>
      <c r="D114" s="21"/>
      <c r="E114" s="21"/>
      <c r="F114" s="21"/>
      <c r="G114" s="21"/>
      <c r="H114" s="68" t="s">
        <v>616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AI114" s="4"/>
    </row>
    <row r="115" spans="2:35" ht="13.95" customHeight="1" x14ac:dyDescent="0.25">
      <c r="H115" s="68"/>
    </row>
    <row r="117" spans="2:35" x14ac:dyDescent="0.25">
      <c r="D117" s="4"/>
    </row>
    <row r="118" spans="2:35" x14ac:dyDescent="0.25">
      <c r="D118" s="4"/>
    </row>
    <row r="119" spans="2:35" x14ac:dyDescent="0.25">
      <c r="D119" s="4"/>
    </row>
    <row r="120" spans="2:35" x14ac:dyDescent="0.25">
      <c r="D120" s="4"/>
    </row>
    <row r="121" spans="2:35" x14ac:dyDescent="0.25">
      <c r="D121" s="4"/>
    </row>
    <row r="122" spans="2:35" x14ac:dyDescent="0.25">
      <c r="D122" s="4"/>
    </row>
    <row r="123" spans="2:35" x14ac:dyDescent="0.25">
      <c r="D123" s="4"/>
    </row>
    <row r="124" spans="2:35" x14ac:dyDescent="0.25">
      <c r="D124" s="4"/>
    </row>
    <row r="125" spans="2:35" x14ac:dyDescent="0.25">
      <c r="D125" s="4"/>
    </row>
    <row r="126" spans="2:35" x14ac:dyDescent="0.25">
      <c r="D126" s="4"/>
    </row>
    <row r="127" spans="2:35" x14ac:dyDescent="0.25">
      <c r="D127" s="4"/>
    </row>
  </sheetData>
  <mergeCells count="2">
    <mergeCell ref="D3:T3"/>
    <mergeCell ref="H114:H115"/>
  </mergeCells>
  <printOptions horizontalCentered="1"/>
  <pageMargins left="0.19685039370078741" right="0.19685039370078741" top="0.59055118110236227" bottom="0.11811023622047245" header="0" footer="0"/>
  <pageSetup paperSize="9" scale="5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FDBC-0981-47D6-B160-E22E52A100C6}">
  <sheetPr codeName="Hoja11"/>
  <dimension ref="B2:U47"/>
  <sheetViews>
    <sheetView topLeftCell="B1" workbookViewId="0">
      <selection activeCell="B177" sqref="B177"/>
    </sheetView>
  </sheetViews>
  <sheetFormatPr baseColWidth="10" defaultColWidth="11.44140625" defaultRowHeight="13.2" x14ac:dyDescent="0.25"/>
  <cols>
    <col min="1" max="1" width="1.77734375" style="50" customWidth="1"/>
    <col min="2" max="2" width="35.77734375" style="50" customWidth="1"/>
    <col min="3" max="21" width="11.77734375" style="50" customWidth="1"/>
    <col min="22" max="16384" width="11.44140625" style="50"/>
  </cols>
  <sheetData>
    <row r="2" spans="2:21" ht="13.8" x14ac:dyDescent="0.25">
      <c r="B2" s="51" t="s">
        <v>161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549</v>
      </c>
      <c r="Q2" s="52" t="s">
        <v>174</v>
      </c>
      <c r="R2" s="52" t="s">
        <v>175</v>
      </c>
      <c r="S2" s="52" t="s">
        <v>22</v>
      </c>
      <c r="T2" s="52" t="s">
        <v>176</v>
      </c>
      <c r="U2" s="52" t="s">
        <v>177</v>
      </c>
    </row>
    <row r="3" spans="2:21" x14ac:dyDescent="0.25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f>+_xlfn.XLOOKUP($B3,Hoja4!$B:$B,Hoja4!M:M,0)</f>
        <v>0</v>
      </c>
      <c r="N3" s="55">
        <f>+_xlfn.XLOOKUP($B3,Hoja4!$B:$B,Hoja4!N:N,0)</f>
        <v>0</v>
      </c>
      <c r="O3" s="55">
        <f>+_xlfn.XLOOKUP($B3,Hoja4!$B:$B,Hoja4!O:O,0)</f>
        <v>0</v>
      </c>
      <c r="P3" s="55">
        <f>+_xlfn.XLOOKUP($B3,Hoja4!$B:$B,Hoja4!P:P,0)</f>
        <v>0</v>
      </c>
      <c r="Q3" s="55">
        <f>+_xlfn.XLOOKUP($B3,Hoja4!$B:$B,Hoja4!Q:Q,0)</f>
        <v>0</v>
      </c>
      <c r="R3" s="55">
        <f>+_xlfn.XLOOKUP($B3,Hoja4!$B:$B,Hoja4!R:R,0)</f>
        <v>0</v>
      </c>
      <c r="S3" s="55">
        <f>+_xlfn.XLOOKUP($B3,Hoja4!$B:$B,Hoja4!S:S,0)</f>
        <v>0</v>
      </c>
      <c r="T3" s="55">
        <f>+_xlfn.XLOOKUP($B3,Hoja4!$B:$B,Hoja4!T:T,0)</f>
        <v>0</v>
      </c>
      <c r="U3" s="54">
        <v>-4275156.7</v>
      </c>
    </row>
    <row r="4" spans="2:21" x14ac:dyDescent="0.25">
      <c r="B4" s="56" t="s">
        <v>531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f>+_xlfn.XLOOKUP($B4,Hoja4!$B:$B,Hoja4!M:M,0)</f>
        <v>0</v>
      </c>
      <c r="N4" s="57">
        <f>+_xlfn.XLOOKUP($B4,Hoja4!$B:$B,Hoja4!N:N,0)</f>
        <v>0</v>
      </c>
      <c r="O4" s="57">
        <f>+_xlfn.XLOOKUP($B4,Hoja4!$B:$B,Hoja4!O:O,0)</f>
        <v>0</v>
      </c>
      <c r="P4" s="57">
        <f>+_xlfn.XLOOKUP($B4,Hoja4!$B:$B,Hoja4!P:P,0)</f>
        <v>0</v>
      </c>
      <c r="Q4" s="57">
        <f>+_xlfn.XLOOKUP($B4,Hoja4!$B:$B,Hoja4!Q:Q,0)</f>
        <v>0</v>
      </c>
      <c r="R4" s="57">
        <f>+_xlfn.XLOOKUP($B4,Hoja4!$B:$B,Hoja4!R:R,0)</f>
        <v>0</v>
      </c>
      <c r="S4" s="57">
        <f>+_xlfn.XLOOKUP($B4,Hoja4!$B:$B,Hoja4!S:S,0)</f>
        <v>0</v>
      </c>
      <c r="T4" s="57">
        <f>+_xlfn.XLOOKUP($B4,Hoja4!$B:$B,Hoja4!T:T,0)</f>
        <v>0</v>
      </c>
      <c r="U4" s="58">
        <v>-2311707.62</v>
      </c>
    </row>
    <row r="5" spans="2:21" x14ac:dyDescent="0.25">
      <c r="B5" s="56" t="s">
        <v>532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f>+_xlfn.XLOOKUP($B5,Hoja4!$B:$B,Hoja4!M:M,0)</f>
        <v>0</v>
      </c>
      <c r="N5" s="57">
        <f>+_xlfn.XLOOKUP($B5,Hoja4!$B:$B,Hoja4!N:N,0)</f>
        <v>0</v>
      </c>
      <c r="O5" s="57">
        <f>+_xlfn.XLOOKUP($B5,Hoja4!$B:$B,Hoja4!O:O,0)</f>
        <v>0</v>
      </c>
      <c r="P5" s="57">
        <f>+_xlfn.XLOOKUP($B5,Hoja4!$B:$B,Hoja4!P:P,0)</f>
        <v>0</v>
      </c>
      <c r="Q5" s="57">
        <f>+_xlfn.XLOOKUP($B5,Hoja4!$B:$B,Hoja4!Q:Q,0)</f>
        <v>0</v>
      </c>
      <c r="R5" s="57">
        <f>+_xlfn.XLOOKUP($B5,Hoja4!$B:$B,Hoja4!R:R,0)</f>
        <v>0</v>
      </c>
      <c r="S5" s="57">
        <f>+_xlfn.XLOOKUP($B5,Hoja4!$B:$B,Hoja4!S:S,0)</f>
        <v>0</v>
      </c>
      <c r="T5" s="57">
        <f>+_xlfn.XLOOKUP($B5,Hoja4!$B:$B,Hoja4!T:T,0)</f>
        <v>0</v>
      </c>
      <c r="U5" s="57">
        <v>0</v>
      </c>
    </row>
    <row r="6" spans="2:21" x14ac:dyDescent="0.25">
      <c r="B6" s="53" t="s">
        <v>456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f>+_xlfn.XLOOKUP($B6,Hoja4!$B:$B,Hoja4!M:M,0)</f>
        <v>0</v>
      </c>
      <c r="N6" s="55">
        <f>+_xlfn.XLOOKUP($B6,Hoja4!$B:$B,Hoja4!N:N,0)</f>
        <v>0</v>
      </c>
      <c r="O6" s="55">
        <f>+_xlfn.XLOOKUP($B6,Hoja4!$B:$B,Hoja4!O:O,0)</f>
        <v>0</v>
      </c>
      <c r="P6" s="55">
        <f>+_xlfn.XLOOKUP($B6,Hoja4!$B:$B,Hoja4!P:P,0)</f>
        <v>0</v>
      </c>
      <c r="Q6" s="55">
        <f>+_xlfn.XLOOKUP($B6,Hoja4!$B:$B,Hoja4!Q:Q,0)</f>
        <v>0</v>
      </c>
      <c r="R6" s="55">
        <f>+_xlfn.XLOOKUP($B6,Hoja4!$B:$B,Hoja4!R:R,0)</f>
        <v>0</v>
      </c>
      <c r="S6" s="55">
        <f>+_xlfn.XLOOKUP($B6,Hoja4!$B:$B,Hoja4!S:S,0)</f>
        <v>0</v>
      </c>
      <c r="T6" s="55">
        <f>+_xlfn.XLOOKUP($B6,Hoja4!$B:$B,Hoja4!T:T,0)</f>
        <v>0</v>
      </c>
      <c r="U6" s="54">
        <v>-2311707.62</v>
      </c>
    </row>
    <row r="7" spans="2:21" x14ac:dyDescent="0.25">
      <c r="B7" s="56" t="s">
        <v>471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f>+_xlfn.XLOOKUP($B7,Hoja4!$B:$B,Hoja4!M:M,0)</f>
        <v>0</v>
      </c>
      <c r="N7" s="57">
        <f>+_xlfn.XLOOKUP($B7,Hoja4!$B:$B,Hoja4!N:N,0)</f>
        <v>0</v>
      </c>
      <c r="O7" s="57">
        <f>+_xlfn.XLOOKUP($B7,Hoja4!$B:$B,Hoja4!O:O,0)</f>
        <v>0</v>
      </c>
      <c r="P7" s="57">
        <f>+_xlfn.XLOOKUP($B7,Hoja4!$B:$B,Hoja4!P:P,0)</f>
        <v>0</v>
      </c>
      <c r="Q7" s="57">
        <f>+_xlfn.XLOOKUP($B7,Hoja4!$B:$B,Hoja4!Q:Q,0)</f>
        <v>0</v>
      </c>
      <c r="R7" s="57">
        <f>+_xlfn.XLOOKUP($B7,Hoja4!$B:$B,Hoja4!R:R,0)</f>
        <v>0</v>
      </c>
      <c r="S7" s="57">
        <f>+_xlfn.XLOOKUP($B7,Hoja4!$B:$B,Hoja4!S:S,0)</f>
        <v>0</v>
      </c>
      <c r="T7" s="57">
        <f>+_xlfn.XLOOKUP($B7,Hoja4!$B:$B,Hoja4!T:T,0)</f>
        <v>0</v>
      </c>
      <c r="U7" s="58">
        <v>113655</v>
      </c>
    </row>
    <row r="8" spans="2:21" x14ac:dyDescent="0.25">
      <c r="B8" s="56" t="s">
        <v>373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f>+_xlfn.XLOOKUP($B8,Hoja4!$B:$B,Hoja4!M:M,0)</f>
        <v>0</v>
      </c>
      <c r="N8" s="57">
        <f>+_xlfn.XLOOKUP($B8,Hoja4!$B:$B,Hoja4!N:N,0)</f>
        <v>0</v>
      </c>
      <c r="O8" s="57">
        <f>+_xlfn.XLOOKUP($B8,Hoja4!$B:$B,Hoja4!O:O,0)</f>
        <v>0</v>
      </c>
      <c r="P8" s="57">
        <f>+_xlfn.XLOOKUP($B8,Hoja4!$B:$B,Hoja4!P:P,0)</f>
        <v>0</v>
      </c>
      <c r="Q8" s="57">
        <f>+_xlfn.XLOOKUP($B8,Hoja4!$B:$B,Hoja4!Q:Q,0)</f>
        <v>0</v>
      </c>
      <c r="R8" s="57">
        <f>+_xlfn.XLOOKUP($B8,Hoja4!$B:$B,Hoja4!R:R,0)</f>
        <v>0</v>
      </c>
      <c r="S8" s="57">
        <f>+_xlfn.XLOOKUP($B8,Hoja4!$B:$B,Hoja4!S:S,0)</f>
        <v>0</v>
      </c>
      <c r="T8" s="57">
        <f>+_xlfn.XLOOKUP($B8,Hoja4!$B:$B,Hoja4!T:T,0)</f>
        <v>0</v>
      </c>
      <c r="U8" s="58">
        <v>-1755765</v>
      </c>
    </row>
    <row r="9" spans="2:21" x14ac:dyDescent="0.25">
      <c r="B9" s="53" t="s">
        <v>374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f>+_xlfn.XLOOKUP($B9,Hoja4!$B:$B,Hoja4!M:M,0)</f>
        <v>0</v>
      </c>
      <c r="N9" s="55">
        <f>+_xlfn.XLOOKUP($B9,Hoja4!$B:$B,Hoja4!N:N,0)</f>
        <v>0</v>
      </c>
      <c r="O9" s="55">
        <f>+_xlfn.XLOOKUP($B9,Hoja4!$B:$B,Hoja4!O:O,0)</f>
        <v>0</v>
      </c>
      <c r="P9" s="55">
        <f>+_xlfn.XLOOKUP($B9,Hoja4!$B:$B,Hoja4!P:P,0)</f>
        <v>0</v>
      </c>
      <c r="Q9" s="55">
        <f>+_xlfn.XLOOKUP($B9,Hoja4!$B:$B,Hoja4!Q:Q,0)</f>
        <v>0</v>
      </c>
      <c r="R9" s="55">
        <f>+_xlfn.XLOOKUP($B9,Hoja4!$B:$B,Hoja4!R:R,0)</f>
        <v>0</v>
      </c>
      <c r="S9" s="55">
        <f>+_xlfn.XLOOKUP($B9,Hoja4!$B:$B,Hoja4!S:S,0)</f>
        <v>0</v>
      </c>
      <c r="T9" s="55">
        <f>+_xlfn.XLOOKUP($B9,Hoja4!$B:$B,Hoja4!T:T,0)</f>
        <v>0</v>
      </c>
      <c r="U9" s="54">
        <v>-1642110</v>
      </c>
    </row>
    <row r="10" spans="2:21" x14ac:dyDescent="0.25">
      <c r="B10" s="56" t="s">
        <v>473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7">
        <f>+_xlfn.XLOOKUP($B10,Hoja4!$B:$B,Hoja4!M:M,0)</f>
        <v>0</v>
      </c>
      <c r="N10" s="57">
        <f>+_xlfn.XLOOKUP($B10,Hoja4!$B:$B,Hoja4!N:N,0)</f>
        <v>0</v>
      </c>
      <c r="O10" s="57">
        <f>+_xlfn.XLOOKUP($B10,Hoja4!$B:$B,Hoja4!O:O,0)</f>
        <v>0</v>
      </c>
      <c r="P10" s="57">
        <f>+_xlfn.XLOOKUP($B10,Hoja4!$B:$B,Hoja4!P:P,0)</f>
        <v>0</v>
      </c>
      <c r="Q10" s="57">
        <f>+_xlfn.XLOOKUP($B10,Hoja4!$B:$B,Hoja4!Q:Q,0)</f>
        <v>0</v>
      </c>
      <c r="R10" s="57">
        <f>+_xlfn.XLOOKUP($B10,Hoja4!$B:$B,Hoja4!R:R,0)</f>
        <v>0</v>
      </c>
      <c r="S10" s="57">
        <f>+_xlfn.XLOOKUP($B10,Hoja4!$B:$B,Hoja4!S:S,0)</f>
        <v>0</v>
      </c>
      <c r="T10" s="57">
        <f>+_xlfn.XLOOKUP($B10,Hoja4!$B:$B,Hoja4!T:T,0)</f>
        <v>0</v>
      </c>
      <c r="U10" s="58">
        <v>32000</v>
      </c>
    </row>
    <row r="11" spans="2:21" x14ac:dyDescent="0.25">
      <c r="B11" s="56" t="s">
        <v>474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f>+_xlfn.XLOOKUP($B11,Hoja4!$B:$B,Hoja4!M:M,0)</f>
        <v>0</v>
      </c>
      <c r="N11" s="57">
        <f>+_xlfn.XLOOKUP($B11,Hoja4!$B:$B,Hoja4!N:N,0)</f>
        <v>0</v>
      </c>
      <c r="O11" s="57">
        <f>+_xlfn.XLOOKUP($B11,Hoja4!$B:$B,Hoja4!O:O,0)</f>
        <v>0</v>
      </c>
      <c r="P11" s="57">
        <f>+_xlfn.XLOOKUP($B11,Hoja4!$B:$B,Hoja4!P:P,0)</f>
        <v>0</v>
      </c>
      <c r="Q11" s="57">
        <f>+_xlfn.XLOOKUP($B11,Hoja4!$B:$B,Hoja4!Q:Q,0)</f>
        <v>0</v>
      </c>
      <c r="R11" s="57">
        <f>+_xlfn.XLOOKUP($B11,Hoja4!$B:$B,Hoja4!R:R,0)</f>
        <v>0</v>
      </c>
      <c r="S11" s="57">
        <f>+_xlfn.XLOOKUP($B11,Hoja4!$B:$B,Hoja4!S:S,0)</f>
        <v>0</v>
      </c>
      <c r="T11" s="57">
        <f>+_xlfn.XLOOKUP($B11,Hoja4!$B:$B,Hoja4!T:T,0)</f>
        <v>0</v>
      </c>
      <c r="U11" s="58">
        <v>-353339.08</v>
      </c>
    </row>
    <row r="12" spans="2:21" x14ac:dyDescent="0.25">
      <c r="B12" s="53" t="s">
        <v>375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f>+_xlfn.XLOOKUP($B12,Hoja4!$B:$B,Hoja4!M:M,0)</f>
        <v>0</v>
      </c>
      <c r="N12" s="55">
        <f>+_xlfn.XLOOKUP($B12,Hoja4!$B:$B,Hoja4!N:N,0)</f>
        <v>0</v>
      </c>
      <c r="O12" s="55">
        <f>+_xlfn.XLOOKUP($B12,Hoja4!$B:$B,Hoja4!O:O,0)</f>
        <v>0</v>
      </c>
      <c r="P12" s="55">
        <f>+_xlfn.XLOOKUP($B12,Hoja4!$B:$B,Hoja4!P:P,0)</f>
        <v>0</v>
      </c>
      <c r="Q12" s="55">
        <f>+_xlfn.XLOOKUP($B12,Hoja4!$B:$B,Hoja4!Q:Q,0)</f>
        <v>0</v>
      </c>
      <c r="R12" s="55">
        <f>+_xlfn.XLOOKUP($B12,Hoja4!$B:$B,Hoja4!R:R,0)</f>
        <v>0</v>
      </c>
      <c r="S12" s="55">
        <f>+_xlfn.XLOOKUP($B12,Hoja4!$B:$B,Hoja4!S:S,0)</f>
        <v>0</v>
      </c>
      <c r="T12" s="55">
        <f>+_xlfn.XLOOKUP($B12,Hoja4!$B:$B,Hoja4!T:T,0)</f>
        <v>0</v>
      </c>
      <c r="U12" s="54">
        <v>-321339.08</v>
      </c>
    </row>
    <row r="13" spans="2:21" x14ac:dyDescent="0.25">
      <c r="B13" s="53" t="s">
        <v>376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f>+_xlfn.XLOOKUP($B13,Hoja4!$B:$B,Hoja4!M:M,0)</f>
        <v>0</v>
      </c>
      <c r="N13" s="55">
        <f>+_xlfn.XLOOKUP($B13,Hoja4!$B:$B,Hoja4!N:N,0)</f>
        <v>0</v>
      </c>
      <c r="O13" s="55">
        <f>+_xlfn.XLOOKUP($B13,Hoja4!$B:$B,Hoja4!O:O,0)</f>
        <v>0</v>
      </c>
      <c r="P13" s="55">
        <f>+_xlfn.XLOOKUP($B13,Hoja4!$B:$B,Hoja4!P:P,0)</f>
        <v>0</v>
      </c>
      <c r="Q13" s="55">
        <f>+_xlfn.XLOOKUP($B13,Hoja4!$B:$B,Hoja4!Q:Q,0)</f>
        <v>0</v>
      </c>
      <c r="R13" s="55">
        <f>+_xlfn.XLOOKUP($B13,Hoja4!$B:$B,Hoja4!R:R,0)</f>
        <v>0</v>
      </c>
      <c r="S13" s="55">
        <f>+_xlfn.XLOOKUP($B13,Hoja4!$B:$B,Hoja4!S:S,0)</f>
        <v>0</v>
      </c>
      <c r="T13" s="55">
        <f>+_xlfn.XLOOKUP($B13,Hoja4!$B:$B,Hoja4!T:T,0)</f>
        <v>0</v>
      </c>
      <c r="U13" s="55">
        <v>0</v>
      </c>
    </row>
    <row r="14" spans="2:21" x14ac:dyDescent="0.25">
      <c r="B14" s="53" t="s">
        <v>377</v>
      </c>
      <c r="C14" s="54">
        <v>-111.25</v>
      </c>
      <c r="D14" s="55">
        <v>0</v>
      </c>
      <c r="E14" s="54">
        <v>-16506.439999999999</v>
      </c>
      <c r="F14" s="55">
        <v>0</v>
      </c>
      <c r="G14" s="55">
        <v>0</v>
      </c>
      <c r="H14" s="54">
        <v>2304.75</v>
      </c>
      <c r="I14" s="55">
        <v>0</v>
      </c>
      <c r="J14" s="55">
        <v>0</v>
      </c>
      <c r="K14" s="55">
        <v>0</v>
      </c>
      <c r="L14" s="55">
        <v>0</v>
      </c>
      <c r="M14" s="55">
        <f>+_xlfn.XLOOKUP($B14,Hoja4!$B:$B,Hoja4!M:M,0)</f>
        <v>0</v>
      </c>
      <c r="N14" s="55">
        <f>+_xlfn.XLOOKUP($B14,Hoja4!$B:$B,Hoja4!N:N,0)</f>
        <v>0</v>
      </c>
      <c r="O14" s="54">
        <f>+_xlfn.XLOOKUP($B14,Hoja4!$B:$B,Hoja4!O:O,0)</f>
        <v>0</v>
      </c>
      <c r="P14" s="55">
        <f>+_xlfn.XLOOKUP($B14,Hoja4!$B:$B,Hoja4!P:P,0)</f>
        <v>0</v>
      </c>
      <c r="Q14" s="54">
        <f>+_xlfn.XLOOKUP($B14,Hoja4!$B:$B,Hoja4!Q:Q,0)</f>
        <v>0</v>
      </c>
      <c r="R14" s="55">
        <f>+_xlfn.XLOOKUP($B14,Hoja4!$B:$B,Hoja4!R:R,0)</f>
        <v>0</v>
      </c>
      <c r="S14" s="55">
        <f>+_xlfn.XLOOKUP($B14,Hoja4!$B:$B,Hoja4!S:S,0)</f>
        <v>0</v>
      </c>
      <c r="T14" s="55">
        <f>+_xlfn.XLOOKUP($B14,Hoja4!$B:$B,Hoja4!T:T,0)</f>
        <v>0</v>
      </c>
      <c r="U14" s="54">
        <v>1688729.48</v>
      </c>
    </row>
    <row r="15" spans="2:21" x14ac:dyDescent="0.25">
      <c r="B15" s="56" t="s">
        <v>378</v>
      </c>
      <c r="C15" s="57">
        <v>0</v>
      </c>
      <c r="D15" s="57">
        <v>0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  <c r="L15" s="57">
        <v>0</v>
      </c>
      <c r="M15" s="57">
        <f>+_xlfn.XLOOKUP($B15,Hoja4!$B:$B,Hoja4!M:M,0)</f>
        <v>0</v>
      </c>
      <c r="N15" s="57">
        <f>+_xlfn.XLOOKUP($B15,Hoja4!$B:$B,Hoja4!N:N,0)</f>
        <v>0</v>
      </c>
      <c r="O15" s="57">
        <f>+_xlfn.XLOOKUP($B15,Hoja4!$B:$B,Hoja4!O:O,0)</f>
        <v>0</v>
      </c>
      <c r="P15" s="57">
        <f>+_xlfn.XLOOKUP($B15,Hoja4!$B:$B,Hoja4!P:P,0)</f>
        <v>0</v>
      </c>
      <c r="Q15" s="57">
        <f>+_xlfn.XLOOKUP($B15,Hoja4!$B:$B,Hoja4!Q:Q,0)</f>
        <v>0</v>
      </c>
      <c r="R15" s="57">
        <f>+_xlfn.XLOOKUP($B15,Hoja4!$B:$B,Hoja4!R:R,0)</f>
        <v>0</v>
      </c>
      <c r="S15" s="57">
        <f>+_xlfn.XLOOKUP($B15,Hoja4!$B:$B,Hoja4!S:S,0)</f>
        <v>0</v>
      </c>
      <c r="T15" s="57">
        <f>+_xlfn.XLOOKUP($B15,Hoja4!$B:$B,Hoja4!T:T,0)</f>
        <v>0</v>
      </c>
      <c r="U15" s="58">
        <v>690720.17</v>
      </c>
    </row>
    <row r="16" spans="2:21" x14ac:dyDescent="0.25">
      <c r="B16" s="56" t="s">
        <v>475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f>+_xlfn.XLOOKUP($B16,Hoja4!$B:$B,Hoja4!M:M,0)</f>
        <v>0</v>
      </c>
      <c r="N16" s="57">
        <f>+_xlfn.XLOOKUP($B16,Hoja4!$B:$B,Hoja4!N:N,0)</f>
        <v>0</v>
      </c>
      <c r="O16" s="57">
        <f>+_xlfn.XLOOKUP($B16,Hoja4!$B:$B,Hoja4!O:O,0)</f>
        <v>0</v>
      </c>
      <c r="P16" s="57">
        <f>+_xlfn.XLOOKUP($B16,Hoja4!$B:$B,Hoja4!P:P,0)</f>
        <v>0</v>
      </c>
      <c r="Q16" s="57">
        <f>+_xlfn.XLOOKUP($B16,Hoja4!$B:$B,Hoja4!Q:Q,0)</f>
        <v>0</v>
      </c>
      <c r="R16" s="57">
        <f>+_xlfn.XLOOKUP($B16,Hoja4!$B:$B,Hoja4!R:R,0)</f>
        <v>0</v>
      </c>
      <c r="S16" s="57">
        <f>+_xlfn.XLOOKUP($B16,Hoja4!$B:$B,Hoja4!S:S,0)</f>
        <v>0</v>
      </c>
      <c r="T16" s="57">
        <f>+_xlfn.XLOOKUP($B16,Hoja4!$B:$B,Hoja4!T:T,0)</f>
        <v>0</v>
      </c>
      <c r="U16" s="58">
        <v>24287.599999999999</v>
      </c>
    </row>
    <row r="17" spans="2:21" x14ac:dyDescent="0.25">
      <c r="B17" s="53" t="s">
        <v>379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f>+_xlfn.XLOOKUP($B17,Hoja4!$B:$B,Hoja4!M:M,0)</f>
        <v>0</v>
      </c>
      <c r="N17" s="55">
        <f>+_xlfn.XLOOKUP($B17,Hoja4!$B:$B,Hoja4!N:N,0)</f>
        <v>0</v>
      </c>
      <c r="O17" s="55">
        <f>+_xlfn.XLOOKUP($B17,Hoja4!$B:$B,Hoja4!O:O,0)</f>
        <v>0</v>
      </c>
      <c r="P17" s="55">
        <f>+_xlfn.XLOOKUP($B17,Hoja4!$B:$B,Hoja4!P:P,0)</f>
        <v>0</v>
      </c>
      <c r="Q17" s="55">
        <f>+_xlfn.XLOOKUP($B17,Hoja4!$B:$B,Hoja4!Q:Q,0)</f>
        <v>0</v>
      </c>
      <c r="R17" s="55">
        <f>+_xlfn.XLOOKUP($B17,Hoja4!$B:$B,Hoja4!R:R,0)</f>
        <v>0</v>
      </c>
      <c r="S17" s="55">
        <f>+_xlfn.XLOOKUP($B17,Hoja4!$B:$B,Hoja4!S:S,0)</f>
        <v>0</v>
      </c>
      <c r="T17" s="55">
        <f>+_xlfn.XLOOKUP($B17,Hoja4!$B:$B,Hoja4!T:T,0)</f>
        <v>0</v>
      </c>
      <c r="U17" s="54">
        <v>715007.77</v>
      </c>
    </row>
    <row r="18" spans="2:21" x14ac:dyDescent="0.25">
      <c r="B18" s="56" t="s">
        <v>476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8">
        <v>2304.75</v>
      </c>
      <c r="I18" s="57">
        <v>0</v>
      </c>
      <c r="J18" s="57">
        <v>0</v>
      </c>
      <c r="K18" s="57">
        <v>0</v>
      </c>
      <c r="L18" s="57">
        <v>0</v>
      </c>
      <c r="M18" s="57">
        <f>+_xlfn.XLOOKUP($B18,Hoja4!$B:$B,Hoja4!M:M,0)</f>
        <v>0</v>
      </c>
      <c r="N18" s="57">
        <f>+_xlfn.XLOOKUP($B18,Hoja4!$B:$B,Hoja4!N:N,0)</f>
        <v>0</v>
      </c>
      <c r="O18" s="58">
        <f>+_xlfn.XLOOKUP($B18,Hoja4!$B:$B,Hoja4!O:O,0)</f>
        <v>0</v>
      </c>
      <c r="P18" s="57">
        <f>+_xlfn.XLOOKUP($B18,Hoja4!$B:$B,Hoja4!P:P,0)</f>
        <v>0</v>
      </c>
      <c r="Q18" s="58">
        <f>+_xlfn.XLOOKUP($B18,Hoja4!$B:$B,Hoja4!Q:Q,0)</f>
        <v>0</v>
      </c>
      <c r="R18" s="57">
        <f>+_xlfn.XLOOKUP($B18,Hoja4!$B:$B,Hoja4!R:R,0)</f>
        <v>0</v>
      </c>
      <c r="S18" s="57">
        <f>+_xlfn.XLOOKUP($B18,Hoja4!$B:$B,Hoja4!S:S,0)</f>
        <v>0</v>
      </c>
      <c r="T18" s="57">
        <f>+_xlfn.XLOOKUP($B18,Hoja4!$B:$B,Hoja4!T:T,0)</f>
        <v>0</v>
      </c>
      <c r="U18" s="58">
        <v>1064804.02</v>
      </c>
    </row>
    <row r="19" spans="2:21" x14ac:dyDescent="0.25">
      <c r="B19" s="56" t="s">
        <v>380</v>
      </c>
      <c r="C19" s="58">
        <v>-111.25</v>
      </c>
      <c r="D19" s="57">
        <v>0</v>
      </c>
      <c r="E19" s="58">
        <v>-16506.439999999999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f>+_xlfn.XLOOKUP($B19,Hoja4!$B:$B,Hoja4!M:M,0)</f>
        <v>0</v>
      </c>
      <c r="N19" s="57">
        <f>+_xlfn.XLOOKUP($B19,Hoja4!$B:$B,Hoja4!N:N,0)</f>
        <v>0</v>
      </c>
      <c r="O19" s="58">
        <f>+_xlfn.XLOOKUP($B19,Hoja4!$B:$B,Hoja4!O:O,0)</f>
        <v>0</v>
      </c>
      <c r="P19" s="57">
        <f>+_xlfn.XLOOKUP($B19,Hoja4!$B:$B,Hoja4!P:P,0)</f>
        <v>0</v>
      </c>
      <c r="Q19" s="58">
        <f>+_xlfn.XLOOKUP($B19,Hoja4!$B:$B,Hoja4!Q:Q,0)</f>
        <v>0</v>
      </c>
      <c r="R19" s="57">
        <f>+_xlfn.XLOOKUP($B19,Hoja4!$B:$B,Hoja4!R:R,0)</f>
        <v>0</v>
      </c>
      <c r="S19" s="57">
        <f>+_xlfn.XLOOKUP($B19,Hoja4!$B:$B,Hoja4!S:S,0)</f>
        <v>0</v>
      </c>
      <c r="T19" s="57">
        <f>+_xlfn.XLOOKUP($B19,Hoja4!$B:$B,Hoja4!T:T,0)</f>
        <v>0</v>
      </c>
      <c r="U19" s="58">
        <v>-91082.31</v>
      </c>
    </row>
    <row r="20" spans="2:21" x14ac:dyDescent="0.25">
      <c r="B20" s="53" t="s">
        <v>381</v>
      </c>
      <c r="C20" s="54">
        <v>-111.25</v>
      </c>
      <c r="D20" s="55">
        <v>0</v>
      </c>
      <c r="E20" s="54">
        <v>-16506.439999999999</v>
      </c>
      <c r="F20" s="55">
        <v>0</v>
      </c>
      <c r="G20" s="55">
        <v>0</v>
      </c>
      <c r="H20" s="54">
        <v>2304.75</v>
      </c>
      <c r="I20" s="55">
        <v>0</v>
      </c>
      <c r="J20" s="55">
        <v>0</v>
      </c>
      <c r="K20" s="55">
        <v>0</v>
      </c>
      <c r="L20" s="55">
        <v>0</v>
      </c>
      <c r="M20" s="55">
        <f>+_xlfn.XLOOKUP($B20,Hoja4!$B:$B,Hoja4!M:M,0)</f>
        <v>0</v>
      </c>
      <c r="N20" s="55">
        <f>+_xlfn.XLOOKUP($B20,Hoja4!$B:$B,Hoja4!N:N,0)</f>
        <v>0</v>
      </c>
      <c r="O20" s="54">
        <f>+_xlfn.XLOOKUP($B20,Hoja4!$B:$B,Hoja4!O:O,0)</f>
        <v>0</v>
      </c>
      <c r="P20" s="55">
        <f>+_xlfn.XLOOKUP($B20,Hoja4!$B:$B,Hoja4!P:P,0)</f>
        <v>0</v>
      </c>
      <c r="Q20" s="54">
        <f>+_xlfn.XLOOKUP($B20,Hoja4!$B:$B,Hoja4!Q:Q,0)</f>
        <v>0</v>
      </c>
      <c r="R20" s="55">
        <f>+_xlfn.XLOOKUP($B20,Hoja4!$B:$B,Hoja4!R:R,0)</f>
        <v>0</v>
      </c>
      <c r="S20" s="55">
        <f>+_xlfn.XLOOKUP($B20,Hoja4!$B:$B,Hoja4!S:S,0)</f>
        <v>0</v>
      </c>
      <c r="T20" s="55">
        <f>+_xlfn.XLOOKUP($B20,Hoja4!$B:$B,Hoja4!T:T,0)</f>
        <v>0</v>
      </c>
      <c r="U20" s="54">
        <v>973721.71</v>
      </c>
    </row>
    <row r="21" spans="2:21" x14ac:dyDescent="0.25">
      <c r="B21" s="53" t="s">
        <v>384</v>
      </c>
      <c r="C21" s="54">
        <v>-111.25</v>
      </c>
      <c r="D21" s="55">
        <v>0</v>
      </c>
      <c r="E21" s="54">
        <v>-16506.439999999999</v>
      </c>
      <c r="F21" s="55">
        <v>0</v>
      </c>
      <c r="G21" s="55">
        <v>0</v>
      </c>
      <c r="H21" s="54">
        <v>2304.75</v>
      </c>
      <c r="I21" s="55">
        <v>0</v>
      </c>
      <c r="J21" s="55">
        <v>0</v>
      </c>
      <c r="K21" s="55">
        <v>0</v>
      </c>
      <c r="L21" s="55">
        <v>0</v>
      </c>
      <c r="M21" s="55">
        <f>+_xlfn.XLOOKUP($B21,Hoja4!$B:$B,Hoja4!M:M,0)</f>
        <v>0</v>
      </c>
      <c r="N21" s="55">
        <f>+_xlfn.XLOOKUP($B21,Hoja4!$B:$B,Hoja4!N:N,0)</f>
        <v>0</v>
      </c>
      <c r="O21" s="54">
        <f>+_xlfn.XLOOKUP($B21,Hoja4!$B:$B,Hoja4!O:O,0)</f>
        <v>0</v>
      </c>
      <c r="P21" s="55">
        <f>+_xlfn.XLOOKUP($B21,Hoja4!$B:$B,Hoja4!P:P,0)</f>
        <v>0</v>
      </c>
      <c r="Q21" s="54">
        <f>+_xlfn.XLOOKUP($B21,Hoja4!$B:$B,Hoja4!Q:Q,0)</f>
        <v>0</v>
      </c>
      <c r="R21" s="55">
        <f>+_xlfn.XLOOKUP($B21,Hoja4!$B:$B,Hoja4!R:R,0)</f>
        <v>0</v>
      </c>
      <c r="S21" s="55">
        <f>+_xlfn.XLOOKUP($B21,Hoja4!$B:$B,Hoja4!S:S,0)</f>
        <v>0</v>
      </c>
      <c r="T21" s="55">
        <f>+_xlfn.XLOOKUP($B21,Hoja4!$B:$B,Hoja4!T:T,0)</f>
        <v>0</v>
      </c>
      <c r="U21" s="54">
        <v>-2586427.2200000002</v>
      </c>
    </row>
    <row r="22" spans="2:21" x14ac:dyDescent="0.25">
      <c r="B22" s="56" t="s">
        <v>479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f>+_xlfn.XLOOKUP($B22,Hoja4!$B:$B,Hoja4!M:M,0)</f>
        <v>0</v>
      </c>
      <c r="N22" s="57">
        <f>+_xlfn.XLOOKUP($B22,Hoja4!$B:$B,Hoja4!N:N,0)</f>
        <v>0</v>
      </c>
      <c r="O22" s="57">
        <f>+_xlfn.XLOOKUP($B22,Hoja4!$B:$B,Hoja4!O:O,0)</f>
        <v>0</v>
      </c>
      <c r="P22" s="57">
        <f>+_xlfn.XLOOKUP($B22,Hoja4!$B:$B,Hoja4!P:P,0)</f>
        <v>0</v>
      </c>
      <c r="Q22" s="57">
        <f>+_xlfn.XLOOKUP($B22,Hoja4!$B:$B,Hoja4!Q:Q,0)</f>
        <v>0</v>
      </c>
      <c r="R22" s="57">
        <f>+_xlfn.XLOOKUP($B22,Hoja4!$B:$B,Hoja4!R:R,0)</f>
        <v>0</v>
      </c>
      <c r="S22" s="57">
        <f>+_xlfn.XLOOKUP($B22,Hoja4!$B:$B,Hoja4!S:S,0)</f>
        <v>0</v>
      </c>
      <c r="T22" s="57">
        <f>+_xlfn.XLOOKUP($B22,Hoja4!$B:$B,Hoja4!T:T,0)</f>
        <v>0</v>
      </c>
      <c r="U22" s="58">
        <v>2263702.81</v>
      </c>
    </row>
    <row r="23" spans="2:21" x14ac:dyDescent="0.25">
      <c r="B23" s="53" t="s">
        <v>457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f>+_xlfn.XLOOKUP($B23,Hoja4!$B:$B,Hoja4!M:M,0)</f>
        <v>0</v>
      </c>
      <c r="N23" s="55">
        <f>+_xlfn.XLOOKUP($B23,Hoja4!$B:$B,Hoja4!N:N,0)</f>
        <v>0</v>
      </c>
      <c r="O23" s="55">
        <f>+_xlfn.XLOOKUP($B23,Hoja4!$B:$B,Hoja4!O:O,0)</f>
        <v>0</v>
      </c>
      <c r="P23" s="55">
        <f>+_xlfn.XLOOKUP($B23,Hoja4!$B:$B,Hoja4!P:P,0)</f>
        <v>0</v>
      </c>
      <c r="Q23" s="55">
        <f>+_xlfn.XLOOKUP($B23,Hoja4!$B:$B,Hoja4!Q:Q,0)</f>
        <v>0</v>
      </c>
      <c r="R23" s="55">
        <f>+_xlfn.XLOOKUP($B23,Hoja4!$B:$B,Hoja4!R:R,0)</f>
        <v>0</v>
      </c>
      <c r="S23" s="55">
        <f>+_xlfn.XLOOKUP($B23,Hoja4!$B:$B,Hoja4!S:S,0)</f>
        <v>0</v>
      </c>
      <c r="T23" s="55">
        <f>+_xlfn.XLOOKUP($B23,Hoja4!$B:$B,Hoja4!T:T,0)</f>
        <v>0</v>
      </c>
      <c r="U23" s="54">
        <v>2263702.81</v>
      </c>
    </row>
    <row r="24" spans="2:21" x14ac:dyDescent="0.25">
      <c r="B24" s="53" t="s">
        <v>385</v>
      </c>
      <c r="C24" s="54">
        <v>-111.25</v>
      </c>
      <c r="D24" s="55">
        <v>0</v>
      </c>
      <c r="E24" s="54">
        <v>-16506.439999999999</v>
      </c>
      <c r="F24" s="55">
        <v>0</v>
      </c>
      <c r="G24" s="55">
        <v>0</v>
      </c>
      <c r="H24" s="54">
        <v>2304.75</v>
      </c>
      <c r="I24" s="55">
        <v>0</v>
      </c>
      <c r="J24" s="55">
        <v>0</v>
      </c>
      <c r="K24" s="55">
        <v>0</v>
      </c>
      <c r="L24" s="55">
        <v>0</v>
      </c>
      <c r="M24" s="55">
        <f>+_xlfn.XLOOKUP($B24,Hoja4!$B:$B,Hoja4!M:M,0)</f>
        <v>0</v>
      </c>
      <c r="N24" s="55">
        <f>+_xlfn.XLOOKUP($B24,Hoja4!$B:$B,Hoja4!N:N,0)</f>
        <v>0</v>
      </c>
      <c r="O24" s="54">
        <f>+_xlfn.XLOOKUP($B24,Hoja4!$B:$B,Hoja4!O:O,0)</f>
        <v>0</v>
      </c>
      <c r="P24" s="55">
        <f>+_xlfn.XLOOKUP($B24,Hoja4!$B:$B,Hoja4!P:P,0)</f>
        <v>0</v>
      </c>
      <c r="Q24" s="54">
        <f>+_xlfn.XLOOKUP($B24,Hoja4!$B:$B,Hoja4!Q:Q,0)</f>
        <v>0</v>
      </c>
      <c r="R24" s="55">
        <f>+_xlfn.XLOOKUP($B24,Hoja4!$B:$B,Hoja4!R:R,0)</f>
        <v>0</v>
      </c>
      <c r="S24" s="55">
        <f>+_xlfn.XLOOKUP($B24,Hoja4!$B:$B,Hoja4!S:S,0)</f>
        <v>0</v>
      </c>
      <c r="T24" s="55">
        <f>+_xlfn.XLOOKUP($B24,Hoja4!$B:$B,Hoja4!T:T,0)</f>
        <v>0</v>
      </c>
      <c r="U24" s="54">
        <v>-322724.40999999997</v>
      </c>
    </row>
    <row r="25" spans="2:21" x14ac:dyDescent="0.25">
      <c r="B25" s="53" t="s">
        <v>533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f>+_xlfn.XLOOKUP($B25,Hoja4!$B:$B,Hoja4!M:M,0)</f>
        <v>0</v>
      </c>
      <c r="N25" s="55">
        <f>+_xlfn.XLOOKUP($B25,Hoja4!$B:$B,Hoja4!N:N,0)</f>
        <v>0</v>
      </c>
      <c r="O25" s="55">
        <f>+_xlfn.XLOOKUP($B25,Hoja4!$B:$B,Hoja4!O:O,0)</f>
        <v>0</v>
      </c>
      <c r="P25" s="55">
        <f>+_xlfn.XLOOKUP($B25,Hoja4!$B:$B,Hoja4!P:P,0)</f>
        <v>0</v>
      </c>
      <c r="Q25" s="55">
        <f>+_xlfn.XLOOKUP($B25,Hoja4!$B:$B,Hoja4!Q:Q,0)</f>
        <v>0</v>
      </c>
      <c r="R25" s="55">
        <f>+_xlfn.XLOOKUP($B25,Hoja4!$B:$B,Hoja4!R:R,0)</f>
        <v>0</v>
      </c>
      <c r="S25" s="55">
        <f>+_xlfn.XLOOKUP($B25,Hoja4!$B:$B,Hoja4!S:S,0)</f>
        <v>0</v>
      </c>
      <c r="T25" s="55">
        <f>+_xlfn.XLOOKUP($B25,Hoja4!$B:$B,Hoja4!T:T,0)</f>
        <v>0</v>
      </c>
      <c r="U25" s="55">
        <v>0</v>
      </c>
    </row>
    <row r="26" spans="2:21" x14ac:dyDescent="0.25">
      <c r="B26" s="53" t="s">
        <v>534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f>+_xlfn.XLOOKUP($B26,Hoja4!$B:$B,Hoja4!M:M,0)</f>
        <v>0</v>
      </c>
      <c r="N26" s="55">
        <f>+_xlfn.XLOOKUP($B26,Hoja4!$B:$B,Hoja4!N:N,0)</f>
        <v>0</v>
      </c>
      <c r="O26" s="55">
        <f>+_xlfn.XLOOKUP($B26,Hoja4!$B:$B,Hoja4!O:O,0)</f>
        <v>0</v>
      </c>
      <c r="P26" s="55">
        <f>+_xlfn.XLOOKUP($B26,Hoja4!$B:$B,Hoja4!P:P,0)</f>
        <v>0</v>
      </c>
      <c r="Q26" s="55">
        <f>+_xlfn.XLOOKUP($B26,Hoja4!$B:$B,Hoja4!Q:Q,0)</f>
        <v>0</v>
      </c>
      <c r="R26" s="55">
        <f>+_xlfn.XLOOKUP($B26,Hoja4!$B:$B,Hoja4!R:R,0)</f>
        <v>0</v>
      </c>
      <c r="S26" s="55">
        <f>+_xlfn.XLOOKUP($B26,Hoja4!$B:$B,Hoja4!S:S,0)</f>
        <v>0</v>
      </c>
      <c r="T26" s="55">
        <f>+_xlfn.XLOOKUP($B26,Hoja4!$B:$B,Hoja4!T:T,0)</f>
        <v>0</v>
      </c>
      <c r="U26" s="55">
        <v>0</v>
      </c>
    </row>
    <row r="27" spans="2:21" x14ac:dyDescent="0.25">
      <c r="B27" s="53" t="s">
        <v>535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f>+_xlfn.XLOOKUP($B27,Hoja4!$B:$B,Hoja4!M:M,0)</f>
        <v>0</v>
      </c>
      <c r="N27" s="55">
        <f>+_xlfn.XLOOKUP($B27,Hoja4!$B:$B,Hoja4!N:N,0)</f>
        <v>0</v>
      </c>
      <c r="O27" s="55">
        <f>+_xlfn.XLOOKUP($B27,Hoja4!$B:$B,Hoja4!O:O,0)</f>
        <v>0</v>
      </c>
      <c r="P27" s="55">
        <f>+_xlfn.XLOOKUP($B27,Hoja4!$B:$B,Hoja4!P:P,0)</f>
        <v>0</v>
      </c>
      <c r="Q27" s="55">
        <f>+_xlfn.XLOOKUP($B27,Hoja4!$B:$B,Hoja4!Q:Q,0)</f>
        <v>0</v>
      </c>
      <c r="R27" s="55">
        <f>+_xlfn.XLOOKUP($B27,Hoja4!$B:$B,Hoja4!R:R,0)</f>
        <v>0</v>
      </c>
      <c r="S27" s="55">
        <f>+_xlfn.XLOOKUP($B27,Hoja4!$B:$B,Hoja4!S:S,0)</f>
        <v>0</v>
      </c>
      <c r="T27" s="55">
        <f>+_xlfn.XLOOKUP($B27,Hoja4!$B:$B,Hoja4!T:T,0)</f>
        <v>0</v>
      </c>
      <c r="U27" s="55">
        <v>0</v>
      </c>
    </row>
    <row r="28" spans="2:21" x14ac:dyDescent="0.25">
      <c r="B28" s="53" t="s">
        <v>428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f>+_xlfn.XLOOKUP($B28,Hoja4!$B:$B,Hoja4!M:M,0)</f>
        <v>0</v>
      </c>
      <c r="N28" s="55">
        <f>+_xlfn.XLOOKUP($B28,Hoja4!$B:$B,Hoja4!N:N,0)</f>
        <v>0</v>
      </c>
      <c r="O28" s="55">
        <f>+_xlfn.XLOOKUP($B28,Hoja4!$B:$B,Hoja4!O:O,0)</f>
        <v>0</v>
      </c>
      <c r="P28" s="55">
        <f>+_xlfn.XLOOKUP($B28,Hoja4!$B:$B,Hoja4!P:P,0)</f>
        <v>0</v>
      </c>
      <c r="Q28" s="55">
        <f>+_xlfn.XLOOKUP($B28,Hoja4!$B:$B,Hoja4!Q:Q,0)</f>
        <v>0</v>
      </c>
      <c r="R28" s="55">
        <f>+_xlfn.XLOOKUP($B28,Hoja4!$B:$B,Hoja4!R:R,0)</f>
        <v>0</v>
      </c>
      <c r="S28" s="55">
        <f>+_xlfn.XLOOKUP($B28,Hoja4!$B:$B,Hoja4!S:S,0)</f>
        <v>0</v>
      </c>
      <c r="T28" s="55">
        <f>+_xlfn.XLOOKUP($B28,Hoja4!$B:$B,Hoja4!T:T,0)</f>
        <v>0</v>
      </c>
      <c r="U28" s="54">
        <v>11833.46</v>
      </c>
    </row>
    <row r="29" spans="2:21" x14ac:dyDescent="0.25">
      <c r="B29" s="56" t="s">
        <v>430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f>+_xlfn.XLOOKUP($B29,Hoja4!$B:$B,Hoja4!M:M,0)</f>
        <v>0</v>
      </c>
      <c r="N29" s="57">
        <f>+_xlfn.XLOOKUP($B29,Hoja4!$B:$B,Hoja4!N:N,0)</f>
        <v>0</v>
      </c>
      <c r="O29" s="57">
        <f>+_xlfn.XLOOKUP($B29,Hoja4!$B:$B,Hoja4!O:O,0)</f>
        <v>0</v>
      </c>
      <c r="P29" s="57">
        <f>+_xlfn.XLOOKUP($B29,Hoja4!$B:$B,Hoja4!P:P,0)</f>
        <v>0</v>
      </c>
      <c r="Q29" s="57">
        <f>+_xlfn.XLOOKUP($B29,Hoja4!$B:$B,Hoja4!Q:Q,0)</f>
        <v>0</v>
      </c>
      <c r="R29" s="57">
        <f>+_xlfn.XLOOKUP($B29,Hoja4!$B:$B,Hoja4!R:R,0)</f>
        <v>0</v>
      </c>
      <c r="S29" s="57">
        <f>+_xlfn.XLOOKUP($B29,Hoja4!$B:$B,Hoja4!S:S,0)</f>
        <v>0</v>
      </c>
      <c r="T29" s="57">
        <f>+_xlfn.XLOOKUP($B29,Hoja4!$B:$B,Hoja4!T:T,0)</f>
        <v>0</v>
      </c>
      <c r="U29" s="58">
        <v>11833.46</v>
      </c>
    </row>
    <row r="30" spans="2:21" x14ac:dyDescent="0.25">
      <c r="B30" s="53" t="s">
        <v>431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f>+_xlfn.XLOOKUP($B30,Hoja4!$B:$B,Hoja4!M:M,0)</f>
        <v>0</v>
      </c>
      <c r="N30" s="55">
        <f>+_xlfn.XLOOKUP($B30,Hoja4!$B:$B,Hoja4!N:N,0)</f>
        <v>0</v>
      </c>
      <c r="O30" s="55">
        <f>+_xlfn.XLOOKUP($B30,Hoja4!$B:$B,Hoja4!O:O,0)</f>
        <v>0</v>
      </c>
      <c r="P30" s="55">
        <f>+_xlfn.XLOOKUP($B30,Hoja4!$B:$B,Hoja4!P:P,0)</f>
        <v>0</v>
      </c>
      <c r="Q30" s="55">
        <f>+_xlfn.XLOOKUP($B30,Hoja4!$B:$B,Hoja4!Q:Q,0)</f>
        <v>0</v>
      </c>
      <c r="R30" s="55">
        <f>+_xlfn.XLOOKUP($B30,Hoja4!$B:$B,Hoja4!R:R,0)</f>
        <v>0</v>
      </c>
      <c r="S30" s="55">
        <f>+_xlfn.XLOOKUP($B30,Hoja4!$B:$B,Hoja4!S:S,0)</f>
        <v>0</v>
      </c>
      <c r="T30" s="55">
        <f>+_xlfn.XLOOKUP($B30,Hoja4!$B:$B,Hoja4!T:T,0)</f>
        <v>0</v>
      </c>
      <c r="U30" s="54">
        <v>11833.46</v>
      </c>
    </row>
    <row r="31" spans="2:21" x14ac:dyDescent="0.25">
      <c r="B31" s="53" t="s">
        <v>536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f>+_xlfn.XLOOKUP($B31,Hoja4!$B:$B,Hoja4!M:M,0)</f>
        <v>0</v>
      </c>
      <c r="N31" s="55">
        <f>+_xlfn.XLOOKUP($B31,Hoja4!$B:$B,Hoja4!N:N,0)</f>
        <v>0</v>
      </c>
      <c r="O31" s="55">
        <f>+_xlfn.XLOOKUP($B31,Hoja4!$B:$B,Hoja4!O:O,0)</f>
        <v>0</v>
      </c>
      <c r="P31" s="55">
        <f>+_xlfn.XLOOKUP($B31,Hoja4!$B:$B,Hoja4!P:P,0)</f>
        <v>0</v>
      </c>
      <c r="Q31" s="55">
        <f>+_xlfn.XLOOKUP($B31,Hoja4!$B:$B,Hoja4!Q:Q,0)</f>
        <v>0</v>
      </c>
      <c r="R31" s="55">
        <f>+_xlfn.XLOOKUP($B31,Hoja4!$B:$B,Hoja4!R:R,0)</f>
        <v>0</v>
      </c>
      <c r="S31" s="55">
        <f>+_xlfn.XLOOKUP($B31,Hoja4!$B:$B,Hoja4!S:S,0)</f>
        <v>0</v>
      </c>
      <c r="T31" s="55">
        <f>+_xlfn.XLOOKUP($B31,Hoja4!$B:$B,Hoja4!T:T,0)</f>
        <v>0</v>
      </c>
      <c r="U31" s="54">
        <v>11833.46</v>
      </c>
    </row>
    <row r="32" spans="2:21" x14ac:dyDescent="0.25">
      <c r="B32" s="53" t="s">
        <v>537</v>
      </c>
      <c r="C32" s="54">
        <v>-111.25</v>
      </c>
      <c r="D32" s="55">
        <v>0</v>
      </c>
      <c r="E32" s="54">
        <v>-16506.439999999999</v>
      </c>
      <c r="F32" s="55">
        <v>0</v>
      </c>
      <c r="G32" s="55">
        <v>0</v>
      </c>
      <c r="H32" s="54">
        <v>2304.75</v>
      </c>
      <c r="I32" s="55">
        <v>0</v>
      </c>
      <c r="J32" s="55">
        <v>0</v>
      </c>
      <c r="K32" s="55">
        <v>0</v>
      </c>
      <c r="L32" s="55">
        <v>0</v>
      </c>
      <c r="M32" s="55">
        <f>+_xlfn.XLOOKUP($B32,Hoja4!$B:$B,Hoja4!M:M,0)</f>
        <v>0</v>
      </c>
      <c r="N32" s="55">
        <f>+_xlfn.XLOOKUP($B32,Hoja4!$B:$B,Hoja4!N:N,0)</f>
        <v>0</v>
      </c>
      <c r="O32" s="54">
        <f>+_xlfn.XLOOKUP($B32,Hoja4!$B:$B,Hoja4!O:O,0)</f>
        <v>0</v>
      </c>
      <c r="P32" s="55">
        <f>+_xlfn.XLOOKUP($B32,Hoja4!$B:$B,Hoja4!P:P,0)</f>
        <v>0</v>
      </c>
      <c r="Q32" s="54">
        <f>+_xlfn.XLOOKUP($B32,Hoja4!$B:$B,Hoja4!Q:Q,0)</f>
        <v>0</v>
      </c>
      <c r="R32" s="55">
        <f>+_xlfn.XLOOKUP($B32,Hoja4!$B:$B,Hoja4!R:R,0)</f>
        <v>0</v>
      </c>
      <c r="S32" s="55">
        <f>+_xlfn.XLOOKUP($B32,Hoja4!$B:$B,Hoja4!S:S,0)</f>
        <v>0</v>
      </c>
      <c r="T32" s="55">
        <f>+_xlfn.XLOOKUP($B32,Hoja4!$B:$B,Hoja4!T:T,0)</f>
        <v>0</v>
      </c>
      <c r="U32" s="54">
        <v>-2574593.7599999998</v>
      </c>
    </row>
    <row r="33" spans="2:21" x14ac:dyDescent="0.25">
      <c r="B33" s="53" t="s">
        <v>458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f>+_xlfn.XLOOKUP($B33,Hoja4!$B:$B,Hoja4!M:M,0)</f>
        <v>0</v>
      </c>
      <c r="N33" s="55">
        <f>+_xlfn.XLOOKUP($B33,Hoja4!$B:$B,Hoja4!N:N,0)</f>
        <v>0</v>
      </c>
      <c r="O33" s="55">
        <f>+_xlfn.XLOOKUP($B33,Hoja4!$B:$B,Hoja4!O:O,0)</f>
        <v>0</v>
      </c>
      <c r="P33" s="55">
        <f>+_xlfn.XLOOKUP($B33,Hoja4!$B:$B,Hoja4!P:P,0)</f>
        <v>0</v>
      </c>
      <c r="Q33" s="55">
        <f>+_xlfn.XLOOKUP($B33,Hoja4!$B:$B,Hoja4!Q:Q,0)</f>
        <v>0</v>
      </c>
      <c r="R33" s="55">
        <f>+_xlfn.XLOOKUP($B33,Hoja4!$B:$B,Hoja4!R:R,0)</f>
        <v>0</v>
      </c>
      <c r="S33" s="55">
        <f>+_xlfn.XLOOKUP($B33,Hoja4!$B:$B,Hoja4!S:S,0)</f>
        <v>0</v>
      </c>
      <c r="T33" s="55">
        <f>+_xlfn.XLOOKUP($B33,Hoja4!$B:$B,Hoja4!T:T,0)</f>
        <v>0</v>
      </c>
      <c r="U33" s="55">
        <v>0</v>
      </c>
    </row>
    <row r="34" spans="2:21" x14ac:dyDescent="0.25">
      <c r="B34" s="53" t="s">
        <v>441</v>
      </c>
      <c r="C34" s="54">
        <v>-111.25</v>
      </c>
      <c r="D34" s="55">
        <v>0</v>
      </c>
      <c r="E34" s="54">
        <v>-16506.439999999999</v>
      </c>
      <c r="F34" s="55">
        <v>0</v>
      </c>
      <c r="G34" s="55">
        <v>0</v>
      </c>
      <c r="H34" s="54">
        <v>2304.75</v>
      </c>
      <c r="I34" s="55">
        <v>0</v>
      </c>
      <c r="J34" s="55">
        <v>0</v>
      </c>
      <c r="K34" s="55">
        <v>0</v>
      </c>
      <c r="L34" s="55">
        <v>0</v>
      </c>
      <c r="M34" s="55">
        <f>+_xlfn.XLOOKUP($B34,Hoja4!$B:$B,Hoja4!M:M,0)</f>
        <v>0</v>
      </c>
      <c r="N34" s="55">
        <f>+_xlfn.XLOOKUP($B34,Hoja4!$B:$B,Hoja4!N:N,0)</f>
        <v>0</v>
      </c>
      <c r="O34" s="54">
        <f>+_xlfn.XLOOKUP($B34,Hoja4!$B:$B,Hoja4!O:O,0)</f>
        <v>0</v>
      </c>
      <c r="P34" s="55">
        <f>+_xlfn.XLOOKUP($B34,Hoja4!$B:$B,Hoja4!P:P,0)</f>
        <v>0</v>
      </c>
      <c r="Q34" s="54">
        <f>+_xlfn.XLOOKUP($B34,Hoja4!$B:$B,Hoja4!Q:Q,0)</f>
        <v>0</v>
      </c>
      <c r="R34" s="55">
        <f>+_xlfn.XLOOKUP($B34,Hoja4!$B:$B,Hoja4!R:R,0)</f>
        <v>0</v>
      </c>
      <c r="S34" s="55">
        <f>+_xlfn.XLOOKUP($B34,Hoja4!$B:$B,Hoja4!S:S,0)</f>
        <v>0</v>
      </c>
      <c r="T34" s="55">
        <f>+_xlfn.XLOOKUP($B34,Hoja4!$B:$B,Hoja4!T:T,0)</f>
        <v>0</v>
      </c>
      <c r="U34" s="54">
        <v>-310890.95</v>
      </c>
    </row>
    <row r="35" spans="2:21" x14ac:dyDescent="0.25">
      <c r="B35" s="53" t="s">
        <v>442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f>+_xlfn.XLOOKUP($B35,Hoja4!$B:$B,Hoja4!M:M,0)</f>
        <v>0</v>
      </c>
      <c r="N35" s="55">
        <f>+_xlfn.XLOOKUP($B35,Hoja4!$B:$B,Hoja4!N:N,0)</f>
        <v>0</v>
      </c>
      <c r="O35" s="55">
        <f>+_xlfn.XLOOKUP($B35,Hoja4!$B:$B,Hoja4!O:O,0)</f>
        <v>0</v>
      </c>
      <c r="P35" s="55">
        <f>+_xlfn.XLOOKUP($B35,Hoja4!$B:$B,Hoja4!P:P,0)</f>
        <v>0</v>
      </c>
      <c r="Q35" s="55">
        <f>+_xlfn.XLOOKUP($B35,Hoja4!$B:$B,Hoja4!Q:Q,0)</f>
        <v>0</v>
      </c>
      <c r="R35" s="55">
        <f>+_xlfn.XLOOKUP($B35,Hoja4!$B:$B,Hoja4!R:R,0)</f>
        <v>0</v>
      </c>
      <c r="S35" s="55">
        <f>+_xlfn.XLOOKUP($B35,Hoja4!$B:$B,Hoja4!S:S,0)</f>
        <v>0</v>
      </c>
      <c r="T35" s="55">
        <f>+_xlfn.XLOOKUP($B35,Hoja4!$B:$B,Hoja4!T:T,0)</f>
        <v>0</v>
      </c>
      <c r="U35" s="55">
        <v>0</v>
      </c>
    </row>
    <row r="36" spans="2:21" x14ac:dyDescent="0.25">
      <c r="B36" s="53" t="s">
        <v>443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f>+_xlfn.XLOOKUP($B36,Hoja4!$B:$B,Hoja4!M:M,0)</f>
        <v>0</v>
      </c>
      <c r="N36" s="55">
        <f>+_xlfn.XLOOKUP($B36,Hoja4!$B:$B,Hoja4!N:N,0)</f>
        <v>0</v>
      </c>
      <c r="O36" s="55">
        <f>+_xlfn.XLOOKUP($B36,Hoja4!$B:$B,Hoja4!O:O,0)</f>
        <v>0</v>
      </c>
      <c r="P36" s="55">
        <f>+_xlfn.XLOOKUP($B36,Hoja4!$B:$B,Hoja4!P:P,0)</f>
        <v>0</v>
      </c>
      <c r="Q36" s="55">
        <f>+_xlfn.XLOOKUP($B36,Hoja4!$B:$B,Hoja4!Q:Q,0)</f>
        <v>0</v>
      </c>
      <c r="R36" s="55">
        <f>+_xlfn.XLOOKUP($B36,Hoja4!$B:$B,Hoja4!R:R,0)</f>
        <v>0</v>
      </c>
      <c r="S36" s="55">
        <f>+_xlfn.XLOOKUP($B36,Hoja4!$B:$B,Hoja4!S:S,0)</f>
        <v>0</v>
      </c>
      <c r="T36" s="55">
        <f>+_xlfn.XLOOKUP($B36,Hoja4!$B:$B,Hoja4!T:T,0)</f>
        <v>0</v>
      </c>
      <c r="U36" s="55">
        <v>0</v>
      </c>
    </row>
    <row r="37" spans="2:21" x14ac:dyDescent="0.25">
      <c r="B37" s="53" t="s">
        <v>444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f>+_xlfn.XLOOKUP($B37,Hoja4!$B:$B,Hoja4!M:M,0)</f>
        <v>0</v>
      </c>
      <c r="N37" s="55">
        <f>+_xlfn.XLOOKUP($B37,Hoja4!$B:$B,Hoja4!N:N,0)</f>
        <v>0</v>
      </c>
      <c r="O37" s="55">
        <f>+_xlfn.XLOOKUP($B37,Hoja4!$B:$B,Hoja4!O:O,0)</f>
        <v>0</v>
      </c>
      <c r="P37" s="55">
        <f>+_xlfn.XLOOKUP($B37,Hoja4!$B:$B,Hoja4!P:P,0)</f>
        <v>0</v>
      </c>
      <c r="Q37" s="55">
        <f>+_xlfn.XLOOKUP($B37,Hoja4!$B:$B,Hoja4!Q:Q,0)</f>
        <v>0</v>
      </c>
      <c r="R37" s="55">
        <f>+_xlfn.XLOOKUP($B37,Hoja4!$B:$B,Hoja4!R:R,0)</f>
        <v>0</v>
      </c>
      <c r="S37" s="55">
        <f>+_xlfn.XLOOKUP($B37,Hoja4!$B:$B,Hoja4!S:S,0)</f>
        <v>0</v>
      </c>
      <c r="T37" s="55">
        <f>+_xlfn.XLOOKUP($B37,Hoja4!$B:$B,Hoja4!T:T,0)</f>
        <v>0</v>
      </c>
      <c r="U37" s="55">
        <v>0</v>
      </c>
    </row>
    <row r="38" spans="2:21" x14ac:dyDescent="0.25">
      <c r="B38" s="53" t="s">
        <v>445</v>
      </c>
      <c r="C38" s="54">
        <v>-111.25</v>
      </c>
      <c r="D38" s="55">
        <v>0</v>
      </c>
      <c r="E38" s="54">
        <v>-16506.439999999999</v>
      </c>
      <c r="F38" s="55">
        <v>0</v>
      </c>
      <c r="G38" s="55">
        <v>0</v>
      </c>
      <c r="H38" s="54">
        <v>2304.75</v>
      </c>
      <c r="I38" s="55">
        <v>0</v>
      </c>
      <c r="J38" s="55">
        <v>0</v>
      </c>
      <c r="K38" s="55">
        <v>0</v>
      </c>
      <c r="L38" s="55">
        <v>0</v>
      </c>
      <c r="M38" s="55">
        <f>+_xlfn.XLOOKUP($B38,Hoja4!$B:$B,Hoja4!M:M,0)</f>
        <v>0</v>
      </c>
      <c r="N38" s="55">
        <f>+_xlfn.XLOOKUP($B38,Hoja4!$B:$B,Hoja4!N:N,0)</f>
        <v>0</v>
      </c>
      <c r="O38" s="54">
        <f>+_xlfn.XLOOKUP($B38,Hoja4!$B:$B,Hoja4!O:O,0)</f>
        <v>0</v>
      </c>
      <c r="P38" s="55">
        <f>+_xlfn.XLOOKUP($B38,Hoja4!$B:$B,Hoja4!P:P,0)</f>
        <v>0</v>
      </c>
      <c r="Q38" s="54">
        <f>+_xlfn.XLOOKUP($B38,Hoja4!$B:$B,Hoja4!Q:Q,0)</f>
        <v>0</v>
      </c>
      <c r="R38" s="55">
        <f>+_xlfn.XLOOKUP($B38,Hoja4!$B:$B,Hoja4!R:R,0)</f>
        <v>0</v>
      </c>
      <c r="S38" s="55">
        <f>+_xlfn.XLOOKUP($B38,Hoja4!$B:$B,Hoja4!S:S,0)</f>
        <v>0</v>
      </c>
      <c r="T38" s="55">
        <f>+_xlfn.XLOOKUP($B38,Hoja4!$B:$B,Hoja4!T:T,0)</f>
        <v>0</v>
      </c>
      <c r="U38" s="54">
        <v>-310890.95</v>
      </c>
    </row>
    <row r="39" spans="2:21" x14ac:dyDescent="0.25">
      <c r="B39" s="53" t="s">
        <v>452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f>+_xlfn.XLOOKUP($B39,Hoja4!$B:$B,Hoja4!M:M,0)</f>
        <v>0</v>
      </c>
      <c r="N39" s="55">
        <f>+_xlfn.XLOOKUP($B39,Hoja4!$B:$B,Hoja4!N:N,0)</f>
        <v>0</v>
      </c>
      <c r="O39" s="55">
        <f>+_xlfn.XLOOKUP($B39,Hoja4!$B:$B,Hoja4!O:O,0)</f>
        <v>0</v>
      </c>
      <c r="P39" s="55">
        <f>+_xlfn.XLOOKUP($B39,Hoja4!$B:$B,Hoja4!P:P,0)</f>
        <v>0</v>
      </c>
      <c r="Q39" s="55">
        <f>+_xlfn.XLOOKUP($B39,Hoja4!$B:$B,Hoja4!Q:Q,0)</f>
        <v>0</v>
      </c>
      <c r="R39" s="55">
        <f>+_xlfn.XLOOKUP($B39,Hoja4!$B:$B,Hoja4!R:R,0)</f>
        <v>0</v>
      </c>
      <c r="S39" s="55">
        <f>+_xlfn.XLOOKUP($B39,Hoja4!$B:$B,Hoja4!S:S,0)</f>
        <v>0</v>
      </c>
      <c r="T39" s="55">
        <f>+_xlfn.XLOOKUP($B39,Hoja4!$B:$B,Hoja4!T:T,0)</f>
        <v>0</v>
      </c>
      <c r="U39" s="55">
        <v>0</v>
      </c>
    </row>
    <row r="40" spans="2:21" x14ac:dyDescent="0.25">
      <c r="B40" s="56" t="s">
        <v>527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f>+_xlfn.XLOOKUP($B40,Hoja4!$B:$B,Hoja4!M:M,0)</f>
        <v>0</v>
      </c>
      <c r="N40" s="57">
        <f>+_xlfn.XLOOKUP($B40,Hoja4!$B:$B,Hoja4!N:N,0)</f>
        <v>0</v>
      </c>
      <c r="O40" s="57">
        <f>+_xlfn.XLOOKUP($B40,Hoja4!$B:$B,Hoja4!O:O,0)</f>
        <v>0</v>
      </c>
      <c r="P40" s="57">
        <f>+_xlfn.XLOOKUP($B40,Hoja4!$B:$B,Hoja4!P:P,0)</f>
        <v>0</v>
      </c>
      <c r="Q40" s="57">
        <f>+_xlfn.XLOOKUP($B40,Hoja4!$B:$B,Hoja4!Q:Q,0)</f>
        <v>0</v>
      </c>
      <c r="R40" s="57">
        <f>+_xlfn.XLOOKUP($B40,Hoja4!$B:$B,Hoja4!R:R,0)</f>
        <v>0</v>
      </c>
      <c r="S40" s="57">
        <f>+_xlfn.XLOOKUP($B40,Hoja4!$B:$B,Hoja4!S:S,0)</f>
        <v>0</v>
      </c>
      <c r="T40" s="57">
        <f>+_xlfn.XLOOKUP($B40,Hoja4!$B:$B,Hoja4!T:T,0)</f>
        <v>0</v>
      </c>
      <c r="U40" s="57">
        <v>0</v>
      </c>
    </row>
    <row r="41" spans="2:21" x14ac:dyDescent="0.25">
      <c r="B41" s="53" t="s">
        <v>528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f>+_xlfn.XLOOKUP($B41,Hoja4!$B:$B,Hoja4!M:M,0)</f>
        <v>0</v>
      </c>
      <c r="N41" s="55">
        <f>+_xlfn.XLOOKUP($B41,Hoja4!$B:$B,Hoja4!N:N,0)</f>
        <v>0</v>
      </c>
      <c r="O41" s="55">
        <f>+_xlfn.XLOOKUP($B41,Hoja4!$B:$B,Hoja4!O:O,0)</f>
        <v>0</v>
      </c>
      <c r="P41" s="55">
        <f>+_xlfn.XLOOKUP($B41,Hoja4!$B:$B,Hoja4!P:P,0)</f>
        <v>0</v>
      </c>
      <c r="Q41" s="55">
        <f>+_xlfn.XLOOKUP($B41,Hoja4!$B:$B,Hoja4!Q:Q,0)</f>
        <v>0</v>
      </c>
      <c r="R41" s="55">
        <f>+_xlfn.XLOOKUP($B41,Hoja4!$B:$B,Hoja4!R:R,0)</f>
        <v>0</v>
      </c>
      <c r="S41" s="55">
        <f>+_xlfn.XLOOKUP($B41,Hoja4!$B:$B,Hoja4!S:S,0)</f>
        <v>0</v>
      </c>
      <c r="T41" s="55">
        <f>+_xlfn.XLOOKUP($B41,Hoja4!$B:$B,Hoja4!T:T,0)</f>
        <v>0</v>
      </c>
      <c r="U41" s="55">
        <v>0</v>
      </c>
    </row>
    <row r="42" spans="2:21" x14ac:dyDescent="0.25">
      <c r="B42" s="59" t="s">
        <v>521</v>
      </c>
      <c r="C42" s="60">
        <v>-111.25</v>
      </c>
      <c r="D42" s="61">
        <v>0</v>
      </c>
      <c r="E42" s="60">
        <v>-16506.439999999999</v>
      </c>
      <c r="F42" s="61">
        <v>0</v>
      </c>
      <c r="G42" s="61">
        <v>0</v>
      </c>
      <c r="H42" s="60">
        <v>2304.75</v>
      </c>
      <c r="I42" s="61">
        <v>0</v>
      </c>
      <c r="J42" s="61">
        <v>0</v>
      </c>
      <c r="K42" s="61">
        <v>0</v>
      </c>
      <c r="L42" s="61">
        <v>0</v>
      </c>
      <c r="M42" s="61">
        <f>+_xlfn.XLOOKUP($B42,Hoja4!$B:$B,Hoja4!M:M,0)</f>
        <v>0</v>
      </c>
      <c r="N42" s="61">
        <f>+_xlfn.XLOOKUP($B42,Hoja4!$B:$B,Hoja4!N:N,0)</f>
        <v>0</v>
      </c>
      <c r="O42" s="60">
        <f>+_xlfn.XLOOKUP($B42,Hoja4!$B:$B,Hoja4!O:O,0)</f>
        <v>0</v>
      </c>
      <c r="P42" s="61">
        <f>+_xlfn.XLOOKUP($B42,Hoja4!$B:$B,Hoja4!P:P,0)</f>
        <v>0</v>
      </c>
      <c r="Q42" s="60">
        <f>+_xlfn.XLOOKUP($B42,Hoja4!$B:$B,Hoja4!Q:Q,0)</f>
        <v>0</v>
      </c>
      <c r="R42" s="61">
        <f>+_xlfn.XLOOKUP($B42,Hoja4!$B:$B,Hoja4!R:R,0)</f>
        <v>0</v>
      </c>
      <c r="S42" s="61">
        <f>+_xlfn.XLOOKUP($B42,Hoja4!$B:$B,Hoja4!S:S,0)</f>
        <v>0</v>
      </c>
      <c r="T42" s="61">
        <f>+_xlfn.XLOOKUP($B42,Hoja4!$B:$B,Hoja4!T:T,0)</f>
        <v>0</v>
      </c>
      <c r="U42" s="60">
        <v>-310890.95</v>
      </c>
    </row>
    <row r="43" spans="2:21" x14ac:dyDescent="0.25">
      <c r="B43" s="53" t="s">
        <v>522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f>+_xlfn.XLOOKUP($B43,Hoja4!$B:$B,Hoja4!M:M,0)</f>
        <v>0</v>
      </c>
      <c r="N43" s="55">
        <f>+_xlfn.XLOOKUP($B43,Hoja4!$B:$B,Hoja4!N:N,0)</f>
        <v>0</v>
      </c>
      <c r="O43" s="55">
        <f>+_xlfn.XLOOKUP($B43,Hoja4!$B:$B,Hoja4!O:O,0)</f>
        <v>0</v>
      </c>
      <c r="P43" s="55">
        <f>+_xlfn.XLOOKUP($B43,Hoja4!$B:$B,Hoja4!P:P,0)</f>
        <v>0</v>
      </c>
      <c r="Q43" s="55">
        <f>+_xlfn.XLOOKUP($B43,Hoja4!$B:$B,Hoja4!Q:Q,0)</f>
        <v>0</v>
      </c>
      <c r="R43" s="55">
        <f>+_xlfn.XLOOKUP($B43,Hoja4!$B:$B,Hoja4!R:R,0)</f>
        <v>0</v>
      </c>
      <c r="S43" s="55">
        <f>+_xlfn.XLOOKUP($B43,Hoja4!$B:$B,Hoja4!S:S,0)</f>
        <v>0</v>
      </c>
      <c r="T43" s="55">
        <f>+_xlfn.XLOOKUP($B43,Hoja4!$B:$B,Hoja4!T:T,0)</f>
        <v>0</v>
      </c>
      <c r="U43" s="55">
        <v>0</v>
      </c>
    </row>
    <row r="44" spans="2:21" x14ac:dyDescent="0.25">
      <c r="B44" s="53" t="s">
        <v>538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f>+_xlfn.XLOOKUP($B44,Hoja4!$B:$B,Hoja4!M:M,0)</f>
        <v>0</v>
      </c>
      <c r="N44" s="55">
        <f>+_xlfn.XLOOKUP($B44,Hoja4!$B:$B,Hoja4!N:N,0)</f>
        <v>0</v>
      </c>
      <c r="O44" s="55">
        <f>+_xlfn.XLOOKUP($B44,Hoja4!$B:$B,Hoja4!O:O,0)</f>
        <v>0</v>
      </c>
      <c r="P44" s="55">
        <f>+_xlfn.XLOOKUP($B44,Hoja4!$B:$B,Hoja4!P:P,0)</f>
        <v>0</v>
      </c>
      <c r="Q44" s="55">
        <f>+_xlfn.XLOOKUP($B44,Hoja4!$B:$B,Hoja4!Q:Q,0)</f>
        <v>0</v>
      </c>
      <c r="R44" s="55">
        <f>+_xlfn.XLOOKUP($B44,Hoja4!$B:$B,Hoja4!R:R,0)</f>
        <v>0</v>
      </c>
      <c r="S44" s="55">
        <f>+_xlfn.XLOOKUP($B44,Hoja4!$B:$B,Hoja4!S:S,0)</f>
        <v>0</v>
      </c>
      <c r="T44" s="55">
        <f>+_xlfn.XLOOKUP($B44,Hoja4!$B:$B,Hoja4!T:T,0)</f>
        <v>0</v>
      </c>
      <c r="U44" s="55">
        <v>0</v>
      </c>
    </row>
    <row r="45" spans="2:21" x14ac:dyDescent="0.25">
      <c r="B45" s="53" t="s">
        <v>539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f>+_xlfn.XLOOKUP($B45,Hoja4!$B:$B,Hoja4!M:M,0)</f>
        <v>0</v>
      </c>
      <c r="N45" s="55">
        <f>+_xlfn.XLOOKUP($B45,Hoja4!$B:$B,Hoja4!N:N,0)</f>
        <v>0</v>
      </c>
      <c r="O45" s="55">
        <f>+_xlfn.XLOOKUP($B45,Hoja4!$B:$B,Hoja4!O:O,0)</f>
        <v>0</v>
      </c>
      <c r="P45" s="55">
        <f>+_xlfn.XLOOKUP($B45,Hoja4!$B:$B,Hoja4!P:P,0)</f>
        <v>0</v>
      </c>
      <c r="Q45" s="55">
        <f>+_xlfn.XLOOKUP($B45,Hoja4!$B:$B,Hoja4!Q:Q,0)</f>
        <v>0</v>
      </c>
      <c r="R45" s="55">
        <f>+_xlfn.XLOOKUP($B45,Hoja4!$B:$B,Hoja4!R:R,0)</f>
        <v>0</v>
      </c>
      <c r="S45" s="55">
        <f>+_xlfn.XLOOKUP($B45,Hoja4!$B:$B,Hoja4!S:S,0)</f>
        <v>0</v>
      </c>
      <c r="T45" s="55">
        <f>+_xlfn.XLOOKUP($B45,Hoja4!$B:$B,Hoja4!T:T,0)</f>
        <v>0</v>
      </c>
      <c r="U45" s="55">
        <v>0</v>
      </c>
    </row>
    <row r="46" spans="2:21" x14ac:dyDescent="0.25">
      <c r="B46" s="53" t="s">
        <v>448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f>+_xlfn.XLOOKUP($B46,Hoja4!$B:$B,Hoja4!M:M,0)</f>
        <v>0</v>
      </c>
      <c r="N46" s="55">
        <f>+_xlfn.XLOOKUP($B46,Hoja4!$B:$B,Hoja4!N:N,0)</f>
        <v>0</v>
      </c>
      <c r="O46" s="55">
        <f>+_xlfn.XLOOKUP($B46,Hoja4!$B:$B,Hoja4!O:O,0)</f>
        <v>0</v>
      </c>
      <c r="P46" s="55">
        <f>+_xlfn.XLOOKUP($B46,Hoja4!$B:$B,Hoja4!P:P,0)</f>
        <v>0</v>
      </c>
      <c r="Q46" s="55">
        <f>+_xlfn.XLOOKUP($B46,Hoja4!$B:$B,Hoja4!Q:Q,0)</f>
        <v>0</v>
      </c>
      <c r="R46" s="55">
        <f>+_xlfn.XLOOKUP($B46,Hoja4!$B:$B,Hoja4!R:R,0)</f>
        <v>0</v>
      </c>
      <c r="S46" s="55">
        <f>+_xlfn.XLOOKUP($B46,Hoja4!$B:$B,Hoja4!S:S,0)</f>
        <v>0</v>
      </c>
      <c r="T46" s="55">
        <f>+_xlfn.XLOOKUP($B46,Hoja4!$B:$B,Hoja4!T:T,0)</f>
        <v>0</v>
      </c>
      <c r="U46" s="55">
        <v>0</v>
      </c>
    </row>
    <row r="47" spans="2:21" x14ac:dyDescent="0.25">
      <c r="B47" s="59" t="s">
        <v>450</v>
      </c>
      <c r="C47" s="60">
        <v>-111.25</v>
      </c>
      <c r="D47" s="61">
        <v>0</v>
      </c>
      <c r="E47" s="60">
        <v>-16506.439999999999</v>
      </c>
      <c r="F47" s="61">
        <v>0</v>
      </c>
      <c r="G47" s="61">
        <v>0</v>
      </c>
      <c r="H47" s="60">
        <v>2304.75</v>
      </c>
      <c r="I47" s="61">
        <v>0</v>
      </c>
      <c r="J47" s="61">
        <v>0</v>
      </c>
      <c r="K47" s="61">
        <v>0</v>
      </c>
      <c r="L47" s="61">
        <v>0</v>
      </c>
      <c r="M47" s="61">
        <f>+_xlfn.XLOOKUP($B47,Hoja4!$B:$B,Hoja4!M:M,0)</f>
        <v>0</v>
      </c>
      <c r="N47" s="61">
        <f>+_xlfn.XLOOKUP($B47,Hoja4!$B:$B,Hoja4!N:N,0)</f>
        <v>0</v>
      </c>
      <c r="O47" s="60">
        <f>+_xlfn.XLOOKUP($B47,Hoja4!$B:$B,Hoja4!O:O,0)</f>
        <v>0</v>
      </c>
      <c r="P47" s="61">
        <f>+_xlfn.XLOOKUP($B47,Hoja4!$B:$B,Hoja4!P:P,0)</f>
        <v>0</v>
      </c>
      <c r="Q47" s="60">
        <f>+_xlfn.XLOOKUP($B47,Hoja4!$B:$B,Hoja4!Q:Q,0)</f>
        <v>0</v>
      </c>
      <c r="R47" s="61">
        <f>+_xlfn.XLOOKUP($B47,Hoja4!$B:$B,Hoja4!R:R,0)</f>
        <v>0</v>
      </c>
      <c r="S47" s="61">
        <f>+_xlfn.XLOOKUP($B47,Hoja4!$B:$B,Hoja4!S:S,0)</f>
        <v>0</v>
      </c>
      <c r="T47" s="61">
        <f>+_xlfn.XLOOKUP($B47,Hoja4!$B:$B,Hoja4!T:T,0)</f>
        <v>0</v>
      </c>
      <c r="U47" s="60">
        <v>-310890.95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BB01-A730-40BC-8B51-298A70390C37}">
  <sheetPr codeName="Hoja12"/>
  <dimension ref="B2:U31"/>
  <sheetViews>
    <sheetView workbookViewId="0">
      <selection activeCell="B31" sqref="B31"/>
    </sheetView>
  </sheetViews>
  <sheetFormatPr baseColWidth="10" defaultRowHeight="13.2" x14ac:dyDescent="0.25"/>
  <cols>
    <col min="2" max="2" width="36" bestFit="1" customWidth="1"/>
  </cols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178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</row>
    <row r="4" spans="2:21" x14ac:dyDescent="0.25">
      <c r="B4" s="53" t="s">
        <v>190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</row>
    <row r="5" spans="2:21" x14ac:dyDescent="0.25">
      <c r="B5" s="56" t="s">
        <v>468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192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</row>
    <row r="7" spans="2:21" x14ac:dyDescent="0.25">
      <c r="B7" s="53" t="s">
        <v>193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4">
        <v>-14312.94</v>
      </c>
      <c r="M7" s="55">
        <v>0</v>
      </c>
      <c r="N7" s="55">
        <v>0</v>
      </c>
      <c r="O7" s="54">
        <v>-14312.94</v>
      </c>
      <c r="P7" s="55">
        <v>0</v>
      </c>
      <c r="Q7" s="54">
        <v>14312.94</v>
      </c>
      <c r="R7" s="55">
        <v>0</v>
      </c>
      <c r="S7" s="55">
        <v>0</v>
      </c>
      <c r="T7" s="55">
        <v>0</v>
      </c>
      <c r="U7" s="55">
        <v>0</v>
      </c>
    </row>
    <row r="8" spans="2:21" x14ac:dyDescent="0.25">
      <c r="B8" s="56" t="s">
        <v>196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2304.75</v>
      </c>
      <c r="M8" s="57">
        <v>0</v>
      </c>
      <c r="N8" s="57">
        <v>0</v>
      </c>
      <c r="O8" s="58">
        <v>2304.75</v>
      </c>
      <c r="P8" s="57">
        <v>0</v>
      </c>
      <c r="Q8" s="58">
        <v>-2304.75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5">
      <c r="B9" s="56" t="s">
        <v>197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-16617.689999999999</v>
      </c>
      <c r="M9" s="57">
        <v>0</v>
      </c>
      <c r="N9" s="57">
        <v>0</v>
      </c>
      <c r="O9" s="58">
        <v>-16617.689999999999</v>
      </c>
      <c r="P9" s="57">
        <v>0</v>
      </c>
      <c r="Q9" s="58">
        <v>16617.689999999999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5">
      <c r="B10" s="53" t="s">
        <v>198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-14312.94</v>
      </c>
      <c r="M10" s="55">
        <v>0</v>
      </c>
      <c r="N10" s="55">
        <v>0</v>
      </c>
      <c r="O10" s="54">
        <v>-14312.94</v>
      </c>
      <c r="P10" s="55">
        <v>0</v>
      </c>
      <c r="Q10" s="54">
        <v>14312.94</v>
      </c>
      <c r="R10" s="55">
        <v>0</v>
      </c>
      <c r="S10" s="55">
        <v>0</v>
      </c>
      <c r="T10" s="55">
        <v>0</v>
      </c>
      <c r="U10" s="55">
        <v>0</v>
      </c>
    </row>
    <row r="11" spans="2:21" x14ac:dyDescent="0.25">
      <c r="B11" s="53" t="s">
        <v>203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4">
        <v>-14312.94</v>
      </c>
      <c r="M11" s="55">
        <v>0</v>
      </c>
      <c r="N11" s="55">
        <v>0</v>
      </c>
      <c r="O11" s="54">
        <v>-14312.94</v>
      </c>
      <c r="P11" s="55">
        <v>0</v>
      </c>
      <c r="Q11" s="54">
        <v>14312.94</v>
      </c>
      <c r="R11" s="55">
        <v>0</v>
      </c>
      <c r="S11" s="55">
        <v>0</v>
      </c>
      <c r="T11" s="55">
        <v>0</v>
      </c>
      <c r="U11" s="55">
        <v>0</v>
      </c>
    </row>
    <row r="12" spans="2:21" x14ac:dyDescent="0.25">
      <c r="B12" s="53" t="s">
        <v>204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4">
        <v>-14312.94</v>
      </c>
      <c r="M12" s="55">
        <v>0</v>
      </c>
      <c r="N12" s="55">
        <v>0</v>
      </c>
      <c r="O12" s="54">
        <v>-14312.94</v>
      </c>
      <c r="P12" s="55">
        <v>0</v>
      </c>
      <c r="Q12" s="54">
        <v>14312.94</v>
      </c>
      <c r="R12" s="55">
        <v>0</v>
      </c>
      <c r="S12" s="55">
        <v>0</v>
      </c>
      <c r="T12" s="55">
        <v>0</v>
      </c>
      <c r="U12" s="55">
        <v>0</v>
      </c>
    </row>
    <row r="13" spans="2:21" x14ac:dyDescent="0.25">
      <c r="B13" s="53" t="s">
        <v>460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</row>
    <row r="14" spans="2:21" x14ac:dyDescent="0.25">
      <c r="B14" s="53" t="s">
        <v>461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</row>
    <row r="15" spans="2:21" x14ac:dyDescent="0.25">
      <c r="B15" s="53" t="s">
        <v>462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463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</row>
    <row r="17" spans="2:21" x14ac:dyDescent="0.25">
      <c r="B17" s="53" t="s">
        <v>464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</row>
    <row r="18" spans="2:21" x14ac:dyDescent="0.25">
      <c r="B18" s="53" t="s">
        <v>280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-14312.94</v>
      </c>
      <c r="M18" s="55">
        <v>0</v>
      </c>
      <c r="N18" s="55">
        <v>0</v>
      </c>
      <c r="O18" s="54">
        <v>-14312.94</v>
      </c>
      <c r="P18" s="55">
        <v>0</v>
      </c>
      <c r="Q18" s="54">
        <v>14312.94</v>
      </c>
      <c r="R18" s="55">
        <v>0</v>
      </c>
      <c r="S18" s="55">
        <v>0</v>
      </c>
      <c r="T18" s="55">
        <v>0</v>
      </c>
      <c r="U18" s="55">
        <v>0</v>
      </c>
    </row>
    <row r="19" spans="2:21" x14ac:dyDescent="0.25">
      <c r="B19" s="53" t="s">
        <v>465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</row>
    <row r="20" spans="2:21" x14ac:dyDescent="0.25">
      <c r="B20" s="53" t="s">
        <v>302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4">
        <v>-14312.94</v>
      </c>
      <c r="M20" s="55">
        <v>0</v>
      </c>
      <c r="N20" s="55">
        <v>0</v>
      </c>
      <c r="O20" s="54">
        <v>-14312.94</v>
      </c>
      <c r="P20" s="55">
        <v>0</v>
      </c>
      <c r="Q20" s="54">
        <v>14312.94</v>
      </c>
      <c r="R20" s="55">
        <v>0</v>
      </c>
      <c r="S20" s="55">
        <v>0</v>
      </c>
      <c r="T20" s="55">
        <v>0</v>
      </c>
      <c r="U20" s="55">
        <v>0</v>
      </c>
    </row>
    <row r="21" spans="2:21" x14ac:dyDescent="0.25">
      <c r="B21" s="53" t="s">
        <v>555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</row>
    <row r="22" spans="2:21" x14ac:dyDescent="0.25">
      <c r="B22" s="53" t="s">
        <v>307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</row>
    <row r="23" spans="2:21" x14ac:dyDescent="0.25">
      <c r="B23" s="53" t="s">
        <v>334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</row>
    <row r="24" spans="2:21" x14ac:dyDescent="0.25">
      <c r="B24" s="53" t="s">
        <v>336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4">
        <v>-14312.94</v>
      </c>
      <c r="M24" s="55">
        <v>0</v>
      </c>
      <c r="N24" s="55">
        <v>0</v>
      </c>
      <c r="O24" s="54">
        <v>-14312.94</v>
      </c>
      <c r="P24" s="55">
        <v>0</v>
      </c>
      <c r="Q24" s="54">
        <v>14312.94</v>
      </c>
      <c r="R24" s="55">
        <v>0</v>
      </c>
      <c r="S24" s="55">
        <v>0</v>
      </c>
      <c r="T24" s="55">
        <v>0</v>
      </c>
      <c r="U24" s="55">
        <v>0</v>
      </c>
    </row>
    <row r="25" spans="2:21" x14ac:dyDescent="0.25">
      <c r="B25" s="53" t="s">
        <v>556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</row>
    <row r="26" spans="2:21" x14ac:dyDescent="0.25">
      <c r="B26" s="59" t="s">
        <v>360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v>-14312.94</v>
      </c>
      <c r="M26" s="61">
        <v>0</v>
      </c>
      <c r="N26" s="61">
        <v>0</v>
      </c>
      <c r="O26" s="60">
        <v>-14312.94</v>
      </c>
      <c r="P26" s="61">
        <v>0</v>
      </c>
      <c r="Q26" s="60">
        <v>14312.94</v>
      </c>
      <c r="R26" s="61">
        <v>0</v>
      </c>
      <c r="S26" s="61">
        <v>0</v>
      </c>
      <c r="T26" s="61">
        <v>0</v>
      </c>
      <c r="U26" s="61">
        <v>0</v>
      </c>
    </row>
    <row r="27" spans="2:21" x14ac:dyDescent="0.25">
      <c r="B27" s="53" t="s">
        <v>361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</row>
    <row r="28" spans="2:21" x14ac:dyDescent="0.25">
      <c r="B28" s="53" t="s">
        <v>466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</row>
    <row r="29" spans="2:21" x14ac:dyDescent="0.25">
      <c r="B29" s="53" t="s">
        <v>467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</row>
    <row r="30" spans="2:21" x14ac:dyDescent="0.25">
      <c r="B30" s="53" t="s">
        <v>364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</row>
    <row r="31" spans="2:21" x14ac:dyDescent="0.25">
      <c r="B31" s="59" t="s">
        <v>368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0">
        <v>-14312.94</v>
      </c>
      <c r="M31" s="61">
        <v>0</v>
      </c>
      <c r="N31" s="61">
        <v>0</v>
      </c>
      <c r="O31" s="60">
        <v>-14312.94</v>
      </c>
      <c r="P31" s="61">
        <v>0</v>
      </c>
      <c r="Q31" s="60">
        <v>14312.94</v>
      </c>
      <c r="R31" s="61">
        <v>0</v>
      </c>
      <c r="S31" s="61">
        <v>0</v>
      </c>
      <c r="T31" s="61">
        <v>0</v>
      </c>
      <c r="U31" s="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D4C1-4CF0-413A-8CB3-DABEFFB67271}">
  <sheetPr codeName="Hoja13">
    <tabColor theme="0" tint="-0.14999847407452621"/>
    <pageSetUpPr fitToPage="1"/>
  </sheetPr>
  <dimension ref="A1:HT83"/>
  <sheetViews>
    <sheetView showGridLines="0" zoomScale="75" zoomScaleNormal="75" workbookViewId="0">
      <pane xSplit="3" ySplit="10" topLeftCell="D11" activePane="bottomRight" state="frozen"/>
      <selection activeCell="B1" sqref="B1:B65536"/>
      <selection pane="topRight" activeCell="B1" sqref="B1:B65536"/>
      <selection pane="bottomLeft" activeCell="B1" sqref="B1:B65536"/>
      <selection pane="bottomRight" activeCell="G39" sqref="G39"/>
    </sheetView>
  </sheetViews>
  <sheetFormatPr baseColWidth="10" defaultColWidth="11.44140625" defaultRowHeight="13.8" x14ac:dyDescent="0.25"/>
  <cols>
    <col min="1" max="1" width="36.6640625" style="21" hidden="1" customWidth="1"/>
    <col min="2" max="2" width="35.77734375" style="4" customWidth="1"/>
    <col min="3" max="3" width="1" style="21" customWidth="1"/>
    <col min="4" max="8" width="11.77734375" style="21" customWidth="1"/>
    <col min="9" max="15" width="5.44140625" style="21" customWidth="1"/>
    <col min="16" max="16" width="0.6640625" style="21" customWidth="1"/>
    <col min="17" max="18" width="11.109375" style="21" customWidth="1"/>
    <col min="19" max="19" width="12.33203125" style="21" bestFit="1" customWidth="1"/>
    <col min="20" max="20" width="5.109375" style="21" customWidth="1"/>
    <col min="21" max="21" width="0.88671875" style="21" customWidth="1"/>
    <col min="22" max="22" width="11.109375" style="21" customWidth="1"/>
    <col min="23" max="23" width="1" style="21" customWidth="1"/>
    <col min="24" max="24" width="12.44140625" style="21" bestFit="1" customWidth="1"/>
    <col min="25" max="16384" width="11.44140625" style="21"/>
  </cols>
  <sheetData>
    <row r="1" spans="1:26" ht="14.4" customHeight="1" x14ac:dyDescent="0.25">
      <c r="Z1" s="21">
        <f>+PETRAL!Z1</f>
        <v>5</v>
      </c>
    </row>
    <row r="2" spans="1:26" s="7" customFormat="1" ht="14.4" customHeight="1" x14ac:dyDescent="0.25">
      <c r="B2" s="4" t="s">
        <v>0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42"/>
      <c r="X2" s="7" t="s">
        <v>1</v>
      </c>
    </row>
    <row r="3" spans="1:26" s="7" customFormat="1" ht="14.4" customHeight="1" x14ac:dyDescent="0.25">
      <c r="B3" s="8">
        <f>+PETRAL!B3</f>
        <v>46143</v>
      </c>
      <c r="D3" s="69" t="s">
        <v>124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6" s="7" customFormat="1" ht="1.95" customHeight="1" x14ac:dyDescent="0.25"/>
    <row r="5" spans="1:26" s="22" customFormat="1" hidden="1" x14ac:dyDescent="0.25">
      <c r="B5" s="7" t="s">
        <v>125</v>
      </c>
      <c r="D5" s="22" t="s">
        <v>126</v>
      </c>
      <c r="E5" s="22" t="s">
        <v>127</v>
      </c>
      <c r="F5" s="35">
        <v>2014</v>
      </c>
      <c r="G5" s="22" t="s">
        <v>128</v>
      </c>
      <c r="H5" s="22">
        <v>44</v>
      </c>
    </row>
    <row r="6" spans="1:26" s="22" customFormat="1" hidden="1" x14ac:dyDescent="0.25">
      <c r="B6" s="7" t="s">
        <v>129</v>
      </c>
      <c r="D6" s="22">
        <v>4</v>
      </c>
      <c r="E6" s="22">
        <f t="shared" ref="E6:O6" si="0">+D6+4</f>
        <v>8</v>
      </c>
      <c r="F6" s="22">
        <f t="shared" si="0"/>
        <v>12</v>
      </c>
      <c r="G6" s="22">
        <f t="shared" si="0"/>
        <v>16</v>
      </c>
      <c r="H6" s="22">
        <f t="shared" si="0"/>
        <v>20</v>
      </c>
      <c r="I6" s="22">
        <f t="shared" si="0"/>
        <v>24</v>
      </c>
      <c r="J6" s="22">
        <f t="shared" si="0"/>
        <v>28</v>
      </c>
      <c r="K6" s="22">
        <f t="shared" si="0"/>
        <v>32</v>
      </c>
      <c r="L6" s="22">
        <f t="shared" si="0"/>
        <v>36</v>
      </c>
      <c r="M6" s="22">
        <f t="shared" si="0"/>
        <v>40</v>
      </c>
      <c r="N6" s="22">
        <f t="shared" si="0"/>
        <v>44</v>
      </c>
      <c r="O6" s="22">
        <f t="shared" si="0"/>
        <v>48</v>
      </c>
      <c r="Q6" s="22">
        <v>56</v>
      </c>
      <c r="R6" s="22">
        <v>58</v>
      </c>
      <c r="S6" s="22" t="s">
        <v>614</v>
      </c>
      <c r="V6" s="22">
        <v>54</v>
      </c>
    </row>
    <row r="7" spans="1:26" s="22" customFormat="1" hidden="1" x14ac:dyDescent="0.25">
      <c r="B7" s="7" t="s">
        <v>130</v>
      </c>
      <c r="D7" s="22">
        <v>31</v>
      </c>
      <c r="E7" s="22">
        <v>28</v>
      </c>
      <c r="F7" s="22">
        <v>31</v>
      </c>
      <c r="G7" s="22">
        <v>30</v>
      </c>
      <c r="H7" s="22">
        <v>31</v>
      </c>
      <c r="I7" s="22">
        <v>30</v>
      </c>
      <c r="J7" s="22">
        <v>31</v>
      </c>
      <c r="K7" s="22">
        <v>31</v>
      </c>
      <c r="L7" s="22">
        <v>30</v>
      </c>
      <c r="M7" s="22">
        <v>31</v>
      </c>
      <c r="N7" s="22">
        <v>30</v>
      </c>
      <c r="O7" s="22">
        <v>31</v>
      </c>
      <c r="Q7" s="22">
        <f>SUM(D7:N7)</f>
        <v>334</v>
      </c>
      <c r="R7" s="22">
        <f>Q7</f>
        <v>334</v>
      </c>
      <c r="S7" s="22">
        <v>28</v>
      </c>
    </row>
    <row r="8" spans="1:26" s="22" customFormat="1" hidden="1" x14ac:dyDescent="0.25">
      <c r="B8" s="7"/>
    </row>
    <row r="9" spans="1:26" s="7" customFormat="1" ht="15" customHeight="1" x14ac:dyDescent="0.25">
      <c r="B9" s="9"/>
      <c r="D9" s="10"/>
      <c r="E9" s="10"/>
      <c r="F9" s="10"/>
      <c r="G9" s="10"/>
      <c r="H9" s="10"/>
      <c r="I9" s="1"/>
      <c r="J9" s="10"/>
      <c r="K9" s="10"/>
      <c r="L9" s="10"/>
      <c r="M9" s="10"/>
      <c r="N9" s="10"/>
      <c r="O9" s="1"/>
      <c r="P9" s="5"/>
      <c r="Q9" s="1" t="s">
        <v>3</v>
      </c>
      <c r="R9" s="1" t="s">
        <v>4</v>
      </c>
      <c r="S9" s="23"/>
      <c r="T9" s="9" t="s">
        <v>1</v>
      </c>
      <c r="V9" s="1" t="s">
        <v>5</v>
      </c>
      <c r="W9" s="5"/>
      <c r="X9" s="1" t="s">
        <v>6</v>
      </c>
    </row>
    <row r="10" spans="1:26" ht="12.75" customHeight="1" x14ac:dyDescent="0.25">
      <c r="B10" s="9" t="s">
        <v>131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5"/>
      <c r="Q10" s="1" t="s">
        <v>21</v>
      </c>
      <c r="R10" s="1" t="s">
        <v>21</v>
      </c>
      <c r="S10" s="1" t="s">
        <v>7</v>
      </c>
      <c r="T10" s="1" t="s">
        <v>22</v>
      </c>
      <c r="U10" s="5"/>
      <c r="V10" s="1" t="s">
        <v>23</v>
      </c>
      <c r="W10" s="5"/>
      <c r="X10" s="11">
        <f>+PETRAL!X6</f>
        <v>45778</v>
      </c>
    </row>
    <row r="11" spans="1:26" ht="4.8" customHeight="1" x14ac:dyDescent="0.25">
      <c r="B11" s="2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6" s="4" customFormat="1" hidden="1" x14ac:dyDescent="0.25">
      <c r="B12" s="3" t="s">
        <v>24</v>
      </c>
      <c r="D12" s="49" t="str">
        <f t="shared" ref="D12:O12" si="1">+D13</f>
        <v>0</v>
      </c>
      <c r="E12" s="49" t="str">
        <f t="shared" si="1"/>
        <v>0</v>
      </c>
      <c r="F12" s="49" t="str">
        <f t="shared" si="1"/>
        <v>0</v>
      </c>
      <c r="G12" s="49" t="str">
        <f t="shared" si="1"/>
        <v>0</v>
      </c>
      <c r="H12" s="49" t="str">
        <f t="shared" si="1"/>
        <v>0</v>
      </c>
      <c r="I12" s="49" t="str">
        <f t="shared" si="1"/>
        <v>0</v>
      </c>
      <c r="J12" s="49" t="str">
        <f t="shared" si="1"/>
        <v>0</v>
      </c>
      <c r="K12" s="49" t="str">
        <f t="shared" si="1"/>
        <v>0</v>
      </c>
      <c r="L12" s="49" t="str">
        <f t="shared" si="1"/>
        <v>0</v>
      </c>
      <c r="M12" s="49" t="str">
        <f t="shared" si="1"/>
        <v>0</v>
      </c>
      <c r="N12" s="49" t="str">
        <f t="shared" si="1"/>
        <v>0</v>
      </c>
      <c r="O12" s="49" t="str">
        <f t="shared" si="1"/>
        <v>0</v>
      </c>
      <c r="Q12" s="49" t="str">
        <f>+Q13</f>
        <v>0</v>
      </c>
      <c r="R12" s="49" t="str">
        <f>+R13</f>
        <v>0</v>
      </c>
      <c r="S12" s="49" t="str">
        <f>+S13</f>
        <v>0</v>
      </c>
      <c r="T12" s="2">
        <f>IF(ISERROR($S12/R12*100),0,$S12/R12*100)</f>
        <v>0</v>
      </c>
      <c r="V12" s="49" t="s">
        <v>132</v>
      </c>
      <c r="X12" s="49" t="s">
        <v>132</v>
      </c>
    </row>
    <row r="13" spans="1:26" hidden="1" x14ac:dyDescent="0.25">
      <c r="A13" s="64" t="s">
        <v>376</v>
      </c>
      <c r="B13" s="16" t="s">
        <v>29</v>
      </c>
      <c r="D13" s="46" t="s">
        <v>132</v>
      </c>
      <c r="E13" s="46" t="s">
        <v>132</v>
      </c>
      <c r="F13" s="46" t="s">
        <v>132</v>
      </c>
      <c r="G13" s="46" t="s">
        <v>132</v>
      </c>
      <c r="H13" s="46" t="s">
        <v>132</v>
      </c>
      <c r="I13" s="46" t="s">
        <v>132</v>
      </c>
      <c r="J13" s="46" t="s">
        <v>132</v>
      </c>
      <c r="K13" s="46" t="s">
        <v>132</v>
      </c>
      <c r="L13" s="46" t="s">
        <v>132</v>
      </c>
      <c r="M13" s="46" t="s">
        <v>132</v>
      </c>
      <c r="N13" s="46" t="s">
        <v>132</v>
      </c>
      <c r="O13" s="46" t="s">
        <v>132</v>
      </c>
      <c r="P13" s="41"/>
      <c r="Q13" s="46" t="s">
        <v>132</v>
      </c>
      <c r="R13" s="46" t="s">
        <v>132</v>
      </c>
      <c r="S13" s="46" t="s">
        <v>132</v>
      </c>
      <c r="T13" s="46" t="s">
        <v>132</v>
      </c>
      <c r="V13" s="46" t="s">
        <v>132</v>
      </c>
      <c r="X13" s="46" t="s">
        <v>132</v>
      </c>
    </row>
    <row r="14" spans="1:26" ht="7.5" hidden="1" customHeight="1" x14ac:dyDescent="0.25">
      <c r="B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Q14" s="16"/>
      <c r="R14" s="16"/>
      <c r="S14" s="16"/>
      <c r="T14" s="16"/>
      <c r="V14" s="16"/>
      <c r="X14" s="16"/>
    </row>
    <row r="15" spans="1:26" ht="4.2" hidden="1" customHeight="1" x14ac:dyDescent="0.25"/>
    <row r="16" spans="1:26" s="4" customFormat="1" x14ac:dyDescent="0.25">
      <c r="B16" s="3" t="s">
        <v>133</v>
      </c>
      <c r="D16" s="2">
        <v>-114668.52000000002</v>
      </c>
      <c r="E16" s="2">
        <v>-134254.59999999998</v>
      </c>
      <c r="F16" s="2">
        <v>-117455.56</v>
      </c>
      <c r="G16" s="2">
        <v>-98144.670000000013</v>
      </c>
      <c r="H16" s="2">
        <v>-84460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Q16" s="2">
        <v>-548983.35</v>
      </c>
      <c r="R16" s="2">
        <v>-473085.70999999996</v>
      </c>
      <c r="S16" s="2">
        <v>-75897.640000000014</v>
      </c>
      <c r="T16" s="2">
        <v>16.043105592853358</v>
      </c>
      <c r="V16" s="2">
        <v>-1089986.3499999999</v>
      </c>
      <c r="X16" s="2">
        <v>-375273.87</v>
      </c>
    </row>
    <row r="17" spans="1:228" s="4" customFormat="1" x14ac:dyDescent="0.25">
      <c r="B17" s="3" t="s">
        <v>42</v>
      </c>
      <c r="D17" s="2">
        <v>-59398.21</v>
      </c>
      <c r="E17" s="2">
        <v>-78673.06</v>
      </c>
      <c r="F17" s="2">
        <v>-57016.24</v>
      </c>
      <c r="G17" s="2">
        <v>-57716.770000000004</v>
      </c>
      <c r="H17" s="2">
        <v>-60666.049999999996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Q17" s="2">
        <v>-313470.33</v>
      </c>
      <c r="R17" s="2">
        <v>-294361.70999999996</v>
      </c>
      <c r="S17" s="2">
        <v>-19108.620000000054</v>
      </c>
      <c r="T17" s="2">
        <v>6.4915440258857231</v>
      </c>
      <c r="V17" s="2">
        <v>-676220.17999999993</v>
      </c>
      <c r="X17" s="2">
        <v>-208471.68999999997</v>
      </c>
    </row>
    <row r="18" spans="1:228" x14ac:dyDescent="0.25">
      <c r="A18" s="64" t="s">
        <v>559</v>
      </c>
      <c r="B18" s="36" t="s">
        <v>134</v>
      </c>
      <c r="D18" s="46">
        <v>-37491.300000000003</v>
      </c>
      <c r="E18" s="46">
        <v>-57483.28</v>
      </c>
      <c r="F18" s="46">
        <v>-37659.82</v>
      </c>
      <c r="G18" s="46">
        <v>-36991.06</v>
      </c>
      <c r="H18" s="46">
        <v>-39241.82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1"/>
      <c r="Q18" s="36">
        <v>-208867.28</v>
      </c>
      <c r="R18" s="46">
        <v>-203030.81</v>
      </c>
      <c r="S18" s="36">
        <v>-5836.4700000000012</v>
      </c>
      <c r="T18" s="36">
        <v>2.8746720756322652</v>
      </c>
      <c r="V18" s="46">
        <v>-456043.29</v>
      </c>
      <c r="X18" s="36">
        <v>-141038.37</v>
      </c>
    </row>
    <row r="19" spans="1:228" x14ac:dyDescent="0.25">
      <c r="A19" s="64" t="s">
        <v>393</v>
      </c>
      <c r="B19" s="36" t="s">
        <v>45</v>
      </c>
      <c r="D19" s="46">
        <v>-6101.11</v>
      </c>
      <c r="E19" s="46">
        <v>-6090.21</v>
      </c>
      <c r="F19" s="46">
        <v>-5856.72</v>
      </c>
      <c r="G19" s="46">
        <v>-6172.54</v>
      </c>
      <c r="H19" s="46">
        <v>-6374.85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1"/>
      <c r="Q19" s="36">
        <v>-30595.43</v>
      </c>
      <c r="R19" s="46">
        <v>-31394.95</v>
      </c>
      <c r="S19" s="36">
        <v>799.52000000000044</v>
      </c>
      <c r="T19" s="36">
        <v>-2.5466516111667654</v>
      </c>
      <c r="V19" s="46">
        <v>-75347.88</v>
      </c>
      <c r="X19" s="36">
        <v>-20881.52</v>
      </c>
    </row>
    <row r="20" spans="1:228" x14ac:dyDescent="0.25">
      <c r="A20" s="64" t="s">
        <v>395</v>
      </c>
      <c r="B20" s="36" t="s">
        <v>46</v>
      </c>
      <c r="D20" s="46">
        <v>-3587.33</v>
      </c>
      <c r="E20" s="46">
        <v>-3504.4</v>
      </c>
      <c r="F20" s="46">
        <v>-3500.21</v>
      </c>
      <c r="G20" s="46">
        <v>-3525.07</v>
      </c>
      <c r="H20" s="46">
        <v>-3614.1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1"/>
      <c r="Q20" s="36">
        <v>-17731.109999999997</v>
      </c>
      <c r="R20" s="46">
        <v>-17154.75</v>
      </c>
      <c r="S20" s="36">
        <v>-576.35999999999694</v>
      </c>
      <c r="T20" s="36">
        <v>3.3597691601451318</v>
      </c>
      <c r="V20" s="46">
        <v>-41171.4</v>
      </c>
      <c r="X20" s="36">
        <v>-12139.029999999999</v>
      </c>
    </row>
    <row r="21" spans="1:228" x14ac:dyDescent="0.25">
      <c r="A21" s="64" t="s">
        <v>397</v>
      </c>
      <c r="B21" s="36" t="s">
        <v>47</v>
      </c>
      <c r="D21" s="46">
        <v>-2470.9499999999998</v>
      </c>
      <c r="E21" s="46">
        <v>-2466.54</v>
      </c>
      <c r="F21" s="46">
        <v>-2479.13</v>
      </c>
      <c r="G21" s="46">
        <v>-2499.87</v>
      </c>
      <c r="H21" s="46">
        <v>-2581.8200000000002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1"/>
      <c r="Q21" s="36">
        <v>-12498.31</v>
      </c>
      <c r="R21" s="46">
        <v>-12198.8</v>
      </c>
      <c r="S21" s="36">
        <v>-299.51000000000022</v>
      </c>
      <c r="T21" s="36">
        <v>2.4552414991638538</v>
      </c>
      <c r="V21" s="46">
        <v>-29277.119999999999</v>
      </c>
      <c r="X21" s="36">
        <v>-8290.9000000000015</v>
      </c>
    </row>
    <row r="22" spans="1:228" ht="13.95" hidden="1" customHeight="1" x14ac:dyDescent="0.25">
      <c r="B22" s="36" t="s">
        <v>135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1"/>
      <c r="Q22" s="36">
        <v>0</v>
      </c>
      <c r="R22" s="46">
        <v>0</v>
      </c>
      <c r="S22" s="36">
        <v>0</v>
      </c>
      <c r="T22" s="36">
        <v>0</v>
      </c>
      <c r="V22" s="46">
        <v>0</v>
      </c>
      <c r="X22" s="36">
        <v>0</v>
      </c>
    </row>
    <row r="23" spans="1:228" x14ac:dyDescent="0.25">
      <c r="A23" s="64" t="s">
        <v>399</v>
      </c>
      <c r="B23" s="36" t="s">
        <v>136</v>
      </c>
      <c r="D23" s="46">
        <v>-1885.85</v>
      </c>
      <c r="E23" s="46">
        <v>-1801.66</v>
      </c>
      <c r="F23" s="46">
        <v>-1396.3</v>
      </c>
      <c r="G23" s="46">
        <v>-1388.23</v>
      </c>
      <c r="H23" s="46">
        <v>-1313.14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1"/>
      <c r="Q23" s="36">
        <v>-7785.1800000000012</v>
      </c>
      <c r="R23" s="46">
        <v>-4519.3</v>
      </c>
      <c r="S23" s="36">
        <v>-3265.880000000001</v>
      </c>
      <c r="T23" s="36">
        <v>72.265173810103363</v>
      </c>
      <c r="V23" s="46">
        <v>-11479.05</v>
      </c>
      <c r="X23" s="36">
        <v>-3206.6000000000004</v>
      </c>
    </row>
    <row r="24" spans="1:228" x14ac:dyDescent="0.25">
      <c r="A24" s="53" t="s">
        <v>403</v>
      </c>
      <c r="B24" s="36" t="s">
        <v>50</v>
      </c>
      <c r="D24" s="46">
        <v>0</v>
      </c>
      <c r="E24" s="46">
        <v>0</v>
      </c>
      <c r="F24" s="46">
        <v>0</v>
      </c>
      <c r="G24" s="46">
        <v>-86.13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1"/>
      <c r="Q24" s="36">
        <v>-86.13</v>
      </c>
      <c r="R24" s="46">
        <v>0</v>
      </c>
      <c r="S24" s="36">
        <v>-86.13</v>
      </c>
      <c r="T24" s="36">
        <v>0</v>
      </c>
      <c r="V24" s="46">
        <v>0</v>
      </c>
      <c r="X24" s="36">
        <v>0</v>
      </c>
    </row>
    <row r="25" spans="1:228" x14ac:dyDescent="0.25">
      <c r="A25" s="64" t="s">
        <v>560</v>
      </c>
      <c r="B25" s="36" t="s">
        <v>137</v>
      </c>
      <c r="D25" s="46">
        <v>-7861.67</v>
      </c>
      <c r="E25" s="46">
        <v>-7326.97</v>
      </c>
      <c r="F25" s="46">
        <v>-6124.06</v>
      </c>
      <c r="G25" s="46">
        <v>-7053.87</v>
      </c>
      <c r="H25" s="46">
        <v>-7540.32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1"/>
      <c r="Q25" s="36">
        <v>-35906.89</v>
      </c>
      <c r="R25" s="46">
        <v>-26063.1</v>
      </c>
      <c r="S25" s="36">
        <v>-9843.7900000000009</v>
      </c>
      <c r="T25" s="36">
        <v>37.769068146152996</v>
      </c>
      <c r="V25" s="46">
        <v>-62901.440000000002</v>
      </c>
      <c r="X25" s="36">
        <v>-22915.27</v>
      </c>
    </row>
    <row r="26" spans="1:228" ht="13.95" hidden="1" customHeight="1" x14ac:dyDescent="0.25">
      <c r="B26" s="36" t="s">
        <v>138</v>
      </c>
      <c r="D26" s="46" t="s">
        <v>132</v>
      </c>
      <c r="E26" s="46" t="s">
        <v>132</v>
      </c>
      <c r="F26" s="46" t="s">
        <v>132</v>
      </c>
      <c r="G26" s="46" t="s">
        <v>132</v>
      </c>
      <c r="H26" s="46" t="s">
        <v>132</v>
      </c>
      <c r="I26" s="46" t="s">
        <v>542</v>
      </c>
      <c r="J26" s="46" t="s">
        <v>543</v>
      </c>
      <c r="K26" s="46" t="s">
        <v>544</v>
      </c>
      <c r="L26" s="46" t="s">
        <v>545</v>
      </c>
      <c r="M26" s="46" t="s">
        <v>546</v>
      </c>
      <c r="N26" s="46" t="s">
        <v>547</v>
      </c>
      <c r="O26" s="46" t="s">
        <v>548</v>
      </c>
      <c r="Q26" s="36">
        <v>0</v>
      </c>
      <c r="R26" s="46" t="s">
        <v>132</v>
      </c>
      <c r="S26" s="36">
        <v>0</v>
      </c>
      <c r="T26" s="36">
        <v>0</v>
      </c>
      <c r="V26" s="36">
        <v>0</v>
      </c>
      <c r="X26" s="36">
        <v>0</v>
      </c>
    </row>
    <row r="27" spans="1:228" ht="3.6" customHeight="1" x14ac:dyDescent="0.25">
      <c r="B27" s="30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228" s="4" customFormat="1" x14ac:dyDescent="0.25">
      <c r="B28" s="3" t="s">
        <v>139</v>
      </c>
      <c r="D28" s="2">
        <v>-55270.310000000012</v>
      </c>
      <c r="E28" s="2">
        <v>-55581.539999999979</v>
      </c>
      <c r="F28" s="2">
        <v>-60439.320000000007</v>
      </c>
      <c r="G28" s="2">
        <v>-40427.900000000009</v>
      </c>
      <c r="H28" s="2">
        <v>-23793.949999999997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Q28" s="2">
        <v>-235513.01999999996</v>
      </c>
      <c r="R28" s="2">
        <v>-178724</v>
      </c>
      <c r="S28" s="2">
        <v>-56789.01999999996</v>
      </c>
      <c r="T28" s="2">
        <v>31.774702893847472</v>
      </c>
      <c r="V28" s="2">
        <v>-413766.16999999993</v>
      </c>
      <c r="X28" s="2">
        <v>-166802.18000000005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</row>
    <row r="29" spans="1:228" x14ac:dyDescent="0.25">
      <c r="A29" s="64" t="s">
        <v>561</v>
      </c>
      <c r="B29" s="16" t="s">
        <v>140</v>
      </c>
      <c r="D29" s="47">
        <v>-62.06</v>
      </c>
      <c r="E29" s="47">
        <v>-435.08</v>
      </c>
      <c r="F29" s="47">
        <v>-2648.71</v>
      </c>
      <c r="G29" s="47">
        <v>-1264.6600000000001</v>
      </c>
      <c r="H29" s="47">
        <v>-245.56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1"/>
      <c r="Q29" s="16">
        <v>-4656.0700000000006</v>
      </c>
      <c r="R29" s="47">
        <v>-4350</v>
      </c>
      <c r="S29" s="16">
        <v>-306.07000000000062</v>
      </c>
      <c r="T29" s="16">
        <v>7.0360919540230018</v>
      </c>
      <c r="V29" s="16">
        <v>-10440</v>
      </c>
      <c r="X29" s="16">
        <v>-5421.72</v>
      </c>
    </row>
    <row r="30" spans="1:228" ht="13.95" hidden="1" customHeight="1" x14ac:dyDescent="0.25">
      <c r="B30" s="16" t="s">
        <v>141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1"/>
      <c r="Q30" s="47">
        <v>0</v>
      </c>
      <c r="R30" s="47">
        <v>0</v>
      </c>
      <c r="S30" s="47">
        <v>0</v>
      </c>
      <c r="T30" s="47" t="s">
        <v>132</v>
      </c>
      <c r="V30" s="16">
        <v>0</v>
      </c>
      <c r="X30" s="16">
        <v>0</v>
      </c>
    </row>
    <row r="31" spans="1:228" x14ac:dyDescent="0.25">
      <c r="A31" s="64" t="s">
        <v>562</v>
      </c>
      <c r="B31" s="16" t="s">
        <v>142</v>
      </c>
      <c r="D31" s="47">
        <v>-109.51</v>
      </c>
      <c r="E31" s="47">
        <v>-109.71</v>
      </c>
      <c r="F31" s="47">
        <v>-106.81</v>
      </c>
      <c r="G31" s="47">
        <v>-107.05</v>
      </c>
      <c r="H31" s="47">
        <v>-106.99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1"/>
      <c r="Q31" s="16">
        <v>-540.06999999999994</v>
      </c>
      <c r="R31" s="47">
        <v>-850</v>
      </c>
      <c r="S31" s="16">
        <v>309.93000000000006</v>
      </c>
      <c r="T31" s="16">
        <v>-36.462352941176476</v>
      </c>
      <c r="V31" s="16">
        <v>-2040</v>
      </c>
      <c r="X31" s="16">
        <v>-465.58000000000004</v>
      </c>
    </row>
    <row r="32" spans="1:228" ht="13.95" hidden="1" customHeight="1" x14ac:dyDescent="0.25">
      <c r="B32" s="16" t="s">
        <v>143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1"/>
      <c r="Q32" s="16">
        <v>0</v>
      </c>
      <c r="R32" s="47">
        <v>0</v>
      </c>
      <c r="S32" s="16">
        <v>0</v>
      </c>
      <c r="T32" s="16">
        <v>0</v>
      </c>
      <c r="V32" s="16">
        <v>0</v>
      </c>
      <c r="X32" s="16">
        <v>0</v>
      </c>
    </row>
    <row r="33" spans="1:24" x14ac:dyDescent="0.25">
      <c r="A33" s="64" t="s">
        <v>564</v>
      </c>
      <c r="B33" s="16" t="s">
        <v>144</v>
      </c>
      <c r="D33" s="47">
        <v>-250.2</v>
      </c>
      <c r="E33" s="47">
        <v>-392.85</v>
      </c>
      <c r="F33" s="47">
        <v>-389.15</v>
      </c>
      <c r="G33" s="47">
        <v>-292.02999999999997</v>
      </c>
      <c r="H33" s="47">
        <v>-323.75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1"/>
      <c r="Q33" s="16">
        <v>-1647.9799999999998</v>
      </c>
      <c r="R33" s="47">
        <v>-1100</v>
      </c>
      <c r="S33" s="16">
        <v>-547.97999999999979</v>
      </c>
      <c r="T33" s="16">
        <v>49.816363636363619</v>
      </c>
      <c r="V33" s="16">
        <v>-2640</v>
      </c>
      <c r="X33" s="16">
        <v>-1255.9700000000003</v>
      </c>
    </row>
    <row r="34" spans="1:24" x14ac:dyDescent="0.25">
      <c r="A34" s="64" t="s">
        <v>566</v>
      </c>
      <c r="B34" s="16" t="s">
        <v>145</v>
      </c>
      <c r="D34" s="47">
        <v>-37821.35</v>
      </c>
      <c r="E34" s="47">
        <v>-28281.32</v>
      </c>
      <c r="F34" s="47">
        <v>-43957.21</v>
      </c>
      <c r="G34" s="47">
        <v>-19907.330000000002</v>
      </c>
      <c r="H34" s="47">
        <v>-14840.12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1"/>
      <c r="Q34" s="16">
        <v>-144807.33000000002</v>
      </c>
      <c r="R34" s="47">
        <v>-86116.65</v>
      </c>
      <c r="S34" s="16">
        <v>-58690.680000000022</v>
      </c>
      <c r="T34" s="16">
        <v>68.152534962751133</v>
      </c>
      <c r="V34" s="16">
        <v>-230139.96</v>
      </c>
      <c r="X34" s="16">
        <v>-101065.15000000001</v>
      </c>
    </row>
    <row r="35" spans="1:24" x14ac:dyDescent="0.25">
      <c r="A35" s="64" t="s">
        <v>568</v>
      </c>
      <c r="B35" s="16" t="s">
        <v>146</v>
      </c>
      <c r="D35" s="47">
        <v>-5831.34</v>
      </c>
      <c r="E35" s="47">
        <v>-9291.33</v>
      </c>
      <c r="F35" s="47">
        <v>-3856.98</v>
      </c>
      <c r="G35" s="47">
        <v>-10315.73</v>
      </c>
      <c r="H35" s="47">
        <v>-409.4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1"/>
      <c r="Q35" s="16">
        <v>-29704.780000000002</v>
      </c>
      <c r="R35" s="47">
        <v>-24000</v>
      </c>
      <c r="S35" s="16">
        <v>-5704.7800000000025</v>
      </c>
      <c r="T35" s="16">
        <v>23.769916666666678</v>
      </c>
      <c r="V35" s="16">
        <v>-57600</v>
      </c>
      <c r="X35" s="16">
        <v>-26688.230000000003</v>
      </c>
    </row>
    <row r="36" spans="1:24" ht="13.95" customHeight="1" x14ac:dyDescent="0.25">
      <c r="A36" s="64" t="s">
        <v>418</v>
      </c>
      <c r="B36" s="16" t="s">
        <v>60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1"/>
      <c r="Q36" s="16">
        <v>0</v>
      </c>
      <c r="R36" s="47">
        <v>0</v>
      </c>
      <c r="S36" s="16">
        <v>0</v>
      </c>
      <c r="T36" s="16">
        <v>0</v>
      </c>
      <c r="V36" s="47">
        <v>0</v>
      </c>
      <c r="X36" s="47">
        <v>-385.64</v>
      </c>
    </row>
    <row r="37" spans="1:24" x14ac:dyDescent="0.25">
      <c r="A37" s="53" t="s">
        <v>570</v>
      </c>
      <c r="B37" s="16" t="s">
        <v>147</v>
      </c>
      <c r="D37" s="47">
        <v>-28132.66</v>
      </c>
      <c r="E37" s="47">
        <v>-27905.14</v>
      </c>
      <c r="F37" s="47">
        <v>-27692.25</v>
      </c>
      <c r="G37" s="47">
        <v>-25312</v>
      </c>
      <c r="H37" s="47">
        <v>-25312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1"/>
      <c r="Q37" s="16">
        <v>-134354.04999999999</v>
      </c>
      <c r="R37" s="47">
        <v>-134960</v>
      </c>
      <c r="S37" s="16">
        <v>605.95000000001164</v>
      </c>
      <c r="T37" s="16">
        <v>-0.44898488441020418</v>
      </c>
      <c r="V37" s="16">
        <v>-312144</v>
      </c>
      <c r="X37" s="16">
        <v>-131584.1</v>
      </c>
    </row>
    <row r="38" spans="1:24" x14ac:dyDescent="0.25">
      <c r="A38" s="64" t="s">
        <v>574</v>
      </c>
      <c r="B38" s="16" t="s">
        <v>148</v>
      </c>
      <c r="D38" s="47">
        <v>-25.89</v>
      </c>
      <c r="E38" s="47">
        <v>-1.89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1"/>
      <c r="Q38" s="16">
        <v>-27.78</v>
      </c>
      <c r="R38" s="47">
        <v>-250</v>
      </c>
      <c r="S38" s="16">
        <v>222.22</v>
      </c>
      <c r="T38" s="16">
        <v>-88.888000000000005</v>
      </c>
      <c r="V38" s="16">
        <v>-600</v>
      </c>
      <c r="X38" s="16">
        <v>-559.57000000000005</v>
      </c>
    </row>
    <row r="39" spans="1:24" x14ac:dyDescent="0.25">
      <c r="A39" s="64" t="s">
        <v>575</v>
      </c>
      <c r="B39" s="16" t="s">
        <v>149</v>
      </c>
      <c r="D39" s="47">
        <v>0</v>
      </c>
      <c r="E39" s="47">
        <v>-546.41999999999996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1"/>
      <c r="Q39" s="16">
        <v>-546.41999999999996</v>
      </c>
      <c r="R39" s="47">
        <v>-300</v>
      </c>
      <c r="S39" s="16">
        <v>-246.41999999999996</v>
      </c>
      <c r="T39" s="16">
        <v>82.139999999999986</v>
      </c>
      <c r="V39" s="16">
        <v>-720</v>
      </c>
      <c r="X39" s="47">
        <v>0</v>
      </c>
    </row>
    <row r="40" spans="1:24" x14ac:dyDescent="0.25">
      <c r="A40" s="64" t="s">
        <v>578</v>
      </c>
      <c r="B40" s="16" t="s">
        <v>150</v>
      </c>
      <c r="D40" s="47">
        <v>-3196.91</v>
      </c>
      <c r="E40" s="47">
        <v>-5898.06</v>
      </c>
      <c r="F40" s="47">
        <v>-600</v>
      </c>
      <c r="G40" s="47">
        <v>-2346.16</v>
      </c>
      <c r="H40" s="47">
        <v>-4143.63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1"/>
      <c r="Q40" s="16">
        <v>-16184.760000000002</v>
      </c>
      <c r="R40" s="47">
        <v>-8350</v>
      </c>
      <c r="S40" s="16">
        <v>-7834.760000000002</v>
      </c>
      <c r="T40" s="16">
        <v>93.829461077844329</v>
      </c>
      <c r="V40" s="16">
        <v>-20040</v>
      </c>
      <c r="X40" s="16">
        <v>-6464.28</v>
      </c>
    </row>
    <row r="41" spans="1:24" x14ac:dyDescent="0.25">
      <c r="A41" s="64" t="s">
        <v>579</v>
      </c>
      <c r="B41" s="16" t="s">
        <v>151</v>
      </c>
      <c r="D41" s="47">
        <v>-3531.35</v>
      </c>
      <c r="E41" s="47">
        <v>-2568.0300000000002</v>
      </c>
      <c r="F41" s="47">
        <v>-4369.55</v>
      </c>
      <c r="G41" s="47">
        <v>-4413.55</v>
      </c>
      <c r="H41" s="47">
        <v>-1996.8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1"/>
      <c r="Q41" s="16">
        <v>-16879.28</v>
      </c>
      <c r="R41" s="47">
        <v>-36508.050000000003</v>
      </c>
      <c r="S41" s="16">
        <v>19628.770000000004</v>
      </c>
      <c r="T41" s="16">
        <v>-53.765594163479022</v>
      </c>
      <c r="V41" s="16">
        <v>-60747.89</v>
      </c>
      <c r="X41" s="16">
        <v>-7774.63</v>
      </c>
    </row>
    <row r="42" spans="1:24" x14ac:dyDescent="0.25">
      <c r="A42" s="64" t="s">
        <v>580</v>
      </c>
      <c r="B42" s="16" t="s">
        <v>152</v>
      </c>
      <c r="D42" s="47">
        <v>-115.61</v>
      </c>
      <c r="E42" s="47">
        <v>-398.98</v>
      </c>
      <c r="F42" s="47">
        <v>-262.66000000000003</v>
      </c>
      <c r="G42" s="47">
        <v>-315.08999999999997</v>
      </c>
      <c r="H42" s="47">
        <v>-261.39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1"/>
      <c r="Q42" s="16">
        <v>-1353.73</v>
      </c>
      <c r="R42" s="47">
        <v>-600</v>
      </c>
      <c r="S42" s="16">
        <v>-753.73</v>
      </c>
      <c r="T42" s="16">
        <v>125.62166666666667</v>
      </c>
      <c r="V42" s="16">
        <v>-1440</v>
      </c>
      <c r="X42" s="16">
        <v>-530.74</v>
      </c>
    </row>
    <row r="43" spans="1:24" x14ac:dyDescent="0.25">
      <c r="A43" s="64" t="s">
        <v>583</v>
      </c>
      <c r="B43" s="16" t="s">
        <v>153</v>
      </c>
      <c r="D43" s="47">
        <v>-1063.3599999999999</v>
      </c>
      <c r="E43" s="47">
        <v>-4622.6499999999996</v>
      </c>
      <c r="F43" s="47">
        <v>-1425.94</v>
      </c>
      <c r="G43" s="47">
        <v>-1063.3599999999999</v>
      </c>
      <c r="H43" s="47">
        <v>-1063.3599999999999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1"/>
      <c r="Q43" s="16">
        <v>-9238.6699999999983</v>
      </c>
      <c r="R43" s="47">
        <v>-5850</v>
      </c>
      <c r="S43" s="16">
        <v>-3388.6699999999983</v>
      </c>
      <c r="T43" s="16">
        <v>57.925982905982877</v>
      </c>
      <c r="V43" s="16">
        <v>-14040</v>
      </c>
      <c r="X43" s="16">
        <v>-8741.08</v>
      </c>
    </row>
    <row r="44" spans="1:24" x14ac:dyDescent="0.25">
      <c r="A44" s="53" t="s">
        <v>586</v>
      </c>
      <c r="B44" s="16" t="s">
        <v>154</v>
      </c>
      <c r="D44" s="47">
        <v>-442.07</v>
      </c>
      <c r="E44" s="47">
        <v>-442.08</v>
      </c>
      <c r="F44" s="47">
        <v>-442.06</v>
      </c>
      <c r="G44" s="47">
        <v>-402.94</v>
      </c>
      <c r="H44" s="47">
        <v>-402.95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1"/>
      <c r="Q44" s="16">
        <v>-2132.1</v>
      </c>
      <c r="R44" s="47">
        <v>-2049.3000000000002</v>
      </c>
      <c r="S44" s="16">
        <v>-82.799999999999727</v>
      </c>
      <c r="T44" s="16">
        <v>4.0404040404040265</v>
      </c>
      <c r="V44" s="16">
        <v>-4918.32</v>
      </c>
      <c r="X44" s="16">
        <v>-2425.4900000000002</v>
      </c>
    </row>
    <row r="45" spans="1:24" x14ac:dyDescent="0.25">
      <c r="A45" s="64" t="s">
        <v>444</v>
      </c>
      <c r="B45" s="16" t="s">
        <v>155</v>
      </c>
      <c r="D45" s="47">
        <v>25312</v>
      </c>
      <c r="E45" s="47">
        <v>25312</v>
      </c>
      <c r="F45" s="47">
        <v>25312</v>
      </c>
      <c r="G45" s="47">
        <v>25312</v>
      </c>
      <c r="H45" s="47">
        <v>25312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1"/>
      <c r="Q45" s="16">
        <v>126560</v>
      </c>
      <c r="R45" s="47">
        <v>126560</v>
      </c>
      <c r="S45" s="16">
        <v>0</v>
      </c>
      <c r="T45" s="16">
        <v>0</v>
      </c>
      <c r="V45" s="16">
        <v>303744</v>
      </c>
      <c r="X45" s="16">
        <v>126560</v>
      </c>
    </row>
    <row r="46" spans="1:24" ht="3.6" customHeight="1" x14ac:dyDescent="0.25">
      <c r="B46" s="21"/>
    </row>
    <row r="47" spans="1:24" ht="11.4" hidden="1" customHeight="1" x14ac:dyDescent="0.25"/>
    <row r="48" spans="1:24" s="4" customFormat="1" x14ac:dyDescent="0.25">
      <c r="B48" s="3" t="s">
        <v>88</v>
      </c>
      <c r="D48" s="2">
        <v>-5452.9499999999989</v>
      </c>
      <c r="E48" s="2">
        <v>42177.229999999996</v>
      </c>
      <c r="F48" s="2">
        <v>13284.709999999997</v>
      </c>
      <c r="G48" s="2">
        <v>-51433.01</v>
      </c>
      <c r="H48" s="2">
        <v>3425.3500000000004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Q48" s="2">
        <v>2001.3299999999854</v>
      </c>
      <c r="R48" s="2">
        <v>50848.110000000015</v>
      </c>
      <c r="S48" s="2">
        <v>-48846.780000000028</v>
      </c>
      <c r="T48" s="2">
        <v>-96.064101497577809</v>
      </c>
      <c r="V48" s="2">
        <v>84093.48</v>
      </c>
      <c r="X48" s="2">
        <v>14198.690000000006</v>
      </c>
    </row>
    <row r="49" spans="1:24" x14ac:dyDescent="0.25">
      <c r="A49" s="64" t="s">
        <v>590</v>
      </c>
      <c r="B49" s="37" t="s">
        <v>156</v>
      </c>
      <c r="D49" s="48">
        <v>15490.9</v>
      </c>
      <c r="E49" s="48">
        <v>24326.799999999999</v>
      </c>
      <c r="F49" s="48">
        <v>17151.87</v>
      </c>
      <c r="G49" s="48">
        <v>13391.97</v>
      </c>
      <c r="H49" s="48">
        <v>8336.3700000000008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1"/>
      <c r="Q49" s="37">
        <v>78697.909999999989</v>
      </c>
      <c r="R49" s="48">
        <v>80892.460000000006</v>
      </c>
      <c r="S49" s="37">
        <v>-2194.5500000000175</v>
      </c>
      <c r="T49" s="37">
        <v>-2.7129228113473336</v>
      </c>
      <c r="V49" s="37">
        <v>168732.24</v>
      </c>
      <c r="X49" s="37">
        <v>53737.58</v>
      </c>
    </row>
    <row r="50" spans="1:24" x14ac:dyDescent="0.25">
      <c r="A50" s="64" t="s">
        <v>455</v>
      </c>
      <c r="B50" s="37" t="s">
        <v>90</v>
      </c>
      <c r="D50" s="48">
        <v>-943.91</v>
      </c>
      <c r="E50" s="48">
        <v>-907.68</v>
      </c>
      <c r="F50" s="48">
        <v>-1150.69</v>
      </c>
      <c r="G50" s="48">
        <v>-992.15</v>
      </c>
      <c r="H50" s="48">
        <v>-1704.18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1"/>
      <c r="Q50" s="37">
        <v>-5698.61</v>
      </c>
      <c r="R50" s="48">
        <v>-5478.15</v>
      </c>
      <c r="S50" s="37">
        <v>-220.46000000000004</v>
      </c>
      <c r="T50" s="37">
        <v>4.0243512864744497</v>
      </c>
      <c r="V50" s="37">
        <v>-23572.560000000001</v>
      </c>
      <c r="X50" s="37">
        <v>-4619.43</v>
      </c>
    </row>
    <row r="51" spans="1:24" hidden="1" x14ac:dyDescent="0.25">
      <c r="B51" s="37" t="s">
        <v>157</v>
      </c>
      <c r="D51" s="48">
        <v>0</v>
      </c>
      <c r="E51" s="48">
        <v>0</v>
      </c>
      <c r="F51" s="48">
        <v>0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1"/>
      <c r="Q51" s="37">
        <v>0</v>
      </c>
      <c r="R51" s="48">
        <v>0</v>
      </c>
      <c r="S51" s="37">
        <v>0</v>
      </c>
      <c r="T51" s="37">
        <v>100</v>
      </c>
      <c r="V51" s="37">
        <v>0</v>
      </c>
      <c r="X51" s="37">
        <v>0</v>
      </c>
    </row>
    <row r="52" spans="1:24" x14ac:dyDescent="0.25">
      <c r="A52" s="64" t="s">
        <v>520</v>
      </c>
      <c r="B52" s="37" t="s">
        <v>92</v>
      </c>
      <c r="D52" s="48">
        <v>-1.07</v>
      </c>
      <c r="E52" s="48">
        <v>-3676.68</v>
      </c>
      <c r="F52" s="48">
        <v>-1987.44</v>
      </c>
      <c r="G52" s="48">
        <v>-47172.01</v>
      </c>
      <c r="H52" s="48">
        <v>-2474.29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1"/>
      <c r="Q52" s="37">
        <v>-55311.490000000005</v>
      </c>
      <c r="R52" s="48">
        <v>-34566.199999999997</v>
      </c>
      <c r="S52" s="37">
        <v>-20745.290000000008</v>
      </c>
      <c r="T52" s="37">
        <v>60.016114007325108</v>
      </c>
      <c r="V52" s="37">
        <v>-85066.2</v>
      </c>
      <c r="X52" s="37">
        <v>-57750.469999999994</v>
      </c>
    </row>
    <row r="53" spans="1:24" hidden="1" x14ac:dyDescent="0.25">
      <c r="B53" s="37" t="s">
        <v>93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1"/>
      <c r="Q53" s="37">
        <v>0</v>
      </c>
      <c r="R53" s="48">
        <v>0</v>
      </c>
      <c r="S53" s="37">
        <v>0</v>
      </c>
      <c r="T53" s="37">
        <v>100</v>
      </c>
      <c r="V53" s="37">
        <v>0</v>
      </c>
      <c r="X53" s="37">
        <v>0</v>
      </c>
    </row>
    <row r="54" spans="1:24" hidden="1" x14ac:dyDescent="0.25">
      <c r="B54" s="37" t="s">
        <v>158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1"/>
      <c r="Q54" s="37">
        <v>0</v>
      </c>
      <c r="R54" s="48">
        <v>0</v>
      </c>
      <c r="S54" s="37">
        <v>0</v>
      </c>
      <c r="T54" s="37">
        <v>100</v>
      </c>
      <c r="V54" s="37">
        <v>0</v>
      </c>
      <c r="X54" s="37">
        <v>0</v>
      </c>
    </row>
    <row r="55" spans="1:24" x14ac:dyDescent="0.25">
      <c r="A55" s="64" t="s">
        <v>528</v>
      </c>
      <c r="B55" s="37" t="s">
        <v>159</v>
      </c>
      <c r="D55" s="48">
        <v>-19998.87</v>
      </c>
      <c r="E55" s="48">
        <v>22434.79</v>
      </c>
      <c r="F55" s="48">
        <v>-729.03</v>
      </c>
      <c r="G55" s="48">
        <v>-16660.82</v>
      </c>
      <c r="H55" s="48">
        <v>-732.55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1"/>
      <c r="Q55" s="37">
        <v>-15686.479999999998</v>
      </c>
      <c r="R55" s="48">
        <v>10000</v>
      </c>
      <c r="S55" s="37">
        <v>-25686.479999999996</v>
      </c>
      <c r="T55" s="37">
        <v>-256.86479999999995</v>
      </c>
      <c r="V55" s="37">
        <v>24000</v>
      </c>
      <c r="X55" s="37">
        <v>22831.01</v>
      </c>
    </row>
    <row r="56" spans="1:24" s="4" customFormat="1" x14ac:dyDescent="0.25">
      <c r="B56" s="2" t="s">
        <v>96</v>
      </c>
      <c r="D56" s="2">
        <v>-120121.47000000002</v>
      </c>
      <c r="E56" s="2">
        <v>-92077.369999999981</v>
      </c>
      <c r="F56" s="2">
        <v>-104170.85</v>
      </c>
      <c r="G56" s="2">
        <v>-149577.68000000002</v>
      </c>
      <c r="H56" s="2">
        <v>-81034.649999999994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Q56" s="2">
        <v>-546982.02</v>
      </c>
      <c r="R56" s="2">
        <v>-422237.6</v>
      </c>
      <c r="S56" s="2">
        <v>-124744.42000000004</v>
      </c>
      <c r="T56" s="2">
        <v>29.54365504161639</v>
      </c>
      <c r="V56" s="2">
        <v>-1005892.8699999999</v>
      </c>
      <c r="X56" s="2">
        <v>-361075.18</v>
      </c>
    </row>
    <row r="57" spans="1:24" hidden="1" x14ac:dyDescent="0.25"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Q57" s="21" t="s">
        <v>160</v>
      </c>
      <c r="R57" s="63"/>
      <c r="S57" s="21" t="s">
        <v>160</v>
      </c>
      <c r="T57" s="21" t="s">
        <v>160</v>
      </c>
      <c r="V57" s="21" t="s">
        <v>160</v>
      </c>
      <c r="X57" s="21" t="s">
        <v>160</v>
      </c>
    </row>
    <row r="58" spans="1:24" ht="3.6" customHeight="1" x14ac:dyDescent="0.25">
      <c r="B58" s="31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R58" s="63"/>
    </row>
    <row r="59" spans="1:24" s="4" customFormat="1" x14ac:dyDescent="0.25">
      <c r="B59" s="2" t="s">
        <v>104</v>
      </c>
      <c r="D59" s="2">
        <v>-114226.45000000001</v>
      </c>
      <c r="E59" s="2">
        <v>-133812.51999999999</v>
      </c>
      <c r="F59" s="2">
        <v>-117013.5</v>
      </c>
      <c r="G59" s="2">
        <v>-97741.73000000001</v>
      </c>
      <c r="H59" s="2">
        <v>-84057.05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Q59" s="2">
        <v>-546851.25</v>
      </c>
      <c r="R59" s="2">
        <v>-471036.41</v>
      </c>
      <c r="S59" s="2">
        <v>-75814.840000000026</v>
      </c>
      <c r="T59" s="2">
        <v>16.09532477542448</v>
      </c>
      <c r="V59" s="2">
        <v>-1085068.0299999998</v>
      </c>
      <c r="X59" s="2">
        <v>-372848.38</v>
      </c>
    </row>
    <row r="61" spans="1:24" s="4" customFormat="1" x14ac:dyDescent="0.25">
      <c r="A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S61" s="21"/>
      <c r="T61" s="21"/>
      <c r="U61" s="21"/>
      <c r="V61" s="21"/>
      <c r="W61" s="21"/>
    </row>
    <row r="62" spans="1:24" s="4" customFormat="1" x14ac:dyDescent="0.25"/>
    <row r="63" spans="1:24" s="39" customFormat="1" ht="12.75" customHeight="1" x14ac:dyDescent="0.25">
      <c r="A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</row>
    <row r="67" spans="1:23" x14ac:dyDescent="0.25">
      <c r="B67" s="31"/>
    </row>
    <row r="70" spans="1:23" s="4" customFormat="1" x14ac:dyDescent="0.25"/>
    <row r="72" spans="1:23" s="39" customFormat="1" ht="12.75" customHeight="1" x14ac:dyDescent="0.25">
      <c r="A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21"/>
      <c r="U72" s="21"/>
      <c r="V72" s="38"/>
      <c r="W72" s="38"/>
    </row>
    <row r="74" spans="1:23" x14ac:dyDescent="0.25">
      <c r="B74" s="31"/>
    </row>
    <row r="80" spans="1:23" x14ac:dyDescent="0.25">
      <c r="B80" s="40"/>
    </row>
    <row r="81" spans="2:2" x14ac:dyDescent="0.25">
      <c r="B81" s="40"/>
    </row>
    <row r="82" spans="2:2" x14ac:dyDescent="0.25">
      <c r="B82" s="40"/>
    </row>
    <row r="83" spans="2:2" x14ac:dyDescent="0.25">
      <c r="B83" s="40"/>
    </row>
  </sheetData>
  <mergeCells count="2">
    <mergeCell ref="D2:V2"/>
    <mergeCell ref="D3:V3"/>
  </mergeCells>
  <phoneticPr fontId="0" type="noConversion"/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  <ignoredErrors>
    <ignoredError sqref="Q13:U13 D13:O13 W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D182-3721-4A20-A618-C3E93983C3F0}">
  <sheetPr codeName="Hoja14"/>
  <dimension ref="B2:U114"/>
  <sheetViews>
    <sheetView workbookViewId="0">
      <selection sqref="A1:IV65536"/>
    </sheetView>
  </sheetViews>
  <sheetFormatPr baseColWidth="10" defaultColWidth="11.44140625" defaultRowHeight="13.2" outlineLevelRow="1" x14ac:dyDescent="0.25"/>
  <cols>
    <col min="1" max="1" width="1.77734375" style="50" customWidth="1"/>
    <col min="2" max="2" width="35.77734375" style="50" customWidth="1"/>
    <col min="3" max="21" width="11.77734375" style="50" customWidth="1"/>
    <col min="22" max="16384" width="11.44140625" style="50"/>
  </cols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</row>
    <row r="4" spans="2:21" x14ac:dyDescent="0.25">
      <c r="B4" s="53" t="s">
        <v>376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</row>
    <row r="5" spans="2:21" x14ac:dyDescent="0.25">
      <c r="B5" s="53" t="s">
        <v>605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</row>
    <row r="6" spans="2:21" outlineLevel="1" x14ac:dyDescent="0.25">
      <c r="B6" s="53" t="s">
        <v>384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</row>
    <row r="7" spans="2:21" x14ac:dyDescent="0.25">
      <c r="B7" s="53" t="s">
        <v>385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</row>
    <row r="8" spans="2:21" x14ac:dyDescent="0.25">
      <c r="B8" s="53" t="s">
        <v>533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</row>
    <row r="9" spans="2:21" x14ac:dyDescent="0.25">
      <c r="B9" s="53" t="s">
        <v>534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</row>
    <row r="10" spans="2:21" x14ac:dyDescent="0.25">
      <c r="B10" s="53" t="s">
        <v>535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</row>
    <row r="11" spans="2:21" x14ac:dyDescent="0.25">
      <c r="B11" s="53" t="s">
        <v>606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</row>
    <row r="12" spans="2:21" x14ac:dyDescent="0.25">
      <c r="B12" s="53" t="s">
        <v>536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</row>
    <row r="13" spans="2:21" x14ac:dyDescent="0.25">
      <c r="B13" s="53" t="s">
        <v>537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</row>
    <row r="14" spans="2:21" x14ac:dyDescent="0.25">
      <c r="B14" s="53" t="s">
        <v>458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</row>
    <row r="15" spans="2:21" x14ac:dyDescent="0.25">
      <c r="B15" s="53" t="s">
        <v>441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558</v>
      </c>
      <c r="C16" s="54">
        <v>59398.21</v>
      </c>
      <c r="D16" s="54">
        <v>78673.06</v>
      </c>
      <c r="E16" s="54">
        <v>57016.24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195087.51</v>
      </c>
      <c r="P16" s="54">
        <v>185540.07</v>
      </c>
      <c r="Q16" s="54">
        <v>-9547.44</v>
      </c>
      <c r="R16" s="54">
        <v>676220.18</v>
      </c>
      <c r="S16" s="54">
        <v>-5.1458000000000004</v>
      </c>
      <c r="T16" s="54">
        <v>54410.82</v>
      </c>
      <c r="U16" s="55">
        <v>0</v>
      </c>
    </row>
    <row r="17" spans="2:21" outlineLevel="1" x14ac:dyDescent="0.25">
      <c r="B17" s="56" t="s">
        <v>388</v>
      </c>
      <c r="C17" s="58">
        <v>34715.31</v>
      </c>
      <c r="D17" s="58">
        <v>35047.22</v>
      </c>
      <c r="E17" s="58">
        <v>35151.919999999998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104914.45</v>
      </c>
      <c r="P17" s="58">
        <v>130741.53</v>
      </c>
      <c r="Q17" s="58">
        <v>25827.08</v>
      </c>
      <c r="R17" s="58">
        <v>456043.29</v>
      </c>
      <c r="S17" s="58">
        <v>19.754300000000001</v>
      </c>
      <c r="T17" s="58">
        <v>36144.639999999999</v>
      </c>
      <c r="U17" s="57">
        <v>0</v>
      </c>
    </row>
    <row r="18" spans="2:21" outlineLevel="1" x14ac:dyDescent="0.25">
      <c r="B18" s="56" t="s">
        <v>389</v>
      </c>
      <c r="C18" s="58">
        <v>884.65</v>
      </c>
      <c r="D18" s="58">
        <v>883.07</v>
      </c>
      <c r="E18" s="58">
        <v>931.93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8">
        <v>2699.65</v>
      </c>
      <c r="P18" s="57">
        <v>0</v>
      </c>
      <c r="Q18" s="58">
        <v>-2699.65</v>
      </c>
      <c r="R18" s="57">
        <v>0</v>
      </c>
      <c r="S18" s="57">
        <v>0</v>
      </c>
      <c r="T18" s="57">
        <v>0</v>
      </c>
      <c r="U18" s="57">
        <v>0</v>
      </c>
    </row>
    <row r="19" spans="2:21" outlineLevel="1" x14ac:dyDescent="0.25">
      <c r="B19" s="56" t="s">
        <v>391</v>
      </c>
      <c r="C19" s="58">
        <v>1396.76</v>
      </c>
      <c r="D19" s="58">
        <v>984.79</v>
      </c>
      <c r="E19" s="58">
        <v>1030.0899999999999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3411.64</v>
      </c>
      <c r="P19" s="57">
        <v>0</v>
      </c>
      <c r="Q19" s="58">
        <v>-3411.64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5">
      <c r="B20" s="56" t="s">
        <v>480</v>
      </c>
      <c r="C20" s="58">
        <v>494.58</v>
      </c>
      <c r="D20" s="58">
        <v>20568.2</v>
      </c>
      <c r="E20" s="58">
        <v>545.88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21608.66</v>
      </c>
      <c r="P20" s="57">
        <v>0</v>
      </c>
      <c r="Q20" s="58">
        <v>-21608.66</v>
      </c>
      <c r="R20" s="57">
        <v>0</v>
      </c>
      <c r="S20" s="57">
        <v>0</v>
      </c>
      <c r="T20" s="57">
        <v>0</v>
      </c>
      <c r="U20" s="57">
        <v>0</v>
      </c>
    </row>
    <row r="21" spans="2:21" x14ac:dyDescent="0.25">
      <c r="B21" s="53" t="s">
        <v>559</v>
      </c>
      <c r="C21" s="54">
        <v>37491.300000000003</v>
      </c>
      <c r="D21" s="54">
        <v>57483.28</v>
      </c>
      <c r="E21" s="54">
        <v>37659.82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132634.4</v>
      </c>
      <c r="P21" s="54">
        <v>130741.53</v>
      </c>
      <c r="Q21" s="54">
        <v>-1892.87</v>
      </c>
      <c r="R21" s="54">
        <v>456043.29</v>
      </c>
      <c r="S21" s="54">
        <v>-1.4478</v>
      </c>
      <c r="T21" s="54">
        <v>36144.639999999999</v>
      </c>
      <c r="U21" s="55">
        <v>0</v>
      </c>
    </row>
    <row r="22" spans="2:21" outlineLevel="1" x14ac:dyDescent="0.25">
      <c r="B22" s="56" t="s">
        <v>482</v>
      </c>
      <c r="C22" s="58">
        <v>6101.11</v>
      </c>
      <c r="D22" s="58">
        <v>6090.21</v>
      </c>
      <c r="E22" s="58">
        <v>5856.72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8">
        <v>18048.04</v>
      </c>
      <c r="P22" s="58">
        <v>18836.97</v>
      </c>
      <c r="Q22" s="58">
        <v>788.93</v>
      </c>
      <c r="R22" s="58">
        <v>75347.88</v>
      </c>
      <c r="S22" s="58">
        <v>4.1882000000000001</v>
      </c>
      <c r="T22" s="58">
        <v>6278.99</v>
      </c>
      <c r="U22" s="57">
        <v>0</v>
      </c>
    </row>
    <row r="23" spans="2:21" x14ac:dyDescent="0.25">
      <c r="B23" s="53" t="s">
        <v>393</v>
      </c>
      <c r="C23" s="54">
        <v>6101.11</v>
      </c>
      <c r="D23" s="54">
        <v>6090.21</v>
      </c>
      <c r="E23" s="54">
        <v>5856.72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18048.04</v>
      </c>
      <c r="P23" s="54">
        <v>18836.97</v>
      </c>
      <c r="Q23" s="54">
        <v>788.93</v>
      </c>
      <c r="R23" s="54">
        <v>75347.88</v>
      </c>
      <c r="S23" s="54">
        <v>4.1882000000000001</v>
      </c>
      <c r="T23" s="54">
        <v>6278.99</v>
      </c>
      <c r="U23" s="55">
        <v>0</v>
      </c>
    </row>
    <row r="24" spans="2:21" outlineLevel="1" x14ac:dyDescent="0.25">
      <c r="B24" s="56" t="s">
        <v>394</v>
      </c>
      <c r="C24" s="58">
        <v>3587.33</v>
      </c>
      <c r="D24" s="58">
        <v>3504.4</v>
      </c>
      <c r="E24" s="58">
        <v>3500.21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7">
        <v>0</v>
      </c>
      <c r="O24" s="58">
        <v>10591.94</v>
      </c>
      <c r="P24" s="58">
        <v>10292.85</v>
      </c>
      <c r="Q24" s="58">
        <v>-299.08999999999997</v>
      </c>
      <c r="R24" s="58">
        <v>41171.4</v>
      </c>
      <c r="S24" s="58">
        <v>-2.9058000000000002</v>
      </c>
      <c r="T24" s="58">
        <v>3430.95</v>
      </c>
      <c r="U24" s="57">
        <v>0</v>
      </c>
    </row>
    <row r="25" spans="2:21" x14ac:dyDescent="0.25">
      <c r="B25" s="53" t="s">
        <v>395</v>
      </c>
      <c r="C25" s="54">
        <v>3587.33</v>
      </c>
      <c r="D25" s="54">
        <v>3504.4</v>
      </c>
      <c r="E25" s="54">
        <v>3500.21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4">
        <v>10591.94</v>
      </c>
      <c r="P25" s="54">
        <v>10292.85</v>
      </c>
      <c r="Q25" s="54">
        <v>-299.08999999999997</v>
      </c>
      <c r="R25" s="54">
        <v>41171.4</v>
      </c>
      <c r="S25" s="54">
        <v>-2.9058000000000002</v>
      </c>
      <c r="T25" s="54">
        <v>3430.95</v>
      </c>
      <c r="U25" s="55">
        <v>0</v>
      </c>
    </row>
    <row r="26" spans="2:21" outlineLevel="1" x14ac:dyDescent="0.25">
      <c r="B26" s="56" t="s">
        <v>396</v>
      </c>
      <c r="C26" s="58">
        <v>2470.9499999999998</v>
      </c>
      <c r="D26" s="58">
        <v>2466.54</v>
      </c>
      <c r="E26" s="58">
        <v>2479.13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8">
        <v>7416.62</v>
      </c>
      <c r="P26" s="58">
        <v>7319.28</v>
      </c>
      <c r="Q26" s="58">
        <v>-97.34</v>
      </c>
      <c r="R26" s="58">
        <v>29277.119999999999</v>
      </c>
      <c r="S26" s="58">
        <v>-1.3299000000000001</v>
      </c>
      <c r="T26" s="58">
        <v>2439.7600000000002</v>
      </c>
      <c r="U26" s="57">
        <v>0</v>
      </c>
    </row>
    <row r="27" spans="2:21" x14ac:dyDescent="0.25">
      <c r="B27" s="53" t="s">
        <v>397</v>
      </c>
      <c r="C27" s="54">
        <v>2470.9499999999998</v>
      </c>
      <c r="D27" s="54">
        <v>2466.54</v>
      </c>
      <c r="E27" s="54">
        <v>2479.13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4">
        <v>7416.62</v>
      </c>
      <c r="P27" s="54">
        <v>7319.28</v>
      </c>
      <c r="Q27" s="54">
        <v>-97.34</v>
      </c>
      <c r="R27" s="54">
        <v>29277.119999999999</v>
      </c>
      <c r="S27" s="54">
        <v>-1.3299000000000001</v>
      </c>
      <c r="T27" s="54">
        <v>2439.7600000000002</v>
      </c>
      <c r="U27" s="55">
        <v>0</v>
      </c>
    </row>
    <row r="28" spans="2:21" outlineLevel="1" x14ac:dyDescent="0.25">
      <c r="B28" s="56" t="s">
        <v>483</v>
      </c>
      <c r="C28" s="58">
        <v>735.63</v>
      </c>
      <c r="D28" s="58">
        <v>648.4</v>
      </c>
      <c r="E28" s="58">
        <v>253.06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8">
        <v>1637.09</v>
      </c>
      <c r="P28" s="58">
        <v>2711.58</v>
      </c>
      <c r="Q28" s="58">
        <v>1074.49</v>
      </c>
      <c r="R28" s="58">
        <v>11479.05</v>
      </c>
      <c r="S28" s="58">
        <v>39.625999999999998</v>
      </c>
      <c r="T28" s="58">
        <v>903.86</v>
      </c>
      <c r="U28" s="57">
        <v>0</v>
      </c>
    </row>
    <row r="29" spans="2:21" outlineLevel="1" x14ac:dyDescent="0.25">
      <c r="B29" s="56" t="s">
        <v>398</v>
      </c>
      <c r="C29" s="58">
        <v>1150.22</v>
      </c>
      <c r="D29" s="58">
        <v>1153.26</v>
      </c>
      <c r="E29" s="58">
        <v>1143.24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3446.72</v>
      </c>
      <c r="P29" s="57">
        <v>0</v>
      </c>
      <c r="Q29" s="58">
        <v>-3446.72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5">
      <c r="B30" s="53" t="s">
        <v>399</v>
      </c>
      <c r="C30" s="54">
        <v>1885.85</v>
      </c>
      <c r="D30" s="54">
        <v>1801.66</v>
      </c>
      <c r="E30" s="54">
        <v>1396.3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5083.8100000000004</v>
      </c>
      <c r="P30" s="54">
        <v>2711.58</v>
      </c>
      <c r="Q30" s="54">
        <v>-2372.23</v>
      </c>
      <c r="R30" s="54">
        <v>11479.05</v>
      </c>
      <c r="S30" s="54">
        <v>-87.485200000000006</v>
      </c>
      <c r="T30" s="54">
        <v>903.86</v>
      </c>
      <c r="U30" s="55">
        <v>0</v>
      </c>
    </row>
    <row r="31" spans="2:21" outlineLevel="1" x14ac:dyDescent="0.25">
      <c r="B31" s="56" t="s">
        <v>489</v>
      </c>
      <c r="C31" s="58">
        <v>888.32</v>
      </c>
      <c r="D31" s="58">
        <v>458.13</v>
      </c>
      <c r="E31" s="58">
        <v>2451.38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3797.83</v>
      </c>
      <c r="P31" s="58">
        <v>2358</v>
      </c>
      <c r="Q31" s="58">
        <v>-1439.83</v>
      </c>
      <c r="R31" s="58">
        <v>9782</v>
      </c>
      <c r="S31" s="58">
        <v>-61.061500000000002</v>
      </c>
      <c r="T31" s="58">
        <v>786</v>
      </c>
      <c r="U31" s="57">
        <v>0</v>
      </c>
    </row>
    <row r="32" spans="2:21" outlineLevel="1" x14ac:dyDescent="0.25">
      <c r="B32" s="56" t="s">
        <v>484</v>
      </c>
      <c r="C32" s="58">
        <v>1381.19</v>
      </c>
      <c r="D32" s="58">
        <v>1381.19</v>
      </c>
      <c r="E32" s="58">
        <v>-1788.2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8">
        <v>974.18</v>
      </c>
      <c r="P32" s="57">
        <v>0</v>
      </c>
      <c r="Q32" s="58">
        <v>-974.18</v>
      </c>
      <c r="R32" s="57">
        <v>0</v>
      </c>
      <c r="S32" s="57">
        <v>0</v>
      </c>
      <c r="T32" s="57">
        <v>0</v>
      </c>
      <c r="U32" s="57">
        <v>0</v>
      </c>
    </row>
    <row r="33" spans="2:21" outlineLevel="1" x14ac:dyDescent="0.25">
      <c r="B33" s="56" t="s">
        <v>490</v>
      </c>
      <c r="C33" s="58">
        <v>1034.27</v>
      </c>
      <c r="D33" s="58">
        <v>1034.27</v>
      </c>
      <c r="E33" s="58">
        <v>1034.27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8">
        <v>3102.81</v>
      </c>
      <c r="P33" s="57">
        <v>0</v>
      </c>
      <c r="Q33" s="58">
        <v>-3102.81</v>
      </c>
      <c r="R33" s="57">
        <v>0</v>
      </c>
      <c r="S33" s="57">
        <v>0</v>
      </c>
      <c r="T33" s="57">
        <v>0</v>
      </c>
      <c r="U33" s="57">
        <v>0</v>
      </c>
    </row>
    <row r="34" spans="2:21" outlineLevel="1" x14ac:dyDescent="0.25">
      <c r="B34" s="56" t="s">
        <v>491</v>
      </c>
      <c r="C34" s="58">
        <v>131.27000000000001</v>
      </c>
      <c r="D34" s="58">
        <v>26.76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158.03</v>
      </c>
      <c r="P34" s="57">
        <v>0</v>
      </c>
      <c r="Q34" s="58">
        <v>-158.03</v>
      </c>
      <c r="R34" s="57">
        <v>0</v>
      </c>
      <c r="S34" s="57">
        <v>0</v>
      </c>
      <c r="T34" s="57">
        <v>0</v>
      </c>
      <c r="U34" s="57">
        <v>0</v>
      </c>
    </row>
    <row r="35" spans="2:21" outlineLevel="1" x14ac:dyDescent="0.25">
      <c r="B35" s="56" t="s">
        <v>492</v>
      </c>
      <c r="C35" s="58">
        <v>4426.62</v>
      </c>
      <c r="D35" s="58">
        <v>4426.62</v>
      </c>
      <c r="E35" s="58">
        <v>4426.6099999999997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8">
        <v>13279.85</v>
      </c>
      <c r="P35" s="58">
        <v>13279.86</v>
      </c>
      <c r="Q35" s="58">
        <v>0.01</v>
      </c>
      <c r="R35" s="58">
        <v>53119.44</v>
      </c>
      <c r="S35" s="58">
        <v>1E-4</v>
      </c>
      <c r="T35" s="58">
        <v>4426.62</v>
      </c>
      <c r="U35" s="57">
        <v>0</v>
      </c>
    </row>
    <row r="36" spans="2:21" x14ac:dyDescent="0.25">
      <c r="B36" s="53" t="s">
        <v>560</v>
      </c>
      <c r="C36" s="54">
        <v>7861.67</v>
      </c>
      <c r="D36" s="54">
        <v>7326.97</v>
      </c>
      <c r="E36" s="54">
        <v>6124.06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4">
        <v>21312.7</v>
      </c>
      <c r="P36" s="54">
        <v>15637.86</v>
      </c>
      <c r="Q36" s="54">
        <v>-5674.84</v>
      </c>
      <c r="R36" s="54">
        <v>62901.440000000002</v>
      </c>
      <c r="S36" s="54">
        <v>-36.289099999999998</v>
      </c>
      <c r="T36" s="54">
        <v>5212.62</v>
      </c>
      <c r="U36" s="55">
        <v>0</v>
      </c>
    </row>
    <row r="37" spans="2:21" x14ac:dyDescent="0.25">
      <c r="B37" s="53" t="s">
        <v>443</v>
      </c>
      <c r="C37" s="54">
        <v>55270.31</v>
      </c>
      <c r="D37" s="54">
        <v>55581.54</v>
      </c>
      <c r="E37" s="54">
        <v>60439.32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171291.17</v>
      </c>
      <c r="P37" s="54">
        <v>120261.6</v>
      </c>
      <c r="Q37" s="54">
        <v>-51029.57</v>
      </c>
      <c r="R37" s="54">
        <v>413766.17</v>
      </c>
      <c r="S37" s="54">
        <v>-42.432099999999998</v>
      </c>
      <c r="T37" s="54">
        <v>51899.199999999997</v>
      </c>
      <c r="U37" s="55">
        <v>0</v>
      </c>
    </row>
    <row r="38" spans="2:21" outlineLevel="1" x14ac:dyDescent="0.25">
      <c r="B38" s="56" t="s">
        <v>485</v>
      </c>
      <c r="C38" s="58">
        <v>62.06</v>
      </c>
      <c r="D38" s="58">
        <v>435.08</v>
      </c>
      <c r="E38" s="58">
        <v>2136.31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2633.45</v>
      </c>
      <c r="P38" s="58">
        <v>2610</v>
      </c>
      <c r="Q38" s="58">
        <v>-23.45</v>
      </c>
      <c r="R38" s="58">
        <v>10440</v>
      </c>
      <c r="S38" s="58">
        <v>-0.89849999999999997</v>
      </c>
      <c r="T38" s="58">
        <v>870</v>
      </c>
      <c r="U38" s="57">
        <v>0</v>
      </c>
    </row>
    <row r="39" spans="2:21" outlineLevel="1" x14ac:dyDescent="0.25">
      <c r="B39" s="56" t="s">
        <v>488</v>
      </c>
      <c r="C39" s="57">
        <v>0</v>
      </c>
      <c r="D39" s="57">
        <v>0</v>
      </c>
      <c r="E39" s="58">
        <v>512.4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8">
        <v>512.4</v>
      </c>
      <c r="P39" s="57">
        <v>0</v>
      </c>
      <c r="Q39" s="58">
        <v>-512.4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5">
      <c r="B40" s="53" t="s">
        <v>561</v>
      </c>
      <c r="C40" s="54">
        <v>62.06</v>
      </c>
      <c r="D40" s="54">
        <v>435.08</v>
      </c>
      <c r="E40" s="54">
        <v>2648.71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4">
        <v>3145.85</v>
      </c>
      <c r="P40" s="54">
        <v>2610</v>
      </c>
      <c r="Q40" s="54">
        <v>-535.85</v>
      </c>
      <c r="R40" s="54">
        <v>10440</v>
      </c>
      <c r="S40" s="54">
        <v>-20.5307</v>
      </c>
      <c r="T40" s="54">
        <v>870</v>
      </c>
      <c r="U40" s="55">
        <v>0</v>
      </c>
    </row>
    <row r="41" spans="2:21" outlineLevel="1" x14ac:dyDescent="0.25">
      <c r="B41" s="56" t="s">
        <v>420</v>
      </c>
      <c r="C41" s="58">
        <v>78.040000000000006</v>
      </c>
      <c r="D41" s="58">
        <v>78.17</v>
      </c>
      <c r="E41" s="58">
        <v>76.03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232.24</v>
      </c>
      <c r="P41" s="58">
        <v>510</v>
      </c>
      <c r="Q41" s="58">
        <v>277.76</v>
      </c>
      <c r="R41" s="58">
        <v>2040</v>
      </c>
      <c r="S41" s="58">
        <v>54.462699999999998</v>
      </c>
      <c r="T41" s="58">
        <v>170</v>
      </c>
      <c r="U41" s="57">
        <v>0</v>
      </c>
    </row>
    <row r="42" spans="2:21" outlineLevel="1" x14ac:dyDescent="0.25">
      <c r="B42" s="56" t="s">
        <v>422</v>
      </c>
      <c r="C42" s="58">
        <v>31.47</v>
      </c>
      <c r="D42" s="58">
        <v>31.54</v>
      </c>
      <c r="E42" s="58">
        <v>30.78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8">
        <v>93.79</v>
      </c>
      <c r="P42" s="57">
        <v>0</v>
      </c>
      <c r="Q42" s="58">
        <v>-93.79</v>
      </c>
      <c r="R42" s="57">
        <v>0</v>
      </c>
      <c r="S42" s="57">
        <v>0</v>
      </c>
      <c r="T42" s="57">
        <v>0</v>
      </c>
      <c r="U42" s="57">
        <v>0</v>
      </c>
    </row>
    <row r="43" spans="2:21" x14ac:dyDescent="0.25">
      <c r="B43" s="53" t="s">
        <v>562</v>
      </c>
      <c r="C43" s="54">
        <v>109.51</v>
      </c>
      <c r="D43" s="54">
        <v>109.71</v>
      </c>
      <c r="E43" s="54">
        <v>106.81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4">
        <v>326.02999999999997</v>
      </c>
      <c r="P43" s="54">
        <v>510</v>
      </c>
      <c r="Q43" s="54">
        <v>183.97</v>
      </c>
      <c r="R43" s="54">
        <v>2040</v>
      </c>
      <c r="S43" s="54">
        <v>36.072499999999998</v>
      </c>
      <c r="T43" s="54">
        <v>170</v>
      </c>
      <c r="U43" s="55">
        <v>0</v>
      </c>
    </row>
    <row r="44" spans="2:21" outlineLevel="1" x14ac:dyDescent="0.25">
      <c r="B44" s="56" t="s">
        <v>563</v>
      </c>
      <c r="C44" s="58">
        <v>250.2</v>
      </c>
      <c r="D44" s="58">
        <v>392.85</v>
      </c>
      <c r="E44" s="58">
        <v>389.15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7">
        <v>0</v>
      </c>
      <c r="M44" s="57">
        <v>0</v>
      </c>
      <c r="N44" s="57">
        <v>0</v>
      </c>
      <c r="O44" s="58">
        <v>1032.2</v>
      </c>
      <c r="P44" s="58">
        <v>660</v>
      </c>
      <c r="Q44" s="58">
        <v>-372.2</v>
      </c>
      <c r="R44" s="58">
        <v>2640</v>
      </c>
      <c r="S44" s="58">
        <v>-56.393900000000002</v>
      </c>
      <c r="T44" s="58">
        <v>220</v>
      </c>
      <c r="U44" s="57">
        <v>0</v>
      </c>
    </row>
    <row r="45" spans="2:21" x14ac:dyDescent="0.25">
      <c r="B45" s="53" t="s">
        <v>564</v>
      </c>
      <c r="C45" s="54">
        <v>250.2</v>
      </c>
      <c r="D45" s="54">
        <v>392.85</v>
      </c>
      <c r="E45" s="54">
        <v>389.15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55">
        <v>0</v>
      </c>
      <c r="O45" s="54">
        <v>1032.2</v>
      </c>
      <c r="P45" s="54">
        <v>660</v>
      </c>
      <c r="Q45" s="54">
        <v>-372.2</v>
      </c>
      <c r="R45" s="54">
        <v>2640</v>
      </c>
      <c r="S45" s="54">
        <v>-56.393900000000002</v>
      </c>
      <c r="T45" s="54">
        <v>220</v>
      </c>
      <c r="U45" s="55">
        <v>0</v>
      </c>
    </row>
    <row r="46" spans="2:21" outlineLevel="1" x14ac:dyDescent="0.25">
      <c r="B46" s="56" t="s">
        <v>565</v>
      </c>
      <c r="C46" s="58">
        <v>8333.33</v>
      </c>
      <c r="D46" s="58">
        <v>8333.33</v>
      </c>
      <c r="E46" s="58">
        <v>8333.33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8">
        <v>24999.99</v>
      </c>
      <c r="P46" s="57">
        <v>0</v>
      </c>
      <c r="Q46" s="58">
        <v>-24999.99</v>
      </c>
      <c r="R46" s="57">
        <v>0</v>
      </c>
      <c r="S46" s="57">
        <v>0</v>
      </c>
      <c r="T46" s="57">
        <v>0</v>
      </c>
      <c r="U46" s="57">
        <v>0</v>
      </c>
    </row>
    <row r="47" spans="2:21" outlineLevel="1" x14ac:dyDescent="0.25">
      <c r="B47" s="56" t="s">
        <v>517</v>
      </c>
      <c r="C47" s="58">
        <v>1847.44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1847.44</v>
      </c>
      <c r="P47" s="58">
        <v>51669.99</v>
      </c>
      <c r="Q47" s="58">
        <v>49822.55</v>
      </c>
      <c r="R47" s="58">
        <v>230139.96</v>
      </c>
      <c r="S47" s="58">
        <v>96.424499999999995</v>
      </c>
      <c r="T47" s="58">
        <v>17223.330000000002</v>
      </c>
      <c r="U47" s="57">
        <v>0</v>
      </c>
    </row>
    <row r="48" spans="2:21" outlineLevel="1" x14ac:dyDescent="0.25">
      <c r="B48" s="56" t="s">
        <v>525</v>
      </c>
      <c r="C48" s="58">
        <v>28.59</v>
      </c>
      <c r="D48" s="58">
        <v>44.23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72.819999999999993</v>
      </c>
      <c r="P48" s="57">
        <v>0</v>
      </c>
      <c r="Q48" s="58">
        <v>-72.819999999999993</v>
      </c>
      <c r="R48" s="57">
        <v>0</v>
      </c>
      <c r="S48" s="57">
        <v>0</v>
      </c>
      <c r="T48" s="57">
        <v>0</v>
      </c>
      <c r="U48" s="57">
        <v>0</v>
      </c>
    </row>
    <row r="49" spans="2:21" outlineLevel="1" x14ac:dyDescent="0.25">
      <c r="B49" s="56" t="s">
        <v>612</v>
      </c>
      <c r="C49" s="57">
        <v>0</v>
      </c>
      <c r="D49" s="57">
        <v>0</v>
      </c>
      <c r="E49" s="58">
        <v>-579.6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8">
        <v>-579.6</v>
      </c>
      <c r="P49" s="57">
        <v>0</v>
      </c>
      <c r="Q49" s="58">
        <v>579.6</v>
      </c>
      <c r="R49" s="57">
        <v>0</v>
      </c>
      <c r="S49" s="57">
        <v>0</v>
      </c>
      <c r="T49" s="57">
        <v>0</v>
      </c>
      <c r="U49" s="57">
        <v>0</v>
      </c>
    </row>
    <row r="50" spans="2:21" outlineLevel="1" x14ac:dyDescent="0.25">
      <c r="B50" s="56" t="s">
        <v>526</v>
      </c>
      <c r="C50" s="58">
        <v>27611.99</v>
      </c>
      <c r="D50" s="58">
        <v>19903.759999999998</v>
      </c>
      <c r="E50" s="58">
        <v>36203.480000000003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83719.23</v>
      </c>
      <c r="P50" s="57">
        <v>0</v>
      </c>
      <c r="Q50" s="58">
        <v>-83719.23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5">
      <c r="B51" s="53" t="s">
        <v>566</v>
      </c>
      <c r="C51" s="54">
        <v>37821.35</v>
      </c>
      <c r="D51" s="54">
        <v>28281.32</v>
      </c>
      <c r="E51" s="54">
        <v>43957.21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4">
        <v>110059.88</v>
      </c>
      <c r="P51" s="54">
        <v>51669.99</v>
      </c>
      <c r="Q51" s="54">
        <v>-58389.89</v>
      </c>
      <c r="R51" s="54">
        <v>230139.96</v>
      </c>
      <c r="S51" s="54">
        <v>-113.00539999999999</v>
      </c>
      <c r="T51" s="54">
        <v>17223.330000000002</v>
      </c>
      <c r="U51" s="55">
        <v>0</v>
      </c>
    </row>
    <row r="52" spans="2:21" outlineLevel="1" x14ac:dyDescent="0.25">
      <c r="B52" s="56" t="s">
        <v>494</v>
      </c>
      <c r="C52" s="58">
        <v>2982.61</v>
      </c>
      <c r="D52" s="58">
        <v>5665.22</v>
      </c>
      <c r="E52" s="58">
        <v>390.57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9038.4</v>
      </c>
      <c r="P52" s="58">
        <v>14400</v>
      </c>
      <c r="Q52" s="58">
        <v>5361.6</v>
      </c>
      <c r="R52" s="58">
        <v>57600</v>
      </c>
      <c r="S52" s="58">
        <v>37.2333</v>
      </c>
      <c r="T52" s="58">
        <v>4800</v>
      </c>
      <c r="U52" s="57">
        <v>0</v>
      </c>
    </row>
    <row r="53" spans="2:21" outlineLevel="1" x14ac:dyDescent="0.25">
      <c r="B53" s="56" t="s">
        <v>567</v>
      </c>
      <c r="C53" s="58">
        <v>2800</v>
      </c>
      <c r="D53" s="58">
        <v>2800</v>
      </c>
      <c r="E53" s="58">
        <v>2800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8">
        <v>8400</v>
      </c>
      <c r="P53" s="57">
        <v>0</v>
      </c>
      <c r="Q53" s="58">
        <v>-8400</v>
      </c>
      <c r="R53" s="57">
        <v>0</v>
      </c>
      <c r="S53" s="57">
        <v>0</v>
      </c>
      <c r="T53" s="57">
        <v>0</v>
      </c>
      <c r="U53" s="57">
        <v>0</v>
      </c>
    </row>
    <row r="54" spans="2:21" outlineLevel="1" x14ac:dyDescent="0.25">
      <c r="B54" s="56" t="s">
        <v>412</v>
      </c>
      <c r="C54" s="58">
        <v>48.73</v>
      </c>
      <c r="D54" s="58">
        <v>811.21</v>
      </c>
      <c r="E54" s="58">
        <v>666.41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1526.35</v>
      </c>
      <c r="P54" s="57">
        <v>0</v>
      </c>
      <c r="Q54" s="58">
        <v>-1526.35</v>
      </c>
      <c r="R54" s="57">
        <v>0</v>
      </c>
      <c r="S54" s="57">
        <v>0</v>
      </c>
      <c r="T54" s="57">
        <v>0</v>
      </c>
      <c r="U54" s="57">
        <v>0</v>
      </c>
    </row>
    <row r="55" spans="2:21" outlineLevel="1" x14ac:dyDescent="0.25">
      <c r="B55" s="56" t="s">
        <v>607</v>
      </c>
      <c r="C55" s="57">
        <v>0</v>
      </c>
      <c r="D55" s="58">
        <v>14.9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7">
        <v>0</v>
      </c>
      <c r="M55" s="57">
        <v>0</v>
      </c>
      <c r="N55" s="57">
        <v>0</v>
      </c>
      <c r="O55" s="58">
        <v>14.9</v>
      </c>
      <c r="P55" s="57">
        <v>0</v>
      </c>
      <c r="Q55" s="58">
        <v>-14.9</v>
      </c>
      <c r="R55" s="57">
        <v>0</v>
      </c>
      <c r="S55" s="57">
        <v>0</v>
      </c>
      <c r="T55" s="57">
        <v>0</v>
      </c>
      <c r="U55" s="57">
        <v>0</v>
      </c>
    </row>
    <row r="56" spans="2:21" x14ac:dyDescent="0.25">
      <c r="B56" s="53" t="s">
        <v>568</v>
      </c>
      <c r="C56" s="54">
        <v>5831.34</v>
      </c>
      <c r="D56" s="54">
        <v>9291.33</v>
      </c>
      <c r="E56" s="54">
        <v>3856.98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5">
        <v>0</v>
      </c>
      <c r="N56" s="55">
        <v>0</v>
      </c>
      <c r="O56" s="54">
        <v>18979.650000000001</v>
      </c>
      <c r="P56" s="54">
        <v>14400</v>
      </c>
      <c r="Q56" s="54">
        <v>-4579.6499999999996</v>
      </c>
      <c r="R56" s="54">
        <v>57600</v>
      </c>
      <c r="S56" s="54">
        <v>-31.803100000000001</v>
      </c>
      <c r="T56" s="54">
        <v>4800</v>
      </c>
      <c r="U56" s="55">
        <v>0</v>
      </c>
    </row>
    <row r="57" spans="2:21" outlineLevel="1" x14ac:dyDescent="0.25">
      <c r="B57" s="56" t="s">
        <v>569</v>
      </c>
      <c r="C57" s="58">
        <v>28132.66</v>
      </c>
      <c r="D57" s="58">
        <v>27905.14</v>
      </c>
      <c r="E57" s="58">
        <v>27692.25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0</v>
      </c>
      <c r="O57" s="58">
        <v>83730.05</v>
      </c>
      <c r="P57" s="58">
        <v>84336</v>
      </c>
      <c r="Q57" s="58">
        <v>605.95000000000005</v>
      </c>
      <c r="R57" s="58">
        <v>312144</v>
      </c>
      <c r="S57" s="58">
        <v>0.71850000000000003</v>
      </c>
      <c r="T57" s="58">
        <v>28112</v>
      </c>
      <c r="U57" s="57">
        <v>0</v>
      </c>
    </row>
    <row r="58" spans="2:21" x14ac:dyDescent="0.25">
      <c r="B58" s="53" t="s">
        <v>570</v>
      </c>
      <c r="C58" s="54">
        <v>28132.66</v>
      </c>
      <c r="D58" s="54">
        <v>27905.14</v>
      </c>
      <c r="E58" s="54">
        <v>27692.25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83730.05</v>
      </c>
      <c r="P58" s="54">
        <v>84336</v>
      </c>
      <c r="Q58" s="54">
        <v>605.95000000000005</v>
      </c>
      <c r="R58" s="54">
        <v>312144</v>
      </c>
      <c r="S58" s="54">
        <v>0.71850000000000003</v>
      </c>
      <c r="T58" s="54">
        <v>28112</v>
      </c>
      <c r="U58" s="55">
        <v>0</v>
      </c>
    </row>
    <row r="59" spans="2:21" outlineLevel="1" x14ac:dyDescent="0.25">
      <c r="B59" s="56" t="s">
        <v>571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0</v>
      </c>
      <c r="P59" s="58">
        <v>150</v>
      </c>
      <c r="Q59" s="58">
        <v>150</v>
      </c>
      <c r="R59" s="58">
        <v>600</v>
      </c>
      <c r="S59" s="58">
        <v>100</v>
      </c>
      <c r="T59" s="58">
        <v>50</v>
      </c>
      <c r="U59" s="57">
        <v>0</v>
      </c>
    </row>
    <row r="60" spans="2:21" outlineLevel="1" x14ac:dyDescent="0.25">
      <c r="B60" s="56" t="s">
        <v>572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</row>
    <row r="61" spans="2:21" outlineLevel="1" x14ac:dyDescent="0.25">
      <c r="B61" s="56" t="s">
        <v>573</v>
      </c>
      <c r="C61" s="58">
        <v>25.89</v>
      </c>
      <c r="D61" s="58">
        <v>1.89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27.78</v>
      </c>
      <c r="P61" s="57">
        <v>0</v>
      </c>
      <c r="Q61" s="58">
        <v>-27.78</v>
      </c>
      <c r="R61" s="57">
        <v>0</v>
      </c>
      <c r="S61" s="57">
        <v>0</v>
      </c>
      <c r="T61" s="57">
        <v>0</v>
      </c>
      <c r="U61" s="57">
        <v>0</v>
      </c>
    </row>
    <row r="62" spans="2:21" x14ac:dyDescent="0.25">
      <c r="B62" s="53" t="s">
        <v>574</v>
      </c>
      <c r="C62" s="54">
        <v>25.89</v>
      </c>
      <c r="D62" s="54">
        <v>1.89</v>
      </c>
      <c r="E62" s="55">
        <v>0</v>
      </c>
      <c r="F62" s="55">
        <v>0</v>
      </c>
      <c r="G62" s="55">
        <v>0</v>
      </c>
      <c r="H62" s="55">
        <v>0</v>
      </c>
      <c r="I62" s="55">
        <v>0</v>
      </c>
      <c r="J62" s="55">
        <v>0</v>
      </c>
      <c r="K62" s="55">
        <v>0</v>
      </c>
      <c r="L62" s="55">
        <v>0</v>
      </c>
      <c r="M62" s="55">
        <v>0</v>
      </c>
      <c r="N62" s="55">
        <v>0</v>
      </c>
      <c r="O62" s="54">
        <v>27.78</v>
      </c>
      <c r="P62" s="54">
        <v>150</v>
      </c>
      <c r="Q62" s="54">
        <v>122.22</v>
      </c>
      <c r="R62" s="54">
        <v>600</v>
      </c>
      <c r="S62" s="54">
        <v>81.48</v>
      </c>
      <c r="T62" s="54">
        <v>50</v>
      </c>
      <c r="U62" s="55">
        <v>0</v>
      </c>
    </row>
    <row r="63" spans="2:21" outlineLevel="1" x14ac:dyDescent="0.25">
      <c r="B63" s="56" t="s">
        <v>506</v>
      </c>
      <c r="C63" s="57">
        <v>0</v>
      </c>
      <c r="D63" s="58">
        <v>546.41999999999996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546.41999999999996</v>
      </c>
      <c r="P63" s="58">
        <v>180</v>
      </c>
      <c r="Q63" s="58">
        <v>-366.42</v>
      </c>
      <c r="R63" s="58">
        <v>720</v>
      </c>
      <c r="S63" s="58">
        <v>-203.5667</v>
      </c>
      <c r="T63" s="58">
        <v>60</v>
      </c>
      <c r="U63" s="57">
        <v>0</v>
      </c>
    </row>
    <row r="64" spans="2:21" x14ac:dyDescent="0.25">
      <c r="B64" s="53" t="s">
        <v>575</v>
      </c>
      <c r="C64" s="55">
        <v>0</v>
      </c>
      <c r="D64" s="54">
        <v>546.41999999999996</v>
      </c>
      <c r="E64" s="55">
        <v>0</v>
      </c>
      <c r="F64" s="55">
        <v>0</v>
      </c>
      <c r="G64" s="55">
        <v>0</v>
      </c>
      <c r="H64" s="55">
        <v>0</v>
      </c>
      <c r="I64" s="55">
        <v>0</v>
      </c>
      <c r="J64" s="55">
        <v>0</v>
      </c>
      <c r="K64" s="55">
        <v>0</v>
      </c>
      <c r="L64" s="55">
        <v>0</v>
      </c>
      <c r="M64" s="55">
        <v>0</v>
      </c>
      <c r="N64" s="55">
        <v>0</v>
      </c>
      <c r="O64" s="54">
        <v>546.41999999999996</v>
      </c>
      <c r="P64" s="54">
        <v>180</v>
      </c>
      <c r="Q64" s="54">
        <v>-366.42</v>
      </c>
      <c r="R64" s="54">
        <v>720</v>
      </c>
      <c r="S64" s="54">
        <v>-203.5667</v>
      </c>
      <c r="T64" s="54">
        <v>60</v>
      </c>
      <c r="U64" s="55">
        <v>0</v>
      </c>
    </row>
    <row r="65" spans="2:21" outlineLevel="1" x14ac:dyDescent="0.25">
      <c r="B65" s="56" t="s">
        <v>576</v>
      </c>
      <c r="C65" s="58">
        <v>2900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2900</v>
      </c>
      <c r="P65" s="58">
        <v>5010</v>
      </c>
      <c r="Q65" s="58">
        <v>2110</v>
      </c>
      <c r="R65" s="58">
        <v>20040</v>
      </c>
      <c r="S65" s="58">
        <v>42.1158</v>
      </c>
      <c r="T65" s="58">
        <v>1670</v>
      </c>
      <c r="U65" s="57">
        <v>0</v>
      </c>
    </row>
    <row r="66" spans="2:21" outlineLevel="1" x14ac:dyDescent="0.25">
      <c r="B66" s="56" t="s">
        <v>577</v>
      </c>
      <c r="C66" s="58">
        <v>296.91000000000003</v>
      </c>
      <c r="D66" s="58">
        <v>5898.06</v>
      </c>
      <c r="E66" s="58">
        <v>600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6794.97</v>
      </c>
      <c r="P66" s="57">
        <v>0</v>
      </c>
      <c r="Q66" s="58">
        <v>-6794.97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5">
      <c r="B67" s="53" t="s">
        <v>578</v>
      </c>
      <c r="C67" s="54">
        <v>3196.91</v>
      </c>
      <c r="D67" s="54">
        <v>5898.06</v>
      </c>
      <c r="E67" s="54">
        <v>600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55">
        <v>0</v>
      </c>
      <c r="O67" s="54">
        <v>9694.9699999999993</v>
      </c>
      <c r="P67" s="54">
        <v>5010</v>
      </c>
      <c r="Q67" s="54">
        <v>-4684.97</v>
      </c>
      <c r="R67" s="54">
        <v>20040</v>
      </c>
      <c r="S67" s="54">
        <v>-93.5124</v>
      </c>
      <c r="T67" s="54">
        <v>1670</v>
      </c>
      <c r="U67" s="55">
        <v>0</v>
      </c>
    </row>
    <row r="68" spans="2:21" outlineLevel="1" x14ac:dyDescent="0.25">
      <c r="B68" s="56" t="s">
        <v>514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7">
        <v>0</v>
      </c>
      <c r="P68" s="58">
        <v>31572.03</v>
      </c>
      <c r="Q68" s="58">
        <v>31572.03</v>
      </c>
      <c r="R68" s="58">
        <v>60747.89</v>
      </c>
      <c r="S68" s="58">
        <v>100</v>
      </c>
      <c r="T68" s="58">
        <v>22336.01</v>
      </c>
      <c r="U68" s="57">
        <v>0</v>
      </c>
    </row>
    <row r="69" spans="2:21" outlineLevel="1" x14ac:dyDescent="0.25">
      <c r="B69" s="56" t="s">
        <v>421</v>
      </c>
      <c r="C69" s="58">
        <v>307.49</v>
      </c>
      <c r="D69" s="58">
        <v>307.81</v>
      </c>
      <c r="E69" s="58">
        <v>2116.1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8">
        <v>2731.4</v>
      </c>
      <c r="P69" s="57">
        <v>0</v>
      </c>
      <c r="Q69" s="58">
        <v>-2731.4</v>
      </c>
      <c r="R69" s="57">
        <v>0</v>
      </c>
      <c r="S69" s="57">
        <v>0</v>
      </c>
      <c r="T69" s="57">
        <v>0</v>
      </c>
      <c r="U69" s="57">
        <v>0</v>
      </c>
    </row>
    <row r="70" spans="2:21" outlineLevel="1" x14ac:dyDescent="0.25">
      <c r="B70" s="56" t="s">
        <v>515</v>
      </c>
      <c r="C70" s="58">
        <v>2765.1</v>
      </c>
      <c r="D70" s="58">
        <v>1952.32</v>
      </c>
      <c r="E70" s="58">
        <v>2073.4499999999998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  <c r="O70" s="58">
        <v>6790.87</v>
      </c>
      <c r="P70" s="57">
        <v>0</v>
      </c>
      <c r="Q70" s="58">
        <v>-6790.87</v>
      </c>
      <c r="R70" s="57">
        <v>0</v>
      </c>
      <c r="S70" s="57">
        <v>0</v>
      </c>
      <c r="T70" s="57">
        <v>0</v>
      </c>
      <c r="U70" s="57">
        <v>0</v>
      </c>
    </row>
    <row r="71" spans="2:21" outlineLevel="1" x14ac:dyDescent="0.25">
      <c r="B71" s="56" t="s">
        <v>516</v>
      </c>
      <c r="C71" s="58">
        <v>458.76</v>
      </c>
      <c r="D71" s="58">
        <v>307.89999999999998</v>
      </c>
      <c r="E71" s="58">
        <v>180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8">
        <v>946.66</v>
      </c>
      <c r="P71" s="57">
        <v>0</v>
      </c>
      <c r="Q71" s="58">
        <v>-946.66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5">
      <c r="B72" s="53" t="s">
        <v>579</v>
      </c>
      <c r="C72" s="54">
        <v>3531.35</v>
      </c>
      <c r="D72" s="54">
        <v>2568.0300000000002</v>
      </c>
      <c r="E72" s="54">
        <v>4369.55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4">
        <v>10468.93</v>
      </c>
      <c r="P72" s="54">
        <v>31572.03</v>
      </c>
      <c r="Q72" s="54">
        <v>21103.1</v>
      </c>
      <c r="R72" s="54">
        <v>60747.89</v>
      </c>
      <c r="S72" s="54">
        <v>66.841099999999997</v>
      </c>
      <c r="T72" s="54">
        <v>22336.01</v>
      </c>
      <c r="U72" s="55">
        <v>0</v>
      </c>
    </row>
    <row r="73" spans="2:21" outlineLevel="1" x14ac:dyDescent="0.25">
      <c r="B73" s="56" t="s">
        <v>439</v>
      </c>
      <c r="C73" s="58">
        <v>115.61</v>
      </c>
      <c r="D73" s="58">
        <v>398.98</v>
      </c>
      <c r="E73" s="58">
        <v>262.66000000000003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8">
        <v>777.25</v>
      </c>
      <c r="P73" s="58">
        <v>360</v>
      </c>
      <c r="Q73" s="58">
        <v>-417.25</v>
      </c>
      <c r="R73" s="58">
        <v>1440</v>
      </c>
      <c r="S73" s="58">
        <v>-115.9028</v>
      </c>
      <c r="T73" s="58">
        <v>120</v>
      </c>
      <c r="U73" s="57">
        <v>0</v>
      </c>
    </row>
    <row r="74" spans="2:21" x14ac:dyDescent="0.25">
      <c r="B74" s="53" t="s">
        <v>580</v>
      </c>
      <c r="C74" s="54">
        <v>115.61</v>
      </c>
      <c r="D74" s="54">
        <v>398.98</v>
      </c>
      <c r="E74" s="54">
        <v>262.66000000000003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4">
        <v>777.25</v>
      </c>
      <c r="P74" s="54">
        <v>360</v>
      </c>
      <c r="Q74" s="54">
        <v>-417.25</v>
      </c>
      <c r="R74" s="54">
        <v>1440</v>
      </c>
      <c r="S74" s="54">
        <v>-115.9028</v>
      </c>
      <c r="T74" s="54">
        <v>120</v>
      </c>
      <c r="U74" s="55">
        <v>0</v>
      </c>
    </row>
    <row r="75" spans="2:21" outlineLevel="1" x14ac:dyDescent="0.25">
      <c r="B75" s="56" t="s">
        <v>581</v>
      </c>
      <c r="C75" s="57">
        <v>0</v>
      </c>
      <c r="D75" s="58">
        <v>3559.29</v>
      </c>
      <c r="E75" s="58">
        <v>362.58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8">
        <v>3921.87</v>
      </c>
      <c r="P75" s="58">
        <v>3510</v>
      </c>
      <c r="Q75" s="58">
        <v>-411.87</v>
      </c>
      <c r="R75" s="58">
        <v>14040</v>
      </c>
      <c r="S75" s="58">
        <v>-11.7342</v>
      </c>
      <c r="T75" s="58">
        <v>1170</v>
      </c>
      <c r="U75" s="57">
        <v>0</v>
      </c>
    </row>
    <row r="76" spans="2:21" outlineLevel="1" x14ac:dyDescent="0.25">
      <c r="B76" s="56" t="s">
        <v>582</v>
      </c>
      <c r="C76" s="58">
        <v>1063.3599999999999</v>
      </c>
      <c r="D76" s="58">
        <v>1063.3599999999999</v>
      </c>
      <c r="E76" s="58">
        <v>1063.3599999999999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8">
        <v>3190.08</v>
      </c>
      <c r="P76" s="57">
        <v>0</v>
      </c>
      <c r="Q76" s="58">
        <v>-3190.08</v>
      </c>
      <c r="R76" s="57">
        <v>0</v>
      </c>
      <c r="S76" s="57">
        <v>0</v>
      </c>
      <c r="T76" s="57">
        <v>0</v>
      </c>
      <c r="U76" s="57">
        <v>0</v>
      </c>
    </row>
    <row r="77" spans="2:21" x14ac:dyDescent="0.25">
      <c r="B77" s="53" t="s">
        <v>583</v>
      </c>
      <c r="C77" s="54">
        <v>1063.3599999999999</v>
      </c>
      <c r="D77" s="54">
        <v>4622.6499999999996</v>
      </c>
      <c r="E77" s="54">
        <v>1425.94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4">
        <v>7111.95</v>
      </c>
      <c r="P77" s="54">
        <v>3510</v>
      </c>
      <c r="Q77" s="54">
        <v>-3601.95</v>
      </c>
      <c r="R77" s="54">
        <v>14040</v>
      </c>
      <c r="S77" s="54">
        <v>-102.61969999999999</v>
      </c>
      <c r="T77" s="54">
        <v>1170</v>
      </c>
      <c r="U77" s="55">
        <v>0</v>
      </c>
    </row>
    <row r="78" spans="2:21" outlineLevel="1" x14ac:dyDescent="0.25">
      <c r="B78" s="56" t="s">
        <v>584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8">
        <v>1229.58</v>
      </c>
      <c r="Q78" s="58">
        <v>1229.58</v>
      </c>
      <c r="R78" s="58">
        <v>4918.32</v>
      </c>
      <c r="S78" s="58">
        <v>100</v>
      </c>
      <c r="T78" s="58">
        <v>409.86</v>
      </c>
      <c r="U78" s="57">
        <v>0</v>
      </c>
    </row>
    <row r="79" spans="2:21" outlineLevel="1" x14ac:dyDescent="0.25">
      <c r="B79" s="56" t="s">
        <v>585</v>
      </c>
      <c r="C79" s="58">
        <v>30.56</v>
      </c>
      <c r="D79" s="58">
        <v>30.56</v>
      </c>
      <c r="E79" s="58">
        <v>30.56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8">
        <v>91.68</v>
      </c>
      <c r="P79" s="57">
        <v>0</v>
      </c>
      <c r="Q79" s="58">
        <v>-91.68</v>
      </c>
      <c r="R79" s="57">
        <v>0</v>
      </c>
      <c r="S79" s="57">
        <v>0</v>
      </c>
      <c r="T79" s="57">
        <v>0</v>
      </c>
      <c r="U79" s="57">
        <v>0</v>
      </c>
    </row>
    <row r="80" spans="2:21" outlineLevel="1" x14ac:dyDescent="0.25">
      <c r="B80" s="56" t="s">
        <v>510</v>
      </c>
      <c r="C80" s="58">
        <v>350.41</v>
      </c>
      <c r="D80" s="58">
        <v>350.43</v>
      </c>
      <c r="E80" s="58">
        <v>350.41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1051.25</v>
      </c>
      <c r="P80" s="57">
        <v>0</v>
      </c>
      <c r="Q80" s="58">
        <v>-1051.25</v>
      </c>
      <c r="R80" s="57">
        <v>0</v>
      </c>
      <c r="S80" s="57">
        <v>0</v>
      </c>
      <c r="T80" s="57">
        <v>0</v>
      </c>
      <c r="U80" s="57">
        <v>0</v>
      </c>
    </row>
    <row r="81" spans="2:21" outlineLevel="1" x14ac:dyDescent="0.25">
      <c r="B81" s="56" t="s">
        <v>512</v>
      </c>
      <c r="C81" s="58">
        <v>53.93</v>
      </c>
      <c r="D81" s="58">
        <v>53.93</v>
      </c>
      <c r="E81" s="58">
        <v>53.92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8">
        <v>161.78</v>
      </c>
      <c r="P81" s="57">
        <v>0</v>
      </c>
      <c r="Q81" s="58">
        <v>-161.78</v>
      </c>
      <c r="R81" s="57">
        <v>0</v>
      </c>
      <c r="S81" s="57">
        <v>0</v>
      </c>
      <c r="T81" s="57">
        <v>0</v>
      </c>
      <c r="U81" s="57">
        <v>0</v>
      </c>
    </row>
    <row r="82" spans="2:21" outlineLevel="1" x14ac:dyDescent="0.25">
      <c r="B82" s="56" t="s">
        <v>513</v>
      </c>
      <c r="C82" s="58">
        <v>7.17</v>
      </c>
      <c r="D82" s="58">
        <v>7.16</v>
      </c>
      <c r="E82" s="58">
        <v>7.17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8">
        <v>21.5</v>
      </c>
      <c r="P82" s="57">
        <v>0</v>
      </c>
      <c r="Q82" s="58">
        <v>-21.5</v>
      </c>
      <c r="R82" s="57">
        <v>0</v>
      </c>
      <c r="S82" s="57">
        <v>0</v>
      </c>
      <c r="T82" s="57">
        <v>0</v>
      </c>
      <c r="U82" s="57">
        <v>0</v>
      </c>
    </row>
    <row r="83" spans="2:21" x14ac:dyDescent="0.25">
      <c r="B83" s="53" t="s">
        <v>586</v>
      </c>
      <c r="C83" s="54">
        <v>442.07</v>
      </c>
      <c r="D83" s="54">
        <v>442.08</v>
      </c>
      <c r="E83" s="54">
        <v>442.06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5">
        <v>0</v>
      </c>
      <c r="N83" s="55">
        <v>0</v>
      </c>
      <c r="O83" s="54">
        <v>1326.21</v>
      </c>
      <c r="P83" s="54">
        <v>1229.58</v>
      </c>
      <c r="Q83" s="54">
        <v>-96.63</v>
      </c>
      <c r="R83" s="54">
        <v>4918.32</v>
      </c>
      <c r="S83" s="54">
        <v>-7.8587999999999996</v>
      </c>
      <c r="T83" s="54">
        <v>409.86</v>
      </c>
      <c r="U83" s="55">
        <v>0</v>
      </c>
    </row>
    <row r="84" spans="2:21" x14ac:dyDescent="0.25">
      <c r="B84" s="53" t="s">
        <v>444</v>
      </c>
      <c r="C84" s="54">
        <v>-25312</v>
      </c>
      <c r="D84" s="54">
        <v>-25312</v>
      </c>
      <c r="E84" s="54">
        <v>-25312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4">
        <v>-75936</v>
      </c>
      <c r="P84" s="54">
        <v>-75936</v>
      </c>
      <c r="Q84" s="55">
        <v>0</v>
      </c>
      <c r="R84" s="54">
        <v>-303744</v>
      </c>
      <c r="S84" s="55">
        <v>0</v>
      </c>
      <c r="T84" s="54">
        <v>-25312</v>
      </c>
      <c r="U84" s="55">
        <v>0</v>
      </c>
    </row>
    <row r="85" spans="2:21" x14ac:dyDescent="0.25">
      <c r="B85" s="56" t="s">
        <v>587</v>
      </c>
      <c r="C85" s="58">
        <v>-25312</v>
      </c>
      <c r="D85" s="58">
        <v>-25312</v>
      </c>
      <c r="E85" s="58">
        <v>-25312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8">
        <v>-75936</v>
      </c>
      <c r="P85" s="58">
        <v>-75936</v>
      </c>
      <c r="Q85" s="57">
        <v>0</v>
      </c>
      <c r="R85" s="58">
        <v>-303744</v>
      </c>
      <c r="S85" s="57">
        <v>0</v>
      </c>
      <c r="T85" s="58">
        <v>-25312</v>
      </c>
      <c r="U85" s="57">
        <v>0</v>
      </c>
    </row>
    <row r="86" spans="2:21" x14ac:dyDescent="0.25">
      <c r="B86" s="53" t="s">
        <v>445</v>
      </c>
      <c r="C86" s="54">
        <v>114668.52</v>
      </c>
      <c r="D86" s="54">
        <v>134254.6</v>
      </c>
      <c r="E86" s="54">
        <v>117455.56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4">
        <v>366378.68</v>
      </c>
      <c r="P86" s="54">
        <v>305801.67</v>
      </c>
      <c r="Q86" s="54">
        <v>-60577.01</v>
      </c>
      <c r="R86" s="54">
        <v>1089986.3500000001</v>
      </c>
      <c r="S86" s="54">
        <v>-19.809200000000001</v>
      </c>
      <c r="T86" s="54">
        <v>106310.02</v>
      </c>
      <c r="U86" s="55">
        <v>0</v>
      </c>
    </row>
    <row r="87" spans="2:21" x14ac:dyDescent="0.25">
      <c r="B87" s="53" t="s">
        <v>452</v>
      </c>
      <c r="C87" s="54">
        <v>5452.95</v>
      </c>
      <c r="D87" s="54">
        <v>-42177.23</v>
      </c>
      <c r="E87" s="54">
        <v>-13284.71</v>
      </c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0</v>
      </c>
      <c r="L87" s="55">
        <v>0</v>
      </c>
      <c r="M87" s="55">
        <v>0</v>
      </c>
      <c r="N87" s="55">
        <v>0</v>
      </c>
      <c r="O87" s="54">
        <v>-50008.99</v>
      </c>
      <c r="P87" s="54">
        <v>-56708.49</v>
      </c>
      <c r="Q87" s="54">
        <v>-6699.5</v>
      </c>
      <c r="R87" s="54">
        <v>-84093.48</v>
      </c>
      <c r="S87" s="54">
        <v>11.8139</v>
      </c>
      <c r="T87" s="54">
        <v>-18902.830000000002</v>
      </c>
      <c r="U87" s="55">
        <v>0</v>
      </c>
    </row>
    <row r="88" spans="2:21" outlineLevel="1" x14ac:dyDescent="0.25">
      <c r="B88" s="56" t="s">
        <v>588</v>
      </c>
      <c r="C88" s="58">
        <v>-2150.23</v>
      </c>
      <c r="D88" s="58">
        <v>-10447.41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8">
        <v>-12597.64</v>
      </c>
      <c r="P88" s="57">
        <v>0</v>
      </c>
      <c r="Q88" s="58">
        <v>12597.64</v>
      </c>
      <c r="R88" s="57">
        <v>0</v>
      </c>
      <c r="S88" s="57">
        <v>0</v>
      </c>
      <c r="T88" s="57">
        <v>0</v>
      </c>
      <c r="U88" s="57">
        <v>0</v>
      </c>
    </row>
    <row r="89" spans="2:21" outlineLevel="1" x14ac:dyDescent="0.25">
      <c r="B89" s="56" t="s">
        <v>589</v>
      </c>
      <c r="C89" s="58">
        <v>-13340.67</v>
      </c>
      <c r="D89" s="58">
        <v>-13879.39</v>
      </c>
      <c r="E89" s="58">
        <v>-17151.87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7">
        <v>0</v>
      </c>
      <c r="M89" s="57">
        <v>0</v>
      </c>
      <c r="N89" s="57">
        <v>0</v>
      </c>
      <c r="O89" s="58">
        <v>-44371.93</v>
      </c>
      <c r="P89" s="58">
        <v>-55795.38</v>
      </c>
      <c r="Q89" s="58">
        <v>-11423.45</v>
      </c>
      <c r="R89" s="58">
        <v>-168732.24</v>
      </c>
      <c r="S89" s="58">
        <v>20.473800000000001</v>
      </c>
      <c r="T89" s="58">
        <v>-18598.46</v>
      </c>
      <c r="U89" s="57">
        <v>0</v>
      </c>
    </row>
    <row r="90" spans="2:21" x14ac:dyDescent="0.25">
      <c r="B90" s="53" t="s">
        <v>590</v>
      </c>
      <c r="C90" s="54">
        <v>-15490.9</v>
      </c>
      <c r="D90" s="54">
        <v>-24326.799999999999</v>
      </c>
      <c r="E90" s="54">
        <v>-17151.87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5">
        <v>0</v>
      </c>
      <c r="M90" s="55">
        <v>0</v>
      </c>
      <c r="N90" s="55">
        <v>0</v>
      </c>
      <c r="O90" s="54">
        <v>-56969.57</v>
      </c>
      <c r="P90" s="54">
        <v>-55795.38</v>
      </c>
      <c r="Q90" s="54">
        <v>1174.19</v>
      </c>
      <c r="R90" s="54">
        <v>-168732.24</v>
      </c>
      <c r="S90" s="54">
        <v>-2.1044999999999998</v>
      </c>
      <c r="T90" s="54">
        <v>-18598.46</v>
      </c>
      <c r="U90" s="55">
        <v>0</v>
      </c>
    </row>
    <row r="91" spans="2:21" outlineLevel="1" x14ac:dyDescent="0.25">
      <c r="B91" s="56" t="s">
        <v>591</v>
      </c>
      <c r="C91" s="58">
        <v>789.17</v>
      </c>
      <c r="D91" s="58">
        <v>689.15</v>
      </c>
      <c r="E91" s="58">
        <v>839.21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7">
        <v>0</v>
      </c>
      <c r="M91" s="57">
        <v>0</v>
      </c>
      <c r="N91" s="57">
        <v>0</v>
      </c>
      <c r="O91" s="58">
        <v>2317.5300000000002</v>
      </c>
      <c r="P91" s="57">
        <v>0</v>
      </c>
      <c r="Q91" s="58">
        <v>-2317.5300000000002</v>
      </c>
      <c r="R91" s="57">
        <v>0</v>
      </c>
      <c r="S91" s="57">
        <v>0</v>
      </c>
      <c r="T91" s="57">
        <v>0</v>
      </c>
      <c r="U91" s="57">
        <v>0</v>
      </c>
    </row>
    <row r="92" spans="2:21" outlineLevel="1" x14ac:dyDescent="0.25">
      <c r="B92" s="56" t="s">
        <v>453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7">
        <v>0</v>
      </c>
      <c r="P92" s="58">
        <v>3286.89</v>
      </c>
      <c r="Q92" s="58">
        <v>3286.89</v>
      </c>
      <c r="R92" s="58">
        <v>23572.560000000001</v>
      </c>
      <c r="S92" s="58">
        <v>100</v>
      </c>
      <c r="T92" s="58">
        <v>1095.6300000000001</v>
      </c>
      <c r="U92" s="57">
        <v>0</v>
      </c>
    </row>
    <row r="93" spans="2:21" outlineLevel="1" x14ac:dyDescent="0.25">
      <c r="B93" s="56" t="s">
        <v>592</v>
      </c>
      <c r="C93" s="58">
        <v>154.74</v>
      </c>
      <c r="D93" s="58">
        <v>218.53</v>
      </c>
      <c r="E93" s="58">
        <v>311.48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8">
        <v>684.75</v>
      </c>
      <c r="P93" s="57">
        <v>0</v>
      </c>
      <c r="Q93" s="58">
        <v>-684.75</v>
      </c>
      <c r="R93" s="57">
        <v>0</v>
      </c>
      <c r="S93" s="57">
        <v>0</v>
      </c>
      <c r="T93" s="57">
        <v>0</v>
      </c>
      <c r="U93" s="57">
        <v>0</v>
      </c>
    </row>
    <row r="94" spans="2:21" x14ac:dyDescent="0.25">
      <c r="B94" s="53" t="s">
        <v>455</v>
      </c>
      <c r="C94" s="54">
        <v>943.91</v>
      </c>
      <c r="D94" s="54">
        <v>907.68</v>
      </c>
      <c r="E94" s="54">
        <v>1150.69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 s="55">
        <v>0</v>
      </c>
      <c r="N94" s="55">
        <v>0</v>
      </c>
      <c r="O94" s="54">
        <v>3002.28</v>
      </c>
      <c r="P94" s="54">
        <v>3286.89</v>
      </c>
      <c r="Q94" s="54">
        <v>284.61</v>
      </c>
      <c r="R94" s="54">
        <v>23572.560000000001</v>
      </c>
      <c r="S94" s="54">
        <v>8.6588999999999992</v>
      </c>
      <c r="T94" s="54">
        <v>1095.6300000000001</v>
      </c>
      <c r="U94" s="55">
        <v>0</v>
      </c>
    </row>
    <row r="95" spans="2:21" outlineLevel="1" x14ac:dyDescent="0.25">
      <c r="B95" s="56" t="s">
        <v>593</v>
      </c>
      <c r="C95" s="58">
        <v>1.2</v>
      </c>
      <c r="D95" s="58">
        <v>0.6</v>
      </c>
      <c r="E95" s="58">
        <v>0.3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7">
        <v>0</v>
      </c>
      <c r="M95" s="57">
        <v>0</v>
      </c>
      <c r="N95" s="57">
        <v>0</v>
      </c>
      <c r="O95" s="58">
        <v>2.1</v>
      </c>
      <c r="P95" s="57">
        <v>0</v>
      </c>
      <c r="Q95" s="58">
        <v>-2.1</v>
      </c>
      <c r="R95" s="57">
        <v>0</v>
      </c>
      <c r="S95" s="57">
        <v>0</v>
      </c>
      <c r="T95" s="57">
        <v>0</v>
      </c>
      <c r="U95" s="57">
        <v>0</v>
      </c>
    </row>
    <row r="96" spans="2:21" outlineLevel="1" x14ac:dyDescent="0.25">
      <c r="B96" s="56" t="s">
        <v>594</v>
      </c>
      <c r="C96" s="58">
        <v>0.23</v>
      </c>
      <c r="D96" s="58">
        <v>1.18</v>
      </c>
      <c r="E96" s="58">
        <v>0.85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8">
        <v>2.2599999999999998</v>
      </c>
      <c r="P96" s="57">
        <v>0</v>
      </c>
      <c r="Q96" s="58">
        <v>-2.2599999999999998</v>
      </c>
      <c r="R96" s="57">
        <v>0</v>
      </c>
      <c r="S96" s="57">
        <v>0</v>
      </c>
      <c r="T96" s="57">
        <v>0</v>
      </c>
      <c r="U96" s="57">
        <v>0</v>
      </c>
    </row>
    <row r="97" spans="2:21" outlineLevel="1" x14ac:dyDescent="0.25">
      <c r="B97" s="56" t="s">
        <v>608</v>
      </c>
      <c r="C97" s="57">
        <v>0</v>
      </c>
      <c r="D97" s="58">
        <v>3675</v>
      </c>
      <c r="E97" s="58">
        <v>1988.46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8">
        <v>5663.46</v>
      </c>
      <c r="P97" s="57">
        <v>0</v>
      </c>
      <c r="Q97" s="58">
        <v>-5663.46</v>
      </c>
      <c r="R97" s="57">
        <v>0</v>
      </c>
      <c r="S97" s="57">
        <v>0</v>
      </c>
      <c r="T97" s="57">
        <v>0</v>
      </c>
      <c r="U97" s="57">
        <v>0</v>
      </c>
    </row>
    <row r="98" spans="2:21" outlineLevel="1" x14ac:dyDescent="0.25">
      <c r="B98" s="56" t="s">
        <v>595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8">
        <v>1800</v>
      </c>
      <c r="Q98" s="58">
        <v>1800</v>
      </c>
      <c r="R98" s="58">
        <v>85066.2</v>
      </c>
      <c r="S98" s="58">
        <v>100</v>
      </c>
      <c r="T98" s="58">
        <v>600</v>
      </c>
      <c r="U98" s="57">
        <v>0</v>
      </c>
    </row>
    <row r="99" spans="2:21" outlineLevel="1" x14ac:dyDescent="0.25">
      <c r="B99" s="56" t="s">
        <v>596</v>
      </c>
      <c r="C99" s="58">
        <v>-0.36</v>
      </c>
      <c r="D99" s="58">
        <v>-0.1</v>
      </c>
      <c r="E99" s="58">
        <v>-0.32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8">
        <v>-0.78</v>
      </c>
      <c r="P99" s="57">
        <v>0</v>
      </c>
      <c r="Q99" s="58">
        <v>0.78</v>
      </c>
      <c r="R99" s="57">
        <v>0</v>
      </c>
      <c r="S99" s="57">
        <v>0</v>
      </c>
      <c r="T99" s="57">
        <v>0</v>
      </c>
      <c r="U99" s="57">
        <v>0</v>
      </c>
    </row>
    <row r="100" spans="2:21" outlineLevel="1" x14ac:dyDescent="0.25">
      <c r="B100" s="56" t="s">
        <v>613</v>
      </c>
      <c r="C100" s="57">
        <v>0</v>
      </c>
      <c r="D100" s="57">
        <v>0</v>
      </c>
      <c r="E100" s="58">
        <v>-1.85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8">
        <v>-1.85</v>
      </c>
      <c r="P100" s="57">
        <v>0</v>
      </c>
      <c r="Q100" s="58">
        <v>1.85</v>
      </c>
      <c r="R100" s="57">
        <v>0</v>
      </c>
      <c r="S100" s="57">
        <v>0</v>
      </c>
      <c r="T100" s="57">
        <v>0</v>
      </c>
      <c r="U100" s="57">
        <v>0</v>
      </c>
    </row>
    <row r="101" spans="2:21" x14ac:dyDescent="0.25">
      <c r="B101" s="53" t="s">
        <v>520</v>
      </c>
      <c r="C101" s="54">
        <v>1.07</v>
      </c>
      <c r="D101" s="54">
        <v>3676.68</v>
      </c>
      <c r="E101" s="54">
        <v>1987.44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4">
        <v>5665.19</v>
      </c>
      <c r="P101" s="54">
        <v>1800</v>
      </c>
      <c r="Q101" s="54">
        <v>-3865.19</v>
      </c>
      <c r="R101" s="54">
        <v>85066.2</v>
      </c>
      <c r="S101" s="54">
        <v>-214.7328</v>
      </c>
      <c r="T101" s="54">
        <v>600</v>
      </c>
      <c r="U101" s="55">
        <v>0</v>
      </c>
    </row>
    <row r="102" spans="2:21" outlineLevel="1" x14ac:dyDescent="0.25">
      <c r="B102" s="56" t="s">
        <v>597</v>
      </c>
      <c r="C102" s="58">
        <v>-22749.98</v>
      </c>
      <c r="D102" s="58">
        <v>-3636.49</v>
      </c>
      <c r="E102" s="58">
        <v>342714.47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8">
        <v>316328</v>
      </c>
      <c r="P102" s="58">
        <v>-6000</v>
      </c>
      <c r="Q102" s="58">
        <v>-322328</v>
      </c>
      <c r="R102" s="58">
        <v>-24000</v>
      </c>
      <c r="S102" s="58">
        <v>5372.1333000000004</v>
      </c>
      <c r="T102" s="58">
        <v>-2000</v>
      </c>
      <c r="U102" s="57">
        <v>0</v>
      </c>
    </row>
    <row r="103" spans="2:21" outlineLevel="1" x14ac:dyDescent="0.25">
      <c r="B103" s="56" t="s">
        <v>598</v>
      </c>
      <c r="C103" s="58">
        <v>43098.42</v>
      </c>
      <c r="D103" s="58">
        <v>-21261.3</v>
      </c>
      <c r="E103" s="58">
        <v>-383158.83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8">
        <v>-361321.71</v>
      </c>
      <c r="P103" s="57">
        <v>0</v>
      </c>
      <c r="Q103" s="58">
        <v>361321.71</v>
      </c>
      <c r="R103" s="57">
        <v>0</v>
      </c>
      <c r="S103" s="57">
        <v>0</v>
      </c>
      <c r="T103" s="57">
        <v>0</v>
      </c>
      <c r="U103" s="57">
        <v>0</v>
      </c>
    </row>
    <row r="104" spans="2:21" outlineLevel="1" x14ac:dyDescent="0.25">
      <c r="B104" s="56" t="s">
        <v>527</v>
      </c>
      <c r="C104" s="58">
        <v>-4841.9399999999996</v>
      </c>
      <c r="D104" s="58">
        <v>1097.8800000000001</v>
      </c>
      <c r="E104" s="58">
        <v>-7984.83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8">
        <v>-11728.89</v>
      </c>
      <c r="P104" s="57">
        <v>0</v>
      </c>
      <c r="Q104" s="58">
        <v>11728.89</v>
      </c>
      <c r="R104" s="57">
        <v>0</v>
      </c>
      <c r="S104" s="57">
        <v>0</v>
      </c>
      <c r="T104" s="57">
        <v>0</v>
      </c>
      <c r="U104" s="57">
        <v>0</v>
      </c>
    </row>
    <row r="105" spans="2:21" outlineLevel="1" x14ac:dyDescent="0.25">
      <c r="B105" s="56" t="s">
        <v>599</v>
      </c>
      <c r="C105" s="58">
        <v>-1435.47</v>
      </c>
      <c r="D105" s="58">
        <v>-2113.85</v>
      </c>
      <c r="E105" s="58">
        <v>3549.32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</row>
    <row r="106" spans="2:21" outlineLevel="1" x14ac:dyDescent="0.25">
      <c r="B106" s="56" t="s">
        <v>600</v>
      </c>
      <c r="C106" s="58">
        <v>5937.8</v>
      </c>
      <c r="D106" s="58">
        <v>3478.97</v>
      </c>
      <c r="E106" s="58">
        <v>9898.9599999999991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8">
        <v>19315.73</v>
      </c>
      <c r="P106" s="57">
        <v>0</v>
      </c>
      <c r="Q106" s="58">
        <v>-19315.73</v>
      </c>
      <c r="R106" s="57">
        <v>0</v>
      </c>
      <c r="S106" s="57">
        <v>0</v>
      </c>
      <c r="T106" s="57">
        <v>0</v>
      </c>
      <c r="U106" s="57">
        <v>0</v>
      </c>
    </row>
    <row r="107" spans="2:21" outlineLevel="1" x14ac:dyDescent="0.25">
      <c r="B107" s="56" t="s">
        <v>601</v>
      </c>
      <c r="C107" s="58">
        <v>-9.9600000000000009</v>
      </c>
      <c r="D107" s="57">
        <v>0</v>
      </c>
      <c r="E107" s="58">
        <v>35709.94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8">
        <v>35699.980000000003</v>
      </c>
      <c r="P107" s="57">
        <v>0</v>
      </c>
      <c r="Q107" s="58">
        <v>-35699.980000000003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5">
      <c r="B108" s="53" t="s">
        <v>528</v>
      </c>
      <c r="C108" s="54">
        <v>19998.87</v>
      </c>
      <c r="D108" s="54">
        <v>-22434.79</v>
      </c>
      <c r="E108" s="54">
        <v>729.03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4">
        <v>-1706.89</v>
      </c>
      <c r="P108" s="54">
        <v>-6000</v>
      </c>
      <c r="Q108" s="54">
        <v>-4293.1099999999997</v>
      </c>
      <c r="R108" s="54">
        <v>-24000</v>
      </c>
      <c r="S108" s="54">
        <v>71.5518</v>
      </c>
      <c r="T108" s="54">
        <v>-2000</v>
      </c>
      <c r="U108" s="55">
        <v>0</v>
      </c>
    </row>
    <row r="109" spans="2:21" x14ac:dyDescent="0.25">
      <c r="B109" s="59" t="s">
        <v>521</v>
      </c>
      <c r="C109" s="60">
        <v>120121.47</v>
      </c>
      <c r="D109" s="60">
        <v>92077.37</v>
      </c>
      <c r="E109" s="60">
        <v>104170.85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0">
        <v>316369.69</v>
      </c>
      <c r="P109" s="60">
        <v>249093.18</v>
      </c>
      <c r="Q109" s="60">
        <v>-67276.509999999995</v>
      </c>
      <c r="R109" s="60">
        <v>1005892.87</v>
      </c>
      <c r="S109" s="60">
        <v>-27.008600000000001</v>
      </c>
      <c r="T109" s="60">
        <v>87407.19</v>
      </c>
      <c r="U109" s="61">
        <v>0</v>
      </c>
    </row>
    <row r="110" spans="2:21" x14ac:dyDescent="0.25">
      <c r="B110" s="53" t="s">
        <v>522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5">
        <v>0</v>
      </c>
      <c r="M110" s="55">
        <v>0</v>
      </c>
      <c r="N110" s="55">
        <v>0</v>
      </c>
      <c r="O110" s="55">
        <v>0</v>
      </c>
      <c r="P110" s="55">
        <v>0</v>
      </c>
      <c r="Q110" s="55">
        <v>0</v>
      </c>
      <c r="R110" s="55">
        <v>0</v>
      </c>
      <c r="S110" s="55">
        <v>0</v>
      </c>
      <c r="T110" s="55">
        <v>0</v>
      </c>
      <c r="U110" s="55">
        <v>0</v>
      </c>
    </row>
    <row r="111" spans="2:21" x14ac:dyDescent="0.25">
      <c r="B111" s="53" t="s">
        <v>538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5">
        <v>0</v>
      </c>
      <c r="P111" s="55">
        <v>0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</row>
    <row r="112" spans="2:21" x14ac:dyDescent="0.25">
      <c r="B112" s="53" t="s">
        <v>539</v>
      </c>
      <c r="C112" s="55">
        <v>0</v>
      </c>
      <c r="D112" s="55">
        <v>0</v>
      </c>
      <c r="E112" s="55">
        <v>0</v>
      </c>
      <c r="F112" s="55">
        <v>0</v>
      </c>
      <c r="G112" s="55">
        <v>0</v>
      </c>
      <c r="H112" s="55">
        <v>0</v>
      </c>
      <c r="I112" s="55">
        <v>0</v>
      </c>
      <c r="J112" s="55">
        <v>0</v>
      </c>
      <c r="K112" s="55">
        <v>0</v>
      </c>
      <c r="L112" s="55">
        <v>0</v>
      </c>
      <c r="M112" s="55">
        <v>0</v>
      </c>
      <c r="N112" s="55">
        <v>0</v>
      </c>
      <c r="O112" s="55">
        <v>0</v>
      </c>
      <c r="P112" s="55">
        <v>0</v>
      </c>
      <c r="Q112" s="55">
        <v>0</v>
      </c>
      <c r="R112" s="55">
        <v>0</v>
      </c>
      <c r="S112" s="55">
        <v>0</v>
      </c>
      <c r="T112" s="55">
        <v>0</v>
      </c>
      <c r="U112" s="55">
        <v>0</v>
      </c>
    </row>
    <row r="113" spans="2:21" x14ac:dyDescent="0.25">
      <c r="B113" s="53" t="s">
        <v>448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0</v>
      </c>
      <c r="R113" s="55">
        <v>0</v>
      </c>
      <c r="S113" s="55">
        <v>0</v>
      </c>
      <c r="T113" s="55">
        <v>0</v>
      </c>
      <c r="U113" s="55">
        <v>0</v>
      </c>
    </row>
    <row r="114" spans="2:21" x14ac:dyDescent="0.25">
      <c r="B114" s="59" t="s">
        <v>450</v>
      </c>
      <c r="C114" s="60">
        <v>114226.45</v>
      </c>
      <c r="D114" s="60">
        <v>133812.51999999999</v>
      </c>
      <c r="E114" s="60">
        <v>117013.5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0">
        <v>365052.47</v>
      </c>
      <c r="P114" s="60">
        <v>304572.09000000003</v>
      </c>
      <c r="Q114" s="60">
        <v>-60480.38</v>
      </c>
      <c r="R114" s="60">
        <v>1085068.03</v>
      </c>
      <c r="S114" s="60">
        <v>-19.857500000000002</v>
      </c>
      <c r="T114" s="60">
        <v>105900.16</v>
      </c>
      <c r="U114" s="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0547-AE62-43E5-ABFC-AED6C1665378}">
  <sheetPr codeName="Hoja15"/>
  <dimension ref="B2:U126"/>
  <sheetViews>
    <sheetView workbookViewId="0">
      <selection activeCell="M18" sqref="M18:T131"/>
    </sheetView>
  </sheetViews>
  <sheetFormatPr baseColWidth="10" defaultRowHeight="13.2" x14ac:dyDescent="0.25"/>
  <sheetData>
    <row r="2" spans="2:21" ht="13.8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5">
      <c r="B3" s="53" t="s">
        <v>178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</row>
    <row r="4" spans="2:21" x14ac:dyDescent="0.25">
      <c r="B4" s="53" t="s">
        <v>190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</row>
    <row r="5" spans="2:21" x14ac:dyDescent="0.25">
      <c r="B5" s="56" t="s">
        <v>468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5">
      <c r="B6" s="53" t="s">
        <v>192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</row>
    <row r="7" spans="2:21" x14ac:dyDescent="0.25">
      <c r="B7" s="53" t="s">
        <v>459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</row>
    <row r="8" spans="2:21" x14ac:dyDescent="0.25">
      <c r="B8" s="53" t="s">
        <v>203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</row>
    <row r="9" spans="2:21" x14ac:dyDescent="0.25">
      <c r="B9" s="53" t="s">
        <v>204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</row>
    <row r="10" spans="2:21" x14ac:dyDescent="0.25">
      <c r="B10" s="53" t="s">
        <v>460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</row>
    <row r="11" spans="2:21" x14ac:dyDescent="0.25">
      <c r="B11" s="53" t="s">
        <v>461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</row>
    <row r="12" spans="2:21" x14ac:dyDescent="0.25">
      <c r="B12" s="53" t="s">
        <v>462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</row>
    <row r="13" spans="2:21" x14ac:dyDescent="0.25">
      <c r="B13" s="53" t="s">
        <v>463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</row>
    <row r="14" spans="2:21" x14ac:dyDescent="0.25">
      <c r="B14" s="53" t="s">
        <v>464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</row>
    <row r="15" spans="2:21" x14ac:dyDescent="0.25">
      <c r="B15" s="53" t="s">
        <v>280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5">
      <c r="B16" s="53" t="s">
        <v>465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</row>
    <row r="17" spans="2:21" x14ac:dyDescent="0.25">
      <c r="B17" s="53" t="s">
        <v>302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</row>
    <row r="18" spans="2:21" x14ac:dyDescent="0.25">
      <c r="B18" s="53" t="s">
        <v>303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451711.63</v>
      </c>
      <c r="M18" s="54">
        <v>54746.13</v>
      </c>
      <c r="N18" s="55">
        <v>0</v>
      </c>
      <c r="O18" s="54">
        <v>506457.76</v>
      </c>
      <c r="P18" s="54">
        <v>428171.6</v>
      </c>
      <c r="Q18" s="54">
        <v>-78286.16</v>
      </c>
      <c r="R18" s="54">
        <v>465735.58</v>
      </c>
      <c r="S18" s="54">
        <v>-18.283799999999999</v>
      </c>
      <c r="T18" s="54">
        <v>37563.980000000003</v>
      </c>
      <c r="U18" s="55">
        <v>0</v>
      </c>
    </row>
    <row r="19" spans="2:21" x14ac:dyDescent="0.25">
      <c r="B19" s="56" t="s">
        <v>207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244329.78</v>
      </c>
      <c r="M19" s="58">
        <v>33814.54</v>
      </c>
      <c r="N19" s="57">
        <v>0</v>
      </c>
      <c r="O19" s="58">
        <v>278144.32</v>
      </c>
      <c r="P19" s="58">
        <v>285174.68</v>
      </c>
      <c r="Q19" s="58">
        <v>7030.36</v>
      </c>
      <c r="R19" s="58">
        <v>309682.06</v>
      </c>
      <c r="S19" s="58">
        <v>2.4653</v>
      </c>
      <c r="T19" s="58">
        <v>24507.38</v>
      </c>
      <c r="U19" s="57">
        <v>0</v>
      </c>
    </row>
    <row r="20" spans="2:21" x14ac:dyDescent="0.25">
      <c r="B20" s="56" t="s">
        <v>208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8">
        <v>7366.04</v>
      </c>
      <c r="M20" s="58">
        <v>881.24</v>
      </c>
      <c r="N20" s="57">
        <v>0</v>
      </c>
      <c r="O20" s="58">
        <v>8247.2800000000007</v>
      </c>
      <c r="P20" s="57">
        <v>0</v>
      </c>
      <c r="Q20" s="58">
        <v>-8247.2800000000007</v>
      </c>
      <c r="R20" s="57">
        <v>0</v>
      </c>
      <c r="S20" s="57">
        <v>0</v>
      </c>
      <c r="T20" s="57">
        <v>0</v>
      </c>
      <c r="U20" s="57">
        <v>0</v>
      </c>
    </row>
    <row r="21" spans="2:21" x14ac:dyDescent="0.25">
      <c r="B21" s="56" t="s">
        <v>211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8">
        <v>21560.03</v>
      </c>
      <c r="M21" s="58">
        <v>1699.91</v>
      </c>
      <c r="N21" s="57">
        <v>0</v>
      </c>
      <c r="O21" s="58">
        <v>23259.94</v>
      </c>
      <c r="P21" s="57">
        <v>0</v>
      </c>
      <c r="Q21" s="58">
        <v>-23259.94</v>
      </c>
      <c r="R21" s="57">
        <v>0</v>
      </c>
      <c r="S21" s="57">
        <v>0</v>
      </c>
      <c r="T21" s="57">
        <v>0</v>
      </c>
      <c r="U21" s="57">
        <v>0</v>
      </c>
    </row>
    <row r="22" spans="2:21" x14ac:dyDescent="0.25">
      <c r="B22" s="56" t="s">
        <v>209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8">
        <v>20357.63</v>
      </c>
      <c r="M22" s="58">
        <v>492.68</v>
      </c>
      <c r="N22" s="57">
        <v>0</v>
      </c>
      <c r="O22" s="58">
        <v>20850.310000000001</v>
      </c>
      <c r="P22" s="57">
        <v>0</v>
      </c>
      <c r="Q22" s="58">
        <v>-20850.310000000001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5">
      <c r="B23" s="53" t="s">
        <v>304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4">
        <v>293613.48</v>
      </c>
      <c r="M23" s="54">
        <v>36888.370000000003</v>
      </c>
      <c r="N23" s="55">
        <v>0</v>
      </c>
      <c r="O23" s="54">
        <v>330501.84999999998</v>
      </c>
      <c r="P23" s="54">
        <v>285174.68</v>
      </c>
      <c r="Q23" s="54">
        <v>-45327.17</v>
      </c>
      <c r="R23" s="54">
        <v>309682.06</v>
      </c>
      <c r="S23" s="54">
        <v>-15.894500000000001</v>
      </c>
      <c r="T23" s="54">
        <v>24507.38</v>
      </c>
      <c r="U23" s="55">
        <v>0</v>
      </c>
    </row>
    <row r="24" spans="2:21" x14ac:dyDescent="0.25">
      <c r="B24" s="56" t="s">
        <v>214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8">
        <v>47991.6</v>
      </c>
      <c r="M24" s="58">
        <v>6001.19</v>
      </c>
      <c r="N24" s="57">
        <v>0</v>
      </c>
      <c r="O24" s="58">
        <v>53992.79</v>
      </c>
      <c r="P24" s="58">
        <v>46644.07</v>
      </c>
      <c r="Q24" s="58">
        <v>-7348.72</v>
      </c>
      <c r="R24" s="58">
        <v>50884.44</v>
      </c>
      <c r="S24" s="58">
        <v>-15.754899999999999</v>
      </c>
      <c r="T24" s="58">
        <v>4240.37</v>
      </c>
      <c r="U24" s="57">
        <v>0</v>
      </c>
    </row>
    <row r="25" spans="2:21" x14ac:dyDescent="0.25">
      <c r="B25" s="53" t="s">
        <v>215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4">
        <v>47991.6</v>
      </c>
      <c r="M25" s="54">
        <v>6001.19</v>
      </c>
      <c r="N25" s="55">
        <v>0</v>
      </c>
      <c r="O25" s="54">
        <v>53992.79</v>
      </c>
      <c r="P25" s="54">
        <v>46644.07</v>
      </c>
      <c r="Q25" s="54">
        <v>-7348.72</v>
      </c>
      <c r="R25" s="54">
        <v>50884.44</v>
      </c>
      <c r="S25" s="54">
        <v>-15.754899999999999</v>
      </c>
      <c r="T25" s="54">
        <v>4240.37</v>
      </c>
      <c r="U25" s="55">
        <v>0</v>
      </c>
    </row>
    <row r="26" spans="2:21" x14ac:dyDescent="0.25">
      <c r="B26" s="56" t="s">
        <v>216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8">
        <v>26839.02</v>
      </c>
      <c r="M26" s="58">
        <v>3375.58</v>
      </c>
      <c r="N26" s="57">
        <v>0</v>
      </c>
      <c r="O26" s="58">
        <v>30214.6</v>
      </c>
      <c r="P26" s="58">
        <v>25487.11</v>
      </c>
      <c r="Q26" s="58">
        <v>-4727.49</v>
      </c>
      <c r="R26" s="58">
        <v>27804.12</v>
      </c>
      <c r="S26" s="58">
        <v>-18.5486</v>
      </c>
      <c r="T26" s="58">
        <v>2317.0100000000002</v>
      </c>
      <c r="U26" s="57">
        <v>0</v>
      </c>
    </row>
    <row r="27" spans="2:21" x14ac:dyDescent="0.25">
      <c r="B27" s="53" t="s">
        <v>217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4">
        <v>26839.02</v>
      </c>
      <c r="M27" s="54">
        <v>3375.58</v>
      </c>
      <c r="N27" s="55">
        <v>0</v>
      </c>
      <c r="O27" s="54">
        <v>30214.6</v>
      </c>
      <c r="P27" s="54">
        <v>25487.11</v>
      </c>
      <c r="Q27" s="54">
        <v>-4727.49</v>
      </c>
      <c r="R27" s="54">
        <v>27804.12</v>
      </c>
      <c r="S27" s="54">
        <v>-18.5486</v>
      </c>
      <c r="T27" s="54">
        <v>2317.0100000000002</v>
      </c>
      <c r="U27" s="55">
        <v>0</v>
      </c>
    </row>
    <row r="28" spans="2:21" x14ac:dyDescent="0.25">
      <c r="B28" s="56" t="s">
        <v>218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8">
        <v>18473.46</v>
      </c>
      <c r="M28" s="58">
        <v>2451.2800000000002</v>
      </c>
      <c r="N28" s="57">
        <v>0</v>
      </c>
      <c r="O28" s="58">
        <v>20924.740000000002</v>
      </c>
      <c r="P28" s="58">
        <v>18196.75</v>
      </c>
      <c r="Q28" s="58">
        <v>-2727.99</v>
      </c>
      <c r="R28" s="58">
        <v>19851</v>
      </c>
      <c r="S28" s="58">
        <v>-14.9916</v>
      </c>
      <c r="T28" s="58">
        <v>1654.25</v>
      </c>
      <c r="U28" s="57">
        <v>0</v>
      </c>
    </row>
    <row r="29" spans="2:21" x14ac:dyDescent="0.25">
      <c r="B29" s="53" t="s">
        <v>219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4">
        <v>18473.46</v>
      </c>
      <c r="M29" s="54">
        <v>2451.2800000000002</v>
      </c>
      <c r="N29" s="55">
        <v>0</v>
      </c>
      <c r="O29" s="54">
        <v>20924.740000000002</v>
      </c>
      <c r="P29" s="54">
        <v>18196.75</v>
      </c>
      <c r="Q29" s="54">
        <v>-2727.99</v>
      </c>
      <c r="R29" s="54">
        <v>19851</v>
      </c>
      <c r="S29" s="54">
        <v>-14.9916</v>
      </c>
      <c r="T29" s="54">
        <v>1654.25</v>
      </c>
      <c r="U29" s="55">
        <v>0</v>
      </c>
    </row>
    <row r="30" spans="2:21" x14ac:dyDescent="0.25">
      <c r="B30" s="56" t="s">
        <v>220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8">
        <v>1810.38</v>
      </c>
      <c r="M30" s="57">
        <v>0</v>
      </c>
      <c r="N30" s="57">
        <v>0</v>
      </c>
      <c r="O30" s="58">
        <v>1810.38</v>
      </c>
      <c r="P30" s="58">
        <v>5800.62</v>
      </c>
      <c r="Q30" s="58">
        <v>3990.24</v>
      </c>
      <c r="R30" s="58">
        <v>6354.88</v>
      </c>
      <c r="S30" s="58">
        <v>68.789900000000003</v>
      </c>
      <c r="T30" s="58">
        <v>554.26</v>
      </c>
      <c r="U30" s="57">
        <v>0</v>
      </c>
    </row>
    <row r="31" spans="2:21" x14ac:dyDescent="0.25">
      <c r="B31" s="56" t="s">
        <v>221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8">
        <v>7324.58</v>
      </c>
      <c r="M31" s="58">
        <v>999.75</v>
      </c>
      <c r="N31" s="57">
        <v>0</v>
      </c>
      <c r="O31" s="58">
        <v>8324.33</v>
      </c>
      <c r="P31" s="57">
        <v>0</v>
      </c>
      <c r="Q31" s="58">
        <v>-8324.33</v>
      </c>
      <c r="R31" s="57">
        <v>0</v>
      </c>
      <c r="S31" s="57">
        <v>0</v>
      </c>
      <c r="T31" s="57">
        <v>0</v>
      </c>
      <c r="U31" s="57">
        <v>0</v>
      </c>
    </row>
    <row r="32" spans="2:21" x14ac:dyDescent="0.25">
      <c r="B32" s="53" t="s">
        <v>223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4">
        <v>9134.9599999999991</v>
      </c>
      <c r="M32" s="54">
        <v>999.75</v>
      </c>
      <c r="N32" s="55">
        <v>0</v>
      </c>
      <c r="O32" s="54">
        <v>10134.709999999999</v>
      </c>
      <c r="P32" s="54">
        <v>5800.62</v>
      </c>
      <c r="Q32" s="54">
        <v>-4334.09</v>
      </c>
      <c r="R32" s="54">
        <v>6354.88</v>
      </c>
      <c r="S32" s="54">
        <v>-74.717699999999994</v>
      </c>
      <c r="T32" s="54">
        <v>554.26</v>
      </c>
      <c r="U32" s="55">
        <v>0</v>
      </c>
    </row>
    <row r="33" spans="2:21" x14ac:dyDescent="0.25">
      <c r="B33" s="56" t="s">
        <v>226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9353.8799999999992</v>
      </c>
      <c r="M33" s="58">
        <v>34.18</v>
      </c>
      <c r="N33" s="57">
        <v>0</v>
      </c>
      <c r="O33" s="58">
        <v>9388.06</v>
      </c>
      <c r="P33" s="57">
        <v>0</v>
      </c>
      <c r="Q33" s="58">
        <v>-9388.06</v>
      </c>
      <c r="R33" s="57">
        <v>0</v>
      </c>
      <c r="S33" s="57">
        <v>0</v>
      </c>
      <c r="T33" s="57">
        <v>0</v>
      </c>
      <c r="U33" s="57">
        <v>0</v>
      </c>
    </row>
    <row r="34" spans="2:21" x14ac:dyDescent="0.25">
      <c r="B34" s="53" t="s">
        <v>227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4">
        <v>9353.8799999999992</v>
      </c>
      <c r="M34" s="54">
        <v>34.18</v>
      </c>
      <c r="N34" s="55">
        <v>0</v>
      </c>
      <c r="O34" s="54">
        <v>9388.06</v>
      </c>
      <c r="P34" s="55">
        <v>0</v>
      </c>
      <c r="Q34" s="54">
        <v>-9388.06</v>
      </c>
      <c r="R34" s="55">
        <v>0</v>
      </c>
      <c r="S34" s="55">
        <v>0</v>
      </c>
      <c r="T34" s="55">
        <v>0</v>
      </c>
      <c r="U34" s="55">
        <v>0</v>
      </c>
    </row>
    <row r="35" spans="2:21" x14ac:dyDescent="0.25">
      <c r="B35" s="56" t="s">
        <v>232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8">
        <v>7632.99</v>
      </c>
      <c r="M35" s="58">
        <v>273.56</v>
      </c>
      <c r="N35" s="57">
        <v>0</v>
      </c>
      <c r="O35" s="58">
        <v>7906.55</v>
      </c>
      <c r="P35" s="58">
        <v>46868.37</v>
      </c>
      <c r="Q35" s="58">
        <v>38961.82</v>
      </c>
      <c r="R35" s="58">
        <v>51159.08</v>
      </c>
      <c r="S35" s="58">
        <v>83.130300000000005</v>
      </c>
      <c r="T35" s="58">
        <v>4290.71</v>
      </c>
      <c r="U35" s="57">
        <v>0</v>
      </c>
    </row>
    <row r="36" spans="2:21" x14ac:dyDescent="0.25">
      <c r="B36" s="56" t="s">
        <v>224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8">
        <v>883.54</v>
      </c>
      <c r="N36" s="57">
        <v>0</v>
      </c>
      <c r="O36" s="58">
        <v>883.54</v>
      </c>
      <c r="P36" s="57">
        <v>0</v>
      </c>
      <c r="Q36" s="58">
        <v>-883.54</v>
      </c>
      <c r="R36" s="57">
        <v>0</v>
      </c>
      <c r="S36" s="57">
        <v>0</v>
      </c>
      <c r="T36" s="57">
        <v>0</v>
      </c>
      <c r="U36" s="57">
        <v>0</v>
      </c>
    </row>
    <row r="37" spans="2:21" x14ac:dyDescent="0.25">
      <c r="B37" s="56" t="s">
        <v>222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8">
        <v>1432.15</v>
      </c>
      <c r="M37" s="58">
        <v>541.05999999999995</v>
      </c>
      <c r="N37" s="57">
        <v>0</v>
      </c>
      <c r="O37" s="58">
        <v>1973.21</v>
      </c>
      <c r="P37" s="57">
        <v>0</v>
      </c>
      <c r="Q37" s="58">
        <v>-1973.21</v>
      </c>
      <c r="R37" s="57">
        <v>0</v>
      </c>
      <c r="S37" s="57">
        <v>0</v>
      </c>
      <c r="T37" s="57">
        <v>0</v>
      </c>
      <c r="U37" s="57">
        <v>0</v>
      </c>
    </row>
    <row r="38" spans="2:21" x14ac:dyDescent="0.25">
      <c r="B38" s="56" t="s">
        <v>233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8">
        <v>4678.59</v>
      </c>
      <c r="M38" s="58">
        <v>455.65</v>
      </c>
      <c r="N38" s="57">
        <v>0</v>
      </c>
      <c r="O38" s="58">
        <v>5134.24</v>
      </c>
      <c r="P38" s="57">
        <v>0</v>
      </c>
      <c r="Q38" s="58">
        <v>-5134.24</v>
      </c>
      <c r="R38" s="57">
        <v>0</v>
      </c>
      <c r="S38" s="57">
        <v>0</v>
      </c>
      <c r="T38" s="57">
        <v>0</v>
      </c>
      <c r="U38" s="57">
        <v>0</v>
      </c>
    </row>
    <row r="39" spans="2:21" x14ac:dyDescent="0.25">
      <c r="B39" s="56" t="s">
        <v>234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8">
        <v>109.68</v>
      </c>
      <c r="M39" s="58">
        <v>26.65</v>
      </c>
      <c r="N39" s="57">
        <v>0</v>
      </c>
      <c r="O39" s="58">
        <v>136.33000000000001</v>
      </c>
      <c r="P39" s="57">
        <v>0</v>
      </c>
      <c r="Q39" s="58">
        <v>-136.33000000000001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5">
      <c r="B40" s="56" t="s">
        <v>235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8">
        <v>32451.82</v>
      </c>
      <c r="M40" s="58">
        <v>2815.32</v>
      </c>
      <c r="N40" s="57">
        <v>0</v>
      </c>
      <c r="O40" s="58">
        <v>35267.14</v>
      </c>
      <c r="P40" s="57">
        <v>0</v>
      </c>
      <c r="Q40" s="58">
        <v>-35267.14</v>
      </c>
      <c r="R40" s="57">
        <v>0</v>
      </c>
      <c r="S40" s="57">
        <v>0</v>
      </c>
      <c r="T40" s="57">
        <v>0</v>
      </c>
      <c r="U40" s="57">
        <v>0</v>
      </c>
    </row>
    <row r="41" spans="2:21" x14ac:dyDescent="0.25">
      <c r="B41" s="56" t="s">
        <v>305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5">
      <c r="B42" s="53" t="s">
        <v>306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4">
        <v>46305.23</v>
      </c>
      <c r="M42" s="54">
        <v>4995.78</v>
      </c>
      <c r="N42" s="55">
        <v>0</v>
      </c>
      <c r="O42" s="54">
        <v>51301.01</v>
      </c>
      <c r="P42" s="54">
        <v>46868.37</v>
      </c>
      <c r="Q42" s="54">
        <v>-4432.6400000000003</v>
      </c>
      <c r="R42" s="54">
        <v>51159.08</v>
      </c>
      <c r="S42" s="54">
        <v>-9.4575999999999993</v>
      </c>
      <c r="T42" s="54">
        <v>4290.71</v>
      </c>
      <c r="U42" s="55">
        <v>0</v>
      </c>
    </row>
    <row r="43" spans="2:21" x14ac:dyDescent="0.25">
      <c r="B43" s="53" t="s">
        <v>307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4">
        <v>350821.12</v>
      </c>
      <c r="M43" s="54">
        <v>46919.03</v>
      </c>
      <c r="N43" s="55">
        <v>0</v>
      </c>
      <c r="O43" s="54">
        <v>397740.15</v>
      </c>
      <c r="P43" s="54">
        <v>246708.04</v>
      </c>
      <c r="Q43" s="54">
        <v>-151032.10999999999</v>
      </c>
      <c r="R43" s="54">
        <v>285569.68</v>
      </c>
      <c r="S43" s="54">
        <v>-61.219000000000001</v>
      </c>
      <c r="T43" s="54">
        <v>22311.64</v>
      </c>
      <c r="U43" s="55">
        <v>0</v>
      </c>
    </row>
    <row r="44" spans="2:21" x14ac:dyDescent="0.25">
      <c r="B44" s="56" t="s">
        <v>228</v>
      </c>
      <c r="C44" s="57">
        <v>0</v>
      </c>
      <c r="D44" s="57">
        <v>0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8">
        <v>4156</v>
      </c>
      <c r="M44" s="58">
        <v>62.26</v>
      </c>
      <c r="N44" s="57">
        <v>0</v>
      </c>
      <c r="O44" s="58">
        <v>4218.26</v>
      </c>
      <c r="P44" s="58">
        <v>3300</v>
      </c>
      <c r="Q44" s="58">
        <v>-918.26</v>
      </c>
      <c r="R44" s="58">
        <v>3600</v>
      </c>
      <c r="S44" s="58">
        <v>-27.8261</v>
      </c>
      <c r="T44" s="58">
        <v>300</v>
      </c>
      <c r="U44" s="57">
        <v>0</v>
      </c>
    </row>
    <row r="45" spans="2:21" x14ac:dyDescent="0.25">
      <c r="B45" s="56" t="s">
        <v>230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8">
        <v>2007.79</v>
      </c>
      <c r="M45" s="57">
        <v>0</v>
      </c>
      <c r="N45" s="57">
        <v>0</v>
      </c>
      <c r="O45" s="58">
        <v>2007.79</v>
      </c>
      <c r="P45" s="57">
        <v>0</v>
      </c>
      <c r="Q45" s="58">
        <v>-2007.79</v>
      </c>
      <c r="R45" s="57">
        <v>0</v>
      </c>
      <c r="S45" s="57">
        <v>0</v>
      </c>
      <c r="T45" s="57">
        <v>0</v>
      </c>
      <c r="U45" s="57">
        <v>0</v>
      </c>
    </row>
    <row r="46" spans="2:21" x14ac:dyDescent="0.25">
      <c r="B46" s="56" t="s">
        <v>308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8">
        <v>4053.82</v>
      </c>
      <c r="M46" s="57">
        <v>0</v>
      </c>
      <c r="N46" s="57">
        <v>0</v>
      </c>
      <c r="O46" s="58">
        <v>4053.82</v>
      </c>
      <c r="P46" s="57">
        <v>0</v>
      </c>
      <c r="Q46" s="58">
        <v>-4053.82</v>
      </c>
      <c r="R46" s="57">
        <v>0</v>
      </c>
      <c r="S46" s="57">
        <v>0</v>
      </c>
      <c r="T46" s="57">
        <v>0</v>
      </c>
      <c r="U46" s="57">
        <v>0</v>
      </c>
    </row>
    <row r="47" spans="2:21" x14ac:dyDescent="0.25">
      <c r="B47" s="53" t="s">
        <v>309</v>
      </c>
      <c r="C47" s="5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4">
        <v>10217.61</v>
      </c>
      <c r="M47" s="54">
        <v>62.26</v>
      </c>
      <c r="N47" s="55">
        <v>0</v>
      </c>
      <c r="O47" s="54">
        <v>10279.870000000001</v>
      </c>
      <c r="P47" s="54">
        <v>3300</v>
      </c>
      <c r="Q47" s="54">
        <v>-6979.87</v>
      </c>
      <c r="R47" s="54">
        <v>3600</v>
      </c>
      <c r="S47" s="54">
        <v>-211.5112</v>
      </c>
      <c r="T47" s="54">
        <v>300</v>
      </c>
      <c r="U47" s="55">
        <v>0</v>
      </c>
    </row>
    <row r="48" spans="2:21" x14ac:dyDescent="0.25">
      <c r="B48" s="56" t="s">
        <v>263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8">
        <v>2.14</v>
      </c>
      <c r="M48" s="57">
        <v>0</v>
      </c>
      <c r="N48" s="57">
        <v>0</v>
      </c>
      <c r="O48" s="58">
        <v>2.14</v>
      </c>
      <c r="P48" s="57">
        <v>0</v>
      </c>
      <c r="Q48" s="58">
        <v>-2.14</v>
      </c>
      <c r="R48" s="57">
        <v>0</v>
      </c>
      <c r="S48" s="57">
        <v>0</v>
      </c>
      <c r="T48" s="57">
        <v>0</v>
      </c>
      <c r="U48" s="57">
        <v>0</v>
      </c>
    </row>
    <row r="49" spans="2:21" x14ac:dyDescent="0.25">
      <c r="B49" s="56" t="s">
        <v>264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8">
        <v>880.06</v>
      </c>
      <c r="M49" s="58">
        <v>640.30999999999995</v>
      </c>
      <c r="N49" s="57">
        <v>0</v>
      </c>
      <c r="O49" s="58">
        <v>1520.37</v>
      </c>
      <c r="P49" s="58">
        <v>6600</v>
      </c>
      <c r="Q49" s="58">
        <v>5079.63</v>
      </c>
      <c r="R49" s="58">
        <v>7200</v>
      </c>
      <c r="S49" s="58">
        <v>76.964100000000002</v>
      </c>
      <c r="T49" s="58">
        <v>600</v>
      </c>
      <c r="U49" s="57">
        <v>0</v>
      </c>
    </row>
    <row r="50" spans="2:21" x14ac:dyDescent="0.25">
      <c r="B50" s="56" t="s">
        <v>266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8">
        <v>292.67</v>
      </c>
      <c r="M50" s="58">
        <v>31.37</v>
      </c>
      <c r="N50" s="57">
        <v>0</v>
      </c>
      <c r="O50" s="58">
        <v>324.04000000000002</v>
      </c>
      <c r="P50" s="57">
        <v>0</v>
      </c>
      <c r="Q50" s="58">
        <v>-324.04000000000002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5">
      <c r="B51" s="53" t="s">
        <v>310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4">
        <v>1174.8699999999999</v>
      </c>
      <c r="M51" s="54">
        <v>671.68</v>
      </c>
      <c r="N51" s="55">
        <v>0</v>
      </c>
      <c r="O51" s="54">
        <v>1846.55</v>
      </c>
      <c r="P51" s="54">
        <v>6600</v>
      </c>
      <c r="Q51" s="54">
        <v>4753.45</v>
      </c>
      <c r="R51" s="54">
        <v>7200</v>
      </c>
      <c r="S51" s="54">
        <v>72.022000000000006</v>
      </c>
      <c r="T51" s="54">
        <v>600</v>
      </c>
      <c r="U51" s="55">
        <v>0</v>
      </c>
    </row>
    <row r="52" spans="2:21" x14ac:dyDescent="0.25">
      <c r="B52" s="56" t="s">
        <v>311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8">
        <v>2160.4299999999998</v>
      </c>
      <c r="M52" s="58">
        <v>235.53</v>
      </c>
      <c r="N52" s="57">
        <v>0</v>
      </c>
      <c r="O52" s="58">
        <v>2395.96</v>
      </c>
      <c r="P52" s="58">
        <v>3241.37</v>
      </c>
      <c r="Q52" s="58">
        <v>845.41</v>
      </c>
      <c r="R52" s="58">
        <v>3536.04</v>
      </c>
      <c r="S52" s="58">
        <v>26.081900000000001</v>
      </c>
      <c r="T52" s="58">
        <v>294.67</v>
      </c>
      <c r="U52" s="57">
        <v>0</v>
      </c>
    </row>
    <row r="53" spans="2:21" x14ac:dyDescent="0.25">
      <c r="B53" s="53" t="s">
        <v>312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4">
        <v>2160.4299999999998</v>
      </c>
      <c r="M53" s="54">
        <v>235.53</v>
      </c>
      <c r="N53" s="55">
        <v>0</v>
      </c>
      <c r="O53" s="54">
        <v>2395.96</v>
      </c>
      <c r="P53" s="54">
        <v>3241.37</v>
      </c>
      <c r="Q53" s="54">
        <v>845.41</v>
      </c>
      <c r="R53" s="54">
        <v>3536.04</v>
      </c>
      <c r="S53" s="54">
        <v>26.081900000000001</v>
      </c>
      <c r="T53" s="54">
        <v>294.67</v>
      </c>
      <c r="U53" s="55">
        <v>0</v>
      </c>
    </row>
    <row r="54" spans="2:21" x14ac:dyDescent="0.25">
      <c r="B54" s="56" t="s">
        <v>191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8">
        <v>83333.3</v>
      </c>
      <c r="M54" s="58">
        <v>8333.33</v>
      </c>
      <c r="N54" s="57">
        <v>0</v>
      </c>
      <c r="O54" s="58">
        <v>91666.63</v>
      </c>
      <c r="P54" s="57">
        <v>0</v>
      </c>
      <c r="Q54" s="58">
        <v>-91666.63</v>
      </c>
      <c r="R54" s="57">
        <v>0</v>
      </c>
      <c r="S54" s="57">
        <v>0</v>
      </c>
      <c r="T54" s="57">
        <v>0</v>
      </c>
      <c r="U54" s="57">
        <v>0</v>
      </c>
    </row>
    <row r="55" spans="2:21" x14ac:dyDescent="0.25">
      <c r="B55" s="56" t="s">
        <v>295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8">
        <v>1623.81</v>
      </c>
      <c r="M55" s="57">
        <v>0</v>
      </c>
      <c r="N55" s="57">
        <v>0</v>
      </c>
      <c r="O55" s="58">
        <v>1623.81</v>
      </c>
      <c r="P55" s="58">
        <v>136216.63</v>
      </c>
      <c r="Q55" s="58">
        <v>134592.82</v>
      </c>
      <c r="R55" s="58">
        <v>165249.96</v>
      </c>
      <c r="S55" s="58">
        <v>98.807900000000004</v>
      </c>
      <c r="T55" s="58">
        <v>12383.33</v>
      </c>
      <c r="U55" s="57">
        <v>0</v>
      </c>
    </row>
    <row r="56" spans="2:21" x14ac:dyDescent="0.25">
      <c r="B56" s="56" t="s">
        <v>296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1357.29</v>
      </c>
      <c r="M56" s="58">
        <v>28.44</v>
      </c>
      <c r="N56" s="57">
        <v>0</v>
      </c>
      <c r="O56" s="58">
        <v>1385.73</v>
      </c>
      <c r="P56" s="57">
        <v>0</v>
      </c>
      <c r="Q56" s="58">
        <v>-1385.73</v>
      </c>
      <c r="R56" s="57">
        <v>0</v>
      </c>
      <c r="S56" s="57">
        <v>0</v>
      </c>
      <c r="T56" s="57">
        <v>0</v>
      </c>
      <c r="U56" s="57">
        <v>0</v>
      </c>
    </row>
    <row r="57" spans="2:21" x14ac:dyDescent="0.25">
      <c r="B57" s="56" t="s">
        <v>297</v>
      </c>
      <c r="C57" s="57">
        <v>0</v>
      </c>
      <c r="D57" s="57">
        <v>0</v>
      </c>
      <c r="E57" s="57">
        <v>0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8">
        <v>4448.6499999999996</v>
      </c>
      <c r="M57" s="58">
        <v>1944.59</v>
      </c>
      <c r="N57" s="57">
        <v>0</v>
      </c>
      <c r="O57" s="58">
        <v>6393.24</v>
      </c>
      <c r="P57" s="57">
        <v>0</v>
      </c>
      <c r="Q57" s="58">
        <v>-6393.24</v>
      </c>
      <c r="R57" s="57">
        <v>0</v>
      </c>
      <c r="S57" s="57">
        <v>0</v>
      </c>
      <c r="T57" s="57">
        <v>0</v>
      </c>
      <c r="U57" s="57">
        <v>0</v>
      </c>
    </row>
    <row r="58" spans="2:21" x14ac:dyDescent="0.25">
      <c r="B58" s="56" t="s">
        <v>313</v>
      </c>
      <c r="C58" s="57">
        <v>0</v>
      </c>
      <c r="D58" s="57">
        <v>0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7">
        <v>0</v>
      </c>
      <c r="K58" s="57">
        <v>0</v>
      </c>
      <c r="L58" s="58">
        <v>149.76</v>
      </c>
      <c r="M58" s="57">
        <v>0</v>
      </c>
      <c r="N58" s="57">
        <v>0</v>
      </c>
      <c r="O58" s="58">
        <v>149.76</v>
      </c>
      <c r="P58" s="57">
        <v>0</v>
      </c>
      <c r="Q58" s="58">
        <v>-149.76</v>
      </c>
      <c r="R58" s="57">
        <v>0</v>
      </c>
      <c r="S58" s="57">
        <v>0</v>
      </c>
      <c r="T58" s="57">
        <v>0</v>
      </c>
      <c r="U58" s="57">
        <v>0</v>
      </c>
    </row>
    <row r="59" spans="2:21" x14ac:dyDescent="0.25">
      <c r="B59" s="56" t="s">
        <v>298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110296.53</v>
      </c>
      <c r="M59" s="58">
        <v>8207.44</v>
      </c>
      <c r="N59" s="57">
        <v>0</v>
      </c>
      <c r="O59" s="58">
        <v>118503.97</v>
      </c>
      <c r="P59" s="57">
        <v>0</v>
      </c>
      <c r="Q59" s="58">
        <v>-118503.97</v>
      </c>
      <c r="R59" s="57">
        <v>0</v>
      </c>
      <c r="S59" s="57">
        <v>0</v>
      </c>
      <c r="T59" s="57">
        <v>0</v>
      </c>
      <c r="U59" s="57">
        <v>0</v>
      </c>
    </row>
    <row r="60" spans="2:21" x14ac:dyDescent="0.25">
      <c r="B60" s="53" t="s">
        <v>314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4">
        <v>201209.34</v>
      </c>
      <c r="M60" s="54">
        <v>18513.8</v>
      </c>
      <c r="N60" s="55">
        <v>0</v>
      </c>
      <c r="O60" s="54">
        <v>219723.14</v>
      </c>
      <c r="P60" s="54">
        <v>136216.63</v>
      </c>
      <c r="Q60" s="54">
        <v>-83506.509999999995</v>
      </c>
      <c r="R60" s="54">
        <v>165249.96</v>
      </c>
      <c r="S60" s="54">
        <v>-61.304200000000002</v>
      </c>
      <c r="T60" s="54">
        <v>12383.33</v>
      </c>
      <c r="U60" s="55">
        <v>0</v>
      </c>
    </row>
    <row r="61" spans="2:21" x14ac:dyDescent="0.25">
      <c r="B61" s="56" t="s">
        <v>243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8">
        <v>27899.17</v>
      </c>
      <c r="M61" s="58">
        <v>15568.27</v>
      </c>
      <c r="N61" s="57">
        <v>0</v>
      </c>
      <c r="O61" s="58">
        <v>43467.44</v>
      </c>
      <c r="P61" s="58">
        <v>39600</v>
      </c>
      <c r="Q61" s="58">
        <v>-3867.44</v>
      </c>
      <c r="R61" s="58">
        <v>43200</v>
      </c>
      <c r="S61" s="58">
        <v>-9.7662999999999993</v>
      </c>
      <c r="T61" s="58">
        <v>3600</v>
      </c>
      <c r="U61" s="57">
        <v>0</v>
      </c>
    </row>
    <row r="62" spans="2:21" x14ac:dyDescent="0.25">
      <c r="B62" s="56" t="s">
        <v>253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4836.68</v>
      </c>
      <c r="M62" s="57">
        <v>0</v>
      </c>
      <c r="N62" s="57">
        <v>0</v>
      </c>
      <c r="O62" s="58">
        <v>4836.68</v>
      </c>
      <c r="P62" s="57">
        <v>0</v>
      </c>
      <c r="Q62" s="58">
        <v>-4836.68</v>
      </c>
      <c r="R62" s="57">
        <v>0</v>
      </c>
      <c r="S62" s="57">
        <v>0</v>
      </c>
      <c r="T62" s="57">
        <v>0</v>
      </c>
      <c r="U62" s="57">
        <v>0</v>
      </c>
    </row>
    <row r="63" spans="2:21" x14ac:dyDescent="0.25">
      <c r="B63" s="56" t="s">
        <v>315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8">
        <v>28000</v>
      </c>
      <c r="M63" s="58">
        <v>2800</v>
      </c>
      <c r="N63" s="57">
        <v>0</v>
      </c>
      <c r="O63" s="58">
        <v>30800</v>
      </c>
      <c r="P63" s="57">
        <v>0</v>
      </c>
      <c r="Q63" s="58">
        <v>-30800</v>
      </c>
      <c r="R63" s="57">
        <v>0</v>
      </c>
      <c r="S63" s="57">
        <v>0</v>
      </c>
      <c r="T63" s="57">
        <v>0</v>
      </c>
      <c r="U63" s="57">
        <v>0</v>
      </c>
    </row>
    <row r="64" spans="2:21" x14ac:dyDescent="0.25">
      <c r="B64" s="56" t="s">
        <v>252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8">
        <v>2505.4899999999998</v>
      </c>
      <c r="M64" s="58">
        <v>176.19</v>
      </c>
      <c r="N64" s="57">
        <v>0</v>
      </c>
      <c r="O64" s="58">
        <v>2681.68</v>
      </c>
      <c r="P64" s="57">
        <v>0</v>
      </c>
      <c r="Q64" s="58">
        <v>-2681.68</v>
      </c>
      <c r="R64" s="57">
        <v>0</v>
      </c>
      <c r="S64" s="57">
        <v>0</v>
      </c>
      <c r="T64" s="57">
        <v>0</v>
      </c>
      <c r="U64" s="57">
        <v>0</v>
      </c>
    </row>
    <row r="65" spans="2:21" x14ac:dyDescent="0.25">
      <c r="B65" s="53" t="s">
        <v>316</v>
      </c>
      <c r="C65" s="55">
        <v>0</v>
      </c>
      <c r="D65" s="55">
        <v>0</v>
      </c>
      <c r="E65" s="55">
        <v>0</v>
      </c>
      <c r="F65" s="55">
        <v>0</v>
      </c>
      <c r="G65" s="55">
        <v>0</v>
      </c>
      <c r="H65" s="55">
        <v>0</v>
      </c>
      <c r="I65" s="55">
        <v>0</v>
      </c>
      <c r="J65" s="55">
        <v>0</v>
      </c>
      <c r="K65" s="55">
        <v>0</v>
      </c>
      <c r="L65" s="54">
        <v>63241.34</v>
      </c>
      <c r="M65" s="54">
        <v>18544.46</v>
      </c>
      <c r="N65" s="55">
        <v>0</v>
      </c>
      <c r="O65" s="54">
        <v>81785.8</v>
      </c>
      <c r="P65" s="54">
        <v>39600</v>
      </c>
      <c r="Q65" s="54">
        <v>-42185.8</v>
      </c>
      <c r="R65" s="54">
        <v>43200</v>
      </c>
      <c r="S65" s="54">
        <v>-106.52979999999999</v>
      </c>
      <c r="T65" s="54">
        <v>3600</v>
      </c>
      <c r="U65" s="55">
        <v>0</v>
      </c>
    </row>
    <row r="66" spans="2:21" x14ac:dyDescent="0.25">
      <c r="B66" s="56" t="s">
        <v>261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8">
        <v>385.64</v>
      </c>
      <c r="M66" s="57">
        <v>0</v>
      </c>
      <c r="N66" s="57">
        <v>0</v>
      </c>
      <c r="O66" s="58">
        <v>385.64</v>
      </c>
      <c r="P66" s="57">
        <v>0</v>
      </c>
      <c r="Q66" s="58">
        <v>-385.64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5">
      <c r="B67" s="53" t="s">
        <v>262</v>
      </c>
      <c r="C67" s="55">
        <v>0</v>
      </c>
      <c r="D67" s="55">
        <v>0</v>
      </c>
      <c r="E67" s="55">
        <v>0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4">
        <v>385.64</v>
      </c>
      <c r="M67" s="55">
        <v>0</v>
      </c>
      <c r="N67" s="55">
        <v>0</v>
      </c>
      <c r="O67" s="54">
        <v>385.64</v>
      </c>
      <c r="P67" s="55">
        <v>0</v>
      </c>
      <c r="Q67" s="54">
        <v>-385.64</v>
      </c>
      <c r="R67" s="55">
        <v>0</v>
      </c>
      <c r="S67" s="55">
        <v>0</v>
      </c>
      <c r="T67" s="55">
        <v>0</v>
      </c>
      <c r="U67" s="55">
        <v>0</v>
      </c>
    </row>
    <row r="68" spans="2:21" x14ac:dyDescent="0.25">
      <c r="B68" s="56" t="s">
        <v>317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271494.86</v>
      </c>
      <c r="M68" s="58">
        <v>28123.48</v>
      </c>
      <c r="N68" s="57">
        <v>0</v>
      </c>
      <c r="O68" s="58">
        <v>299618.34000000003</v>
      </c>
      <c r="P68" s="58">
        <v>278432</v>
      </c>
      <c r="Q68" s="58">
        <v>-21186.34</v>
      </c>
      <c r="R68" s="58">
        <v>303744</v>
      </c>
      <c r="S68" s="58">
        <v>-7.6092000000000004</v>
      </c>
      <c r="T68" s="58">
        <v>25312</v>
      </c>
      <c r="U68" s="57">
        <v>0</v>
      </c>
    </row>
    <row r="69" spans="2:21" x14ac:dyDescent="0.25">
      <c r="B69" s="53" t="s">
        <v>318</v>
      </c>
      <c r="C69" s="55">
        <v>0</v>
      </c>
      <c r="D69" s="55">
        <v>0</v>
      </c>
      <c r="E69" s="55">
        <v>0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  <c r="K69" s="55">
        <v>0</v>
      </c>
      <c r="L69" s="54">
        <v>271494.86</v>
      </c>
      <c r="M69" s="54">
        <v>28123.48</v>
      </c>
      <c r="N69" s="55">
        <v>0</v>
      </c>
      <c r="O69" s="54">
        <v>299618.34000000003</v>
      </c>
      <c r="P69" s="54">
        <v>278432</v>
      </c>
      <c r="Q69" s="54">
        <v>-21186.34</v>
      </c>
      <c r="R69" s="54">
        <v>303744</v>
      </c>
      <c r="S69" s="54">
        <v>-7.6092000000000004</v>
      </c>
      <c r="T69" s="54">
        <v>25312</v>
      </c>
      <c r="U69" s="55">
        <v>0</v>
      </c>
    </row>
    <row r="70" spans="2:21" x14ac:dyDescent="0.25">
      <c r="B70" s="56" t="s">
        <v>319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  <c r="O70" s="57">
        <v>0</v>
      </c>
      <c r="P70" s="58">
        <v>550</v>
      </c>
      <c r="Q70" s="58">
        <v>550</v>
      </c>
      <c r="R70" s="58">
        <v>600</v>
      </c>
      <c r="S70" s="58">
        <v>100</v>
      </c>
      <c r="T70" s="58">
        <v>50</v>
      </c>
      <c r="U70" s="57">
        <v>0</v>
      </c>
    </row>
    <row r="71" spans="2:21" x14ac:dyDescent="0.25">
      <c r="B71" s="56" t="s">
        <v>320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559.57000000000005</v>
      </c>
      <c r="M71" s="57">
        <v>0</v>
      </c>
      <c r="N71" s="57">
        <v>0</v>
      </c>
      <c r="O71" s="58">
        <v>559.57000000000005</v>
      </c>
      <c r="P71" s="57">
        <v>0</v>
      </c>
      <c r="Q71" s="58">
        <v>-559.57000000000005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5">
      <c r="B72" s="53" t="s">
        <v>321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4">
        <v>559.57000000000005</v>
      </c>
      <c r="M72" s="55">
        <v>0</v>
      </c>
      <c r="N72" s="55">
        <v>0</v>
      </c>
      <c r="O72" s="54">
        <v>559.57000000000005</v>
      </c>
      <c r="P72" s="54">
        <v>550</v>
      </c>
      <c r="Q72" s="54">
        <v>-9.57</v>
      </c>
      <c r="R72" s="54">
        <v>600</v>
      </c>
      <c r="S72" s="54">
        <v>-1.74</v>
      </c>
      <c r="T72" s="54">
        <v>50</v>
      </c>
      <c r="U72" s="55">
        <v>0</v>
      </c>
    </row>
    <row r="73" spans="2:21" x14ac:dyDescent="0.25">
      <c r="B73" s="56" t="s">
        <v>277</v>
      </c>
      <c r="C73" s="57">
        <v>0</v>
      </c>
      <c r="D73" s="57">
        <v>0</v>
      </c>
      <c r="E73" s="57">
        <v>0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8">
        <v>283.04000000000002</v>
      </c>
      <c r="M73" s="57">
        <v>0</v>
      </c>
      <c r="N73" s="57">
        <v>0</v>
      </c>
      <c r="O73" s="58">
        <v>283.04000000000002</v>
      </c>
      <c r="P73" s="58">
        <v>660</v>
      </c>
      <c r="Q73" s="58">
        <v>376.96</v>
      </c>
      <c r="R73" s="58">
        <v>720</v>
      </c>
      <c r="S73" s="58">
        <v>57.115200000000002</v>
      </c>
      <c r="T73" s="58">
        <v>60</v>
      </c>
      <c r="U73" s="57">
        <v>0</v>
      </c>
    </row>
    <row r="74" spans="2:21" x14ac:dyDescent="0.25">
      <c r="B74" s="53" t="s">
        <v>322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4">
        <v>283.04000000000002</v>
      </c>
      <c r="M74" s="55">
        <v>0</v>
      </c>
      <c r="N74" s="55">
        <v>0</v>
      </c>
      <c r="O74" s="54">
        <v>283.04000000000002</v>
      </c>
      <c r="P74" s="54">
        <v>660</v>
      </c>
      <c r="Q74" s="54">
        <v>376.96</v>
      </c>
      <c r="R74" s="54">
        <v>720</v>
      </c>
      <c r="S74" s="54">
        <v>57.115200000000002</v>
      </c>
      <c r="T74" s="54">
        <v>60</v>
      </c>
      <c r="U74" s="55">
        <v>0</v>
      </c>
    </row>
    <row r="75" spans="2:21" x14ac:dyDescent="0.25">
      <c r="B75" s="56" t="s">
        <v>323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8">
        <v>6681.47</v>
      </c>
      <c r="M75" s="57">
        <v>0</v>
      </c>
      <c r="N75" s="57">
        <v>0</v>
      </c>
      <c r="O75" s="58">
        <v>6681.47</v>
      </c>
      <c r="P75" s="58">
        <v>16500</v>
      </c>
      <c r="Q75" s="58">
        <v>9818.5300000000007</v>
      </c>
      <c r="R75" s="58">
        <v>18000</v>
      </c>
      <c r="S75" s="58">
        <v>59.5062</v>
      </c>
      <c r="T75" s="58">
        <v>1500</v>
      </c>
      <c r="U75" s="57">
        <v>0</v>
      </c>
    </row>
    <row r="76" spans="2:21" x14ac:dyDescent="0.25">
      <c r="B76" s="56" t="s">
        <v>324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8">
        <v>10039.51</v>
      </c>
      <c r="M76" s="58">
        <v>702.46</v>
      </c>
      <c r="N76" s="57">
        <v>0</v>
      </c>
      <c r="O76" s="58">
        <v>10741.97</v>
      </c>
      <c r="P76" s="57">
        <v>0</v>
      </c>
      <c r="Q76" s="58">
        <v>-10741.97</v>
      </c>
      <c r="R76" s="57">
        <v>0</v>
      </c>
      <c r="S76" s="57">
        <v>0</v>
      </c>
      <c r="T76" s="57">
        <v>0</v>
      </c>
      <c r="U76" s="57">
        <v>0</v>
      </c>
    </row>
    <row r="77" spans="2:21" x14ac:dyDescent="0.25">
      <c r="B77" s="53" t="s">
        <v>325</v>
      </c>
      <c r="C77" s="55">
        <v>0</v>
      </c>
      <c r="D77" s="55">
        <v>0</v>
      </c>
      <c r="E77" s="55">
        <v>0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4">
        <v>16720.98</v>
      </c>
      <c r="M77" s="54">
        <v>702.46</v>
      </c>
      <c r="N77" s="55">
        <v>0</v>
      </c>
      <c r="O77" s="54">
        <v>17423.439999999999</v>
      </c>
      <c r="P77" s="54">
        <v>16500</v>
      </c>
      <c r="Q77" s="54">
        <v>-923.44</v>
      </c>
      <c r="R77" s="54">
        <v>18000</v>
      </c>
      <c r="S77" s="54">
        <v>-5.5965999999999996</v>
      </c>
      <c r="T77" s="54">
        <v>1500</v>
      </c>
      <c r="U77" s="55">
        <v>0</v>
      </c>
    </row>
    <row r="78" spans="2:21" x14ac:dyDescent="0.25">
      <c r="B78" s="56" t="s">
        <v>290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8">
        <v>23104.11</v>
      </c>
      <c r="Q78" s="58">
        <v>23104.11</v>
      </c>
      <c r="R78" s="58">
        <v>24988.12</v>
      </c>
      <c r="S78" s="58">
        <v>100</v>
      </c>
      <c r="T78" s="58">
        <v>1984.01</v>
      </c>
      <c r="U78" s="57">
        <v>0</v>
      </c>
    </row>
    <row r="79" spans="2:21" x14ac:dyDescent="0.25">
      <c r="B79" s="56" t="s">
        <v>265</v>
      </c>
      <c r="C79" s="57">
        <v>0</v>
      </c>
      <c r="D79" s="57">
        <v>0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8">
        <v>2624.3</v>
      </c>
      <c r="M79" s="58">
        <v>306.44</v>
      </c>
      <c r="N79" s="57">
        <v>0</v>
      </c>
      <c r="O79" s="58">
        <v>2930.74</v>
      </c>
      <c r="P79" s="57">
        <v>0</v>
      </c>
      <c r="Q79" s="58">
        <v>-2930.74</v>
      </c>
      <c r="R79" s="57">
        <v>0</v>
      </c>
      <c r="S79" s="57">
        <v>0</v>
      </c>
      <c r="T79" s="57">
        <v>0</v>
      </c>
      <c r="U79" s="57">
        <v>0</v>
      </c>
    </row>
    <row r="80" spans="2:21" x14ac:dyDescent="0.25">
      <c r="B80" s="56" t="s">
        <v>291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10084.299999999999</v>
      </c>
      <c r="M80" s="58">
        <v>3020.62</v>
      </c>
      <c r="N80" s="57">
        <v>0</v>
      </c>
      <c r="O80" s="58">
        <v>13104.92</v>
      </c>
      <c r="P80" s="57">
        <v>0</v>
      </c>
      <c r="Q80" s="58">
        <v>-13104.92</v>
      </c>
      <c r="R80" s="57">
        <v>0</v>
      </c>
      <c r="S80" s="57">
        <v>0</v>
      </c>
      <c r="T80" s="57">
        <v>0</v>
      </c>
      <c r="U80" s="57">
        <v>0</v>
      </c>
    </row>
    <row r="81" spans="2:21" x14ac:dyDescent="0.25">
      <c r="B81" s="56" t="s">
        <v>293</v>
      </c>
      <c r="C81" s="57">
        <v>0</v>
      </c>
      <c r="D81" s="57">
        <v>0</v>
      </c>
      <c r="E81" s="57">
        <v>0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8">
        <v>3914.62</v>
      </c>
      <c r="M81" s="58">
        <v>242.75</v>
      </c>
      <c r="N81" s="57">
        <v>0</v>
      </c>
      <c r="O81" s="58">
        <v>4157.37</v>
      </c>
      <c r="P81" s="57">
        <v>0</v>
      </c>
      <c r="Q81" s="58">
        <v>-4157.37</v>
      </c>
      <c r="R81" s="57">
        <v>0</v>
      </c>
      <c r="S81" s="57">
        <v>0</v>
      </c>
      <c r="T81" s="57">
        <v>0</v>
      </c>
      <c r="U81" s="57">
        <v>0</v>
      </c>
    </row>
    <row r="82" spans="2:21" x14ac:dyDescent="0.25">
      <c r="B82" s="53" t="s">
        <v>326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4">
        <v>16623.22</v>
      </c>
      <c r="M82" s="54">
        <v>3569.81</v>
      </c>
      <c r="N82" s="55">
        <v>0</v>
      </c>
      <c r="O82" s="54">
        <v>20193.03</v>
      </c>
      <c r="P82" s="54">
        <v>23104.11</v>
      </c>
      <c r="Q82" s="54">
        <v>2911.08</v>
      </c>
      <c r="R82" s="54">
        <v>24988.12</v>
      </c>
      <c r="S82" s="54">
        <v>12.5998</v>
      </c>
      <c r="T82" s="54">
        <v>1984.01</v>
      </c>
      <c r="U82" s="55">
        <v>0</v>
      </c>
    </row>
    <row r="83" spans="2:21" x14ac:dyDescent="0.25">
      <c r="B83" s="56" t="s">
        <v>300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8">
        <v>1033.08</v>
      </c>
      <c r="M83" s="58">
        <v>257.18</v>
      </c>
      <c r="N83" s="57">
        <v>0</v>
      </c>
      <c r="O83" s="58">
        <v>1290.26</v>
      </c>
      <c r="P83" s="58">
        <v>825</v>
      </c>
      <c r="Q83" s="58">
        <v>-465.26</v>
      </c>
      <c r="R83" s="58">
        <v>900</v>
      </c>
      <c r="S83" s="58">
        <v>-56.395200000000003</v>
      </c>
      <c r="T83" s="58">
        <v>75</v>
      </c>
      <c r="U83" s="57">
        <v>0</v>
      </c>
    </row>
    <row r="84" spans="2:21" x14ac:dyDescent="0.25">
      <c r="B84" s="53" t="s">
        <v>327</v>
      </c>
      <c r="C84" s="55">
        <v>0</v>
      </c>
      <c r="D84" s="55">
        <v>0</v>
      </c>
      <c r="E84" s="55">
        <v>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4">
        <v>1033.08</v>
      </c>
      <c r="M84" s="54">
        <v>257.18</v>
      </c>
      <c r="N84" s="55">
        <v>0</v>
      </c>
      <c r="O84" s="54">
        <v>1290.26</v>
      </c>
      <c r="P84" s="54">
        <v>825</v>
      </c>
      <c r="Q84" s="54">
        <v>-465.26</v>
      </c>
      <c r="R84" s="54">
        <v>900</v>
      </c>
      <c r="S84" s="54">
        <v>-56.395200000000003</v>
      </c>
      <c r="T84" s="54">
        <v>75</v>
      </c>
      <c r="U84" s="55">
        <v>0</v>
      </c>
    </row>
    <row r="85" spans="2:21" x14ac:dyDescent="0.25">
      <c r="B85" s="56" t="s">
        <v>328</v>
      </c>
      <c r="C85" s="57">
        <v>0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8">
        <v>3491.88</v>
      </c>
      <c r="M85" s="57">
        <v>0</v>
      </c>
      <c r="N85" s="57">
        <v>0</v>
      </c>
      <c r="O85" s="58">
        <v>3491.88</v>
      </c>
      <c r="P85" s="58">
        <v>12100</v>
      </c>
      <c r="Q85" s="58">
        <v>8608.1200000000008</v>
      </c>
      <c r="R85" s="58">
        <v>13200</v>
      </c>
      <c r="S85" s="58">
        <v>71.141499999999994</v>
      </c>
      <c r="T85" s="58">
        <v>1100</v>
      </c>
      <c r="U85" s="57">
        <v>0</v>
      </c>
    </row>
    <row r="86" spans="2:21" x14ac:dyDescent="0.25">
      <c r="B86" s="56" t="s">
        <v>329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8">
        <v>10513.45</v>
      </c>
      <c r="M86" s="58">
        <v>1063.3599999999999</v>
      </c>
      <c r="N86" s="57">
        <v>0</v>
      </c>
      <c r="O86" s="58">
        <v>11576.81</v>
      </c>
      <c r="P86" s="57">
        <v>0</v>
      </c>
      <c r="Q86" s="58">
        <v>-11576.81</v>
      </c>
      <c r="R86" s="57">
        <v>0</v>
      </c>
      <c r="S86" s="57">
        <v>0</v>
      </c>
      <c r="T86" s="57">
        <v>0</v>
      </c>
      <c r="U86" s="57">
        <v>0</v>
      </c>
    </row>
    <row r="87" spans="2:21" x14ac:dyDescent="0.25">
      <c r="B87" s="53" t="s">
        <v>330</v>
      </c>
      <c r="C87" s="55">
        <v>0</v>
      </c>
      <c r="D87" s="55">
        <v>0</v>
      </c>
      <c r="E87" s="55">
        <v>0</v>
      </c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0</v>
      </c>
      <c r="L87" s="54">
        <v>14005.33</v>
      </c>
      <c r="M87" s="54">
        <v>1063.3599999999999</v>
      </c>
      <c r="N87" s="55">
        <v>0</v>
      </c>
      <c r="O87" s="54">
        <v>15068.69</v>
      </c>
      <c r="P87" s="54">
        <v>12100</v>
      </c>
      <c r="Q87" s="54">
        <v>-2968.69</v>
      </c>
      <c r="R87" s="54">
        <v>13200</v>
      </c>
      <c r="S87" s="54">
        <v>-24.534600000000001</v>
      </c>
      <c r="T87" s="54">
        <v>1100</v>
      </c>
      <c r="U87" s="55">
        <v>0</v>
      </c>
    </row>
    <row r="88" spans="2:21" x14ac:dyDescent="0.25">
      <c r="B88" s="56" t="s">
        <v>331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8">
        <v>4010.93</v>
      </c>
      <c r="Q88" s="58">
        <v>4010.93</v>
      </c>
      <c r="R88" s="58">
        <v>4375.5600000000004</v>
      </c>
      <c r="S88" s="58">
        <v>100</v>
      </c>
      <c r="T88" s="58">
        <v>364.63</v>
      </c>
      <c r="U88" s="57">
        <v>0</v>
      </c>
    </row>
    <row r="89" spans="2:21" x14ac:dyDescent="0.25">
      <c r="B89" s="56" t="s">
        <v>332</v>
      </c>
      <c r="C89" s="57">
        <v>0</v>
      </c>
      <c r="D89" s="57">
        <v>0</v>
      </c>
      <c r="E89" s="57">
        <v>0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8">
        <v>305.58999999999997</v>
      </c>
      <c r="M89" s="58">
        <v>30.56</v>
      </c>
      <c r="N89" s="57">
        <v>0</v>
      </c>
      <c r="O89" s="58">
        <v>336.15</v>
      </c>
      <c r="P89" s="57">
        <v>0</v>
      </c>
      <c r="Q89" s="58">
        <v>-336.15</v>
      </c>
      <c r="R89" s="57">
        <v>0</v>
      </c>
      <c r="S89" s="57">
        <v>0</v>
      </c>
      <c r="T89" s="57">
        <v>0</v>
      </c>
      <c r="U89" s="57">
        <v>0</v>
      </c>
    </row>
    <row r="90" spans="2:21" x14ac:dyDescent="0.25">
      <c r="B90" s="56" t="s">
        <v>283</v>
      </c>
      <c r="C90" s="57">
        <v>0</v>
      </c>
      <c r="D90" s="57">
        <v>0</v>
      </c>
      <c r="E90" s="57">
        <v>0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8">
        <v>135.75</v>
      </c>
      <c r="M90" s="57">
        <v>0</v>
      </c>
      <c r="N90" s="57">
        <v>0</v>
      </c>
      <c r="O90" s="58">
        <v>135.75</v>
      </c>
      <c r="P90" s="57">
        <v>0</v>
      </c>
      <c r="Q90" s="58">
        <v>-135.75</v>
      </c>
      <c r="R90" s="57">
        <v>0</v>
      </c>
      <c r="S90" s="57">
        <v>0</v>
      </c>
      <c r="T90" s="57">
        <v>0</v>
      </c>
      <c r="U90" s="57">
        <v>0</v>
      </c>
    </row>
    <row r="91" spans="2:21" x14ac:dyDescent="0.25">
      <c r="B91" s="56" t="s">
        <v>284</v>
      </c>
      <c r="C91" s="57">
        <v>0</v>
      </c>
      <c r="D91" s="57">
        <v>0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8">
        <v>3192.63</v>
      </c>
      <c r="M91" s="58">
        <v>350.4</v>
      </c>
      <c r="N91" s="57">
        <v>0</v>
      </c>
      <c r="O91" s="58">
        <v>3543.03</v>
      </c>
      <c r="P91" s="57">
        <v>0</v>
      </c>
      <c r="Q91" s="58">
        <v>-3543.03</v>
      </c>
      <c r="R91" s="57">
        <v>0</v>
      </c>
      <c r="S91" s="57">
        <v>0</v>
      </c>
      <c r="T91" s="57">
        <v>0</v>
      </c>
      <c r="U91" s="57">
        <v>0</v>
      </c>
    </row>
    <row r="92" spans="2:21" x14ac:dyDescent="0.25">
      <c r="B92" s="56" t="s">
        <v>285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8">
        <v>449.61</v>
      </c>
      <c r="M92" s="58">
        <v>44.96</v>
      </c>
      <c r="N92" s="57">
        <v>0</v>
      </c>
      <c r="O92" s="58">
        <v>494.57</v>
      </c>
      <c r="P92" s="57">
        <v>0</v>
      </c>
      <c r="Q92" s="58">
        <v>-494.57</v>
      </c>
      <c r="R92" s="57">
        <v>0</v>
      </c>
      <c r="S92" s="57">
        <v>0</v>
      </c>
      <c r="T92" s="57">
        <v>0</v>
      </c>
      <c r="U92" s="57">
        <v>0</v>
      </c>
    </row>
    <row r="93" spans="2:21" x14ac:dyDescent="0.25">
      <c r="B93" s="56" t="s">
        <v>286</v>
      </c>
      <c r="C93" s="57">
        <v>0</v>
      </c>
      <c r="D93" s="57">
        <v>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8">
        <v>676.56</v>
      </c>
      <c r="M93" s="58">
        <v>53.92</v>
      </c>
      <c r="N93" s="57">
        <v>0</v>
      </c>
      <c r="O93" s="58">
        <v>730.48</v>
      </c>
      <c r="P93" s="57">
        <v>0</v>
      </c>
      <c r="Q93" s="58">
        <v>-730.48</v>
      </c>
      <c r="R93" s="57">
        <v>0</v>
      </c>
      <c r="S93" s="57">
        <v>0</v>
      </c>
      <c r="T93" s="57">
        <v>0</v>
      </c>
      <c r="U93" s="57">
        <v>0</v>
      </c>
    </row>
    <row r="94" spans="2:21" x14ac:dyDescent="0.25">
      <c r="B94" s="56" t="s">
        <v>287</v>
      </c>
      <c r="C94" s="57">
        <v>0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8">
        <v>71.67</v>
      </c>
      <c r="M94" s="58">
        <v>7.17</v>
      </c>
      <c r="N94" s="57">
        <v>0</v>
      </c>
      <c r="O94" s="58">
        <v>78.84</v>
      </c>
      <c r="P94" s="57">
        <v>0</v>
      </c>
      <c r="Q94" s="58">
        <v>-78.84</v>
      </c>
      <c r="R94" s="57">
        <v>0</v>
      </c>
      <c r="S94" s="57">
        <v>0</v>
      </c>
      <c r="T94" s="57">
        <v>0</v>
      </c>
      <c r="U94" s="57">
        <v>0</v>
      </c>
    </row>
    <row r="95" spans="2:21" x14ac:dyDescent="0.25">
      <c r="B95" s="53" t="s">
        <v>333</v>
      </c>
      <c r="C95" s="55">
        <v>0</v>
      </c>
      <c r="D95" s="55">
        <v>0</v>
      </c>
      <c r="E95" s="55">
        <v>0</v>
      </c>
      <c r="F95" s="55">
        <v>0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4">
        <v>4831.8100000000004</v>
      </c>
      <c r="M95" s="54">
        <v>487.01</v>
      </c>
      <c r="N95" s="55">
        <v>0</v>
      </c>
      <c r="O95" s="54">
        <v>5318.82</v>
      </c>
      <c r="P95" s="54">
        <v>4010.93</v>
      </c>
      <c r="Q95" s="54">
        <v>-1307.8900000000001</v>
      </c>
      <c r="R95" s="54">
        <v>4375.5600000000004</v>
      </c>
      <c r="S95" s="54">
        <v>-32.6081</v>
      </c>
      <c r="T95" s="54">
        <v>364.63</v>
      </c>
      <c r="U95" s="55">
        <v>0</v>
      </c>
    </row>
    <row r="96" spans="2:21" x14ac:dyDescent="0.25">
      <c r="B96" s="53" t="s">
        <v>334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4">
        <v>-253120</v>
      </c>
      <c r="M96" s="54">
        <v>-25312</v>
      </c>
      <c r="N96" s="55">
        <v>0</v>
      </c>
      <c r="O96" s="54">
        <v>-278432</v>
      </c>
      <c r="P96" s="54">
        <v>-278432</v>
      </c>
      <c r="Q96" s="55">
        <v>0</v>
      </c>
      <c r="R96" s="54">
        <v>-303744</v>
      </c>
      <c r="S96" s="55">
        <v>0</v>
      </c>
      <c r="T96" s="54">
        <v>-25312</v>
      </c>
      <c r="U96" s="55">
        <v>0</v>
      </c>
    </row>
    <row r="97" spans="2:21" x14ac:dyDescent="0.25">
      <c r="B97" s="56" t="s">
        <v>335</v>
      </c>
      <c r="C97" s="57">
        <v>0</v>
      </c>
      <c r="D97" s="57">
        <v>0</v>
      </c>
      <c r="E97" s="57">
        <v>0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8">
        <v>-253120</v>
      </c>
      <c r="M97" s="58">
        <v>-25312</v>
      </c>
      <c r="N97" s="57">
        <v>0</v>
      </c>
      <c r="O97" s="58">
        <v>-278432</v>
      </c>
      <c r="P97" s="58">
        <v>-278432</v>
      </c>
      <c r="Q97" s="57">
        <v>0</v>
      </c>
      <c r="R97" s="58">
        <v>-303744</v>
      </c>
      <c r="S97" s="57">
        <v>0</v>
      </c>
      <c r="T97" s="58">
        <v>-25312</v>
      </c>
      <c r="U97" s="57">
        <v>0</v>
      </c>
    </row>
    <row r="98" spans="2:21" x14ac:dyDescent="0.25">
      <c r="B98" s="53" t="s">
        <v>336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802532.75</v>
      </c>
      <c r="M98" s="54">
        <v>101665.16</v>
      </c>
      <c r="N98" s="55">
        <v>0</v>
      </c>
      <c r="O98" s="54">
        <v>904197.91</v>
      </c>
      <c r="P98" s="54">
        <v>674879.64</v>
      </c>
      <c r="Q98" s="54">
        <v>-229318.27</v>
      </c>
      <c r="R98" s="54">
        <v>751305.26</v>
      </c>
      <c r="S98" s="54">
        <v>-33.979100000000003</v>
      </c>
      <c r="T98" s="54">
        <v>59875.62</v>
      </c>
      <c r="U98" s="55">
        <v>0</v>
      </c>
    </row>
    <row r="99" spans="2:21" x14ac:dyDescent="0.25">
      <c r="B99" s="53" t="s">
        <v>337</v>
      </c>
      <c r="C99" s="55">
        <v>0</v>
      </c>
      <c r="D99" s="55">
        <v>0</v>
      </c>
      <c r="E99" s="55">
        <v>0</v>
      </c>
      <c r="F99" s="55">
        <v>0</v>
      </c>
      <c r="G99" s="55">
        <v>0</v>
      </c>
      <c r="H99" s="55">
        <v>0</v>
      </c>
      <c r="I99" s="55">
        <v>0</v>
      </c>
      <c r="J99" s="55">
        <v>0</v>
      </c>
      <c r="K99" s="55">
        <v>0</v>
      </c>
      <c r="L99" s="54">
        <v>-16861.810000000001</v>
      </c>
      <c r="M99" s="54">
        <v>-14636.92</v>
      </c>
      <c r="N99" s="55">
        <v>0</v>
      </c>
      <c r="O99" s="54">
        <v>-31498.73</v>
      </c>
      <c r="P99" s="54">
        <v>-147472.20000000001</v>
      </c>
      <c r="Q99" s="54">
        <v>-115973.47</v>
      </c>
      <c r="R99" s="54">
        <v>-110650.03</v>
      </c>
      <c r="S99" s="54">
        <v>78.640900000000002</v>
      </c>
      <c r="T99" s="54">
        <v>-18902.830000000002</v>
      </c>
      <c r="U99" s="55">
        <v>0</v>
      </c>
    </row>
    <row r="100" spans="2:21" x14ac:dyDescent="0.25">
      <c r="B100" s="56" t="s">
        <v>338</v>
      </c>
      <c r="C100" s="57">
        <v>0</v>
      </c>
      <c r="D100" s="57">
        <v>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8">
        <v>-90470.36</v>
      </c>
      <c r="M100" s="58">
        <v>-15681.04</v>
      </c>
      <c r="N100" s="57">
        <v>0</v>
      </c>
      <c r="O100" s="58">
        <v>-106151.4</v>
      </c>
      <c r="P100" s="58">
        <v>-204583.06</v>
      </c>
      <c r="Q100" s="58">
        <v>-98431.66</v>
      </c>
      <c r="R100" s="58">
        <v>-223181.52</v>
      </c>
      <c r="S100" s="58">
        <v>48.113300000000002</v>
      </c>
      <c r="T100" s="58">
        <v>-18598.46</v>
      </c>
      <c r="U100" s="57">
        <v>0</v>
      </c>
    </row>
    <row r="101" spans="2:21" x14ac:dyDescent="0.25">
      <c r="B101" s="53" t="s">
        <v>339</v>
      </c>
      <c r="C101" s="55">
        <v>0</v>
      </c>
      <c r="D101" s="55">
        <v>0</v>
      </c>
      <c r="E101" s="55">
        <v>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4">
        <v>-90470.36</v>
      </c>
      <c r="M101" s="54">
        <v>-15681.04</v>
      </c>
      <c r="N101" s="55">
        <v>0</v>
      </c>
      <c r="O101" s="54">
        <v>-106151.4</v>
      </c>
      <c r="P101" s="54">
        <v>-204583.06</v>
      </c>
      <c r="Q101" s="54">
        <v>-98431.66</v>
      </c>
      <c r="R101" s="54">
        <v>-223181.52</v>
      </c>
      <c r="S101" s="54">
        <v>48.113300000000002</v>
      </c>
      <c r="T101" s="54">
        <v>-18598.46</v>
      </c>
      <c r="U101" s="55">
        <v>0</v>
      </c>
    </row>
    <row r="102" spans="2:21" x14ac:dyDescent="0.25">
      <c r="B102" s="56" t="s">
        <v>340</v>
      </c>
      <c r="C102" s="57">
        <v>0</v>
      </c>
      <c r="D102" s="57">
        <v>0</v>
      </c>
      <c r="E102" s="57">
        <v>0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8">
        <v>7149.26</v>
      </c>
      <c r="M102" s="58">
        <v>1160.6600000000001</v>
      </c>
      <c r="N102" s="57">
        <v>0</v>
      </c>
      <c r="O102" s="58">
        <v>8309.92</v>
      </c>
      <c r="P102" s="57">
        <v>0</v>
      </c>
      <c r="Q102" s="58">
        <v>-8309.92</v>
      </c>
      <c r="R102" s="57">
        <v>0</v>
      </c>
      <c r="S102" s="57">
        <v>0</v>
      </c>
      <c r="T102" s="57">
        <v>0</v>
      </c>
      <c r="U102" s="57">
        <v>0</v>
      </c>
    </row>
    <row r="103" spans="2:21" x14ac:dyDescent="0.25">
      <c r="B103" s="56" t="s">
        <v>341</v>
      </c>
      <c r="C103" s="57">
        <v>0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58">
        <v>12051.93</v>
      </c>
      <c r="Q103" s="58">
        <v>12051.93</v>
      </c>
      <c r="R103" s="58">
        <v>23572.560000000001</v>
      </c>
      <c r="S103" s="58">
        <v>100</v>
      </c>
      <c r="T103" s="58">
        <v>1095.6300000000001</v>
      </c>
      <c r="U103" s="57">
        <v>0</v>
      </c>
    </row>
    <row r="104" spans="2:21" x14ac:dyDescent="0.25">
      <c r="B104" s="56" t="s">
        <v>343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8">
        <v>1903.76</v>
      </c>
      <c r="M104" s="58">
        <v>333.8</v>
      </c>
      <c r="N104" s="57">
        <v>0</v>
      </c>
      <c r="O104" s="58">
        <v>2237.56</v>
      </c>
      <c r="P104" s="57">
        <v>0</v>
      </c>
      <c r="Q104" s="58">
        <v>-2237.56</v>
      </c>
      <c r="R104" s="57">
        <v>0</v>
      </c>
      <c r="S104" s="57">
        <v>0</v>
      </c>
      <c r="T104" s="57">
        <v>0</v>
      </c>
      <c r="U104" s="57">
        <v>0</v>
      </c>
    </row>
    <row r="105" spans="2:21" x14ac:dyDescent="0.25">
      <c r="B105" s="53" t="s">
        <v>344</v>
      </c>
      <c r="C105" s="55">
        <v>0</v>
      </c>
      <c r="D105" s="55">
        <v>0</v>
      </c>
      <c r="E105" s="55">
        <v>0</v>
      </c>
      <c r="F105" s="55">
        <v>0</v>
      </c>
      <c r="G105" s="55">
        <v>0</v>
      </c>
      <c r="H105" s="55">
        <v>0</v>
      </c>
      <c r="I105" s="55">
        <v>0</v>
      </c>
      <c r="J105" s="55">
        <v>0</v>
      </c>
      <c r="K105" s="55">
        <v>0</v>
      </c>
      <c r="L105" s="54">
        <v>9053.02</v>
      </c>
      <c r="M105" s="54">
        <v>1494.46</v>
      </c>
      <c r="N105" s="55">
        <v>0</v>
      </c>
      <c r="O105" s="54">
        <v>10547.48</v>
      </c>
      <c r="P105" s="54">
        <v>12051.93</v>
      </c>
      <c r="Q105" s="54">
        <v>1504.45</v>
      </c>
      <c r="R105" s="54">
        <v>23572.560000000001</v>
      </c>
      <c r="S105" s="54">
        <v>12.4831</v>
      </c>
      <c r="T105" s="54">
        <v>1095.6300000000001</v>
      </c>
      <c r="U105" s="55">
        <v>0</v>
      </c>
    </row>
    <row r="106" spans="2:21" x14ac:dyDescent="0.25">
      <c r="B106" s="56" t="s">
        <v>345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8">
        <v>2866.24</v>
      </c>
      <c r="M106" s="57">
        <v>0</v>
      </c>
      <c r="N106" s="57">
        <v>0</v>
      </c>
      <c r="O106" s="58">
        <v>2866.24</v>
      </c>
      <c r="P106" s="57">
        <v>0</v>
      </c>
      <c r="Q106" s="58">
        <v>-2866.24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5">
      <c r="B107" s="56" t="s">
        <v>346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8">
        <v>32.340000000000003</v>
      </c>
      <c r="M107" s="58">
        <v>0.25</v>
      </c>
      <c r="N107" s="57">
        <v>0</v>
      </c>
      <c r="O107" s="58">
        <v>32.590000000000003</v>
      </c>
      <c r="P107" s="57">
        <v>0</v>
      </c>
      <c r="Q107" s="58">
        <v>-32.590000000000003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5">
      <c r="B108" s="56" t="s">
        <v>347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8">
        <v>13912.36</v>
      </c>
      <c r="M108" s="57">
        <v>0</v>
      </c>
      <c r="N108" s="57">
        <v>0</v>
      </c>
      <c r="O108" s="58">
        <v>13912.36</v>
      </c>
      <c r="P108" s="57">
        <v>0</v>
      </c>
      <c r="Q108" s="58">
        <v>-13912.36</v>
      </c>
      <c r="R108" s="57">
        <v>0</v>
      </c>
      <c r="S108" s="57">
        <v>0</v>
      </c>
      <c r="T108" s="57">
        <v>0</v>
      </c>
      <c r="U108" s="57">
        <v>0</v>
      </c>
    </row>
    <row r="109" spans="2:21" x14ac:dyDescent="0.25">
      <c r="B109" s="56" t="s">
        <v>348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58606.54</v>
      </c>
      <c r="M109" s="57">
        <v>0</v>
      </c>
      <c r="N109" s="57">
        <v>0</v>
      </c>
      <c r="O109" s="58">
        <v>58606.54</v>
      </c>
      <c r="P109" s="58">
        <v>67058.929999999993</v>
      </c>
      <c r="Q109" s="58">
        <v>8452.39</v>
      </c>
      <c r="R109" s="58">
        <v>112958.93</v>
      </c>
      <c r="S109" s="58">
        <v>12.6044</v>
      </c>
      <c r="T109" s="58">
        <v>600</v>
      </c>
      <c r="U109" s="57">
        <v>0</v>
      </c>
    </row>
    <row r="110" spans="2:21" x14ac:dyDescent="0.25">
      <c r="B110" s="56" t="s">
        <v>349</v>
      </c>
      <c r="C110" s="57">
        <v>0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8">
        <v>3.96</v>
      </c>
      <c r="M110" s="57">
        <v>0</v>
      </c>
      <c r="N110" s="57">
        <v>0</v>
      </c>
      <c r="O110" s="58">
        <v>3.96</v>
      </c>
      <c r="P110" s="57">
        <v>0</v>
      </c>
      <c r="Q110" s="58">
        <v>-3.96</v>
      </c>
      <c r="R110" s="57">
        <v>0</v>
      </c>
      <c r="S110" s="57">
        <v>0</v>
      </c>
      <c r="T110" s="57">
        <v>0</v>
      </c>
      <c r="U110" s="57">
        <v>0</v>
      </c>
    </row>
    <row r="111" spans="2:21" x14ac:dyDescent="0.25">
      <c r="B111" s="56" t="s">
        <v>350</v>
      </c>
      <c r="C111" s="57">
        <v>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8">
        <v>-1.71</v>
      </c>
      <c r="M111" s="58">
        <v>-0.15</v>
      </c>
      <c r="N111" s="57">
        <v>0</v>
      </c>
      <c r="O111" s="58">
        <v>-1.86</v>
      </c>
      <c r="P111" s="57">
        <v>0</v>
      </c>
      <c r="Q111" s="58">
        <v>1.86</v>
      </c>
      <c r="R111" s="57">
        <v>0</v>
      </c>
      <c r="S111" s="57">
        <v>0</v>
      </c>
      <c r="T111" s="57">
        <v>0</v>
      </c>
      <c r="U111" s="57">
        <v>0</v>
      </c>
    </row>
    <row r="112" spans="2:21" x14ac:dyDescent="0.25">
      <c r="B112" s="56" t="s">
        <v>351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8">
        <v>-6317.84</v>
      </c>
      <c r="M112" s="57">
        <v>0</v>
      </c>
      <c r="N112" s="57">
        <v>0</v>
      </c>
      <c r="O112" s="58">
        <v>-6317.84</v>
      </c>
      <c r="P112" s="57">
        <v>0</v>
      </c>
      <c r="Q112" s="58">
        <v>6317.84</v>
      </c>
      <c r="R112" s="57">
        <v>0</v>
      </c>
      <c r="S112" s="57">
        <v>0</v>
      </c>
      <c r="T112" s="57">
        <v>0</v>
      </c>
      <c r="U112" s="57">
        <v>0</v>
      </c>
    </row>
    <row r="113" spans="2:21" x14ac:dyDescent="0.25">
      <c r="B113" s="53" t="s">
        <v>352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4">
        <v>69101.89</v>
      </c>
      <c r="M113" s="54">
        <v>0.1</v>
      </c>
      <c r="N113" s="55">
        <v>0</v>
      </c>
      <c r="O113" s="54">
        <v>69101.990000000005</v>
      </c>
      <c r="P113" s="54">
        <v>67058.929999999993</v>
      </c>
      <c r="Q113" s="54">
        <v>-2043.06</v>
      </c>
      <c r="R113" s="54">
        <v>112958.93</v>
      </c>
      <c r="S113" s="54">
        <v>-3.0467</v>
      </c>
      <c r="T113" s="54">
        <v>600</v>
      </c>
      <c r="U113" s="55">
        <v>0</v>
      </c>
    </row>
    <row r="114" spans="2:21" x14ac:dyDescent="0.25">
      <c r="B114" s="56" t="s">
        <v>353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8">
        <v>-401108.28</v>
      </c>
      <c r="M114" s="58">
        <v>-93029.8</v>
      </c>
      <c r="N114" s="57">
        <v>0</v>
      </c>
      <c r="O114" s="58">
        <v>-494138.08</v>
      </c>
      <c r="P114" s="58">
        <v>-22000</v>
      </c>
      <c r="Q114" s="58">
        <v>472138.08</v>
      </c>
      <c r="R114" s="58">
        <v>-24000</v>
      </c>
      <c r="S114" s="58">
        <v>-2146.0821999999998</v>
      </c>
      <c r="T114" s="58">
        <v>-2000</v>
      </c>
      <c r="U114" s="57">
        <v>0</v>
      </c>
    </row>
    <row r="115" spans="2:21" x14ac:dyDescent="0.25">
      <c r="B115" s="56" t="s">
        <v>354</v>
      </c>
      <c r="C115" s="57">
        <v>0</v>
      </c>
      <c r="D115" s="57">
        <v>0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8">
        <v>398112.68</v>
      </c>
      <c r="M115" s="58">
        <v>93575.89</v>
      </c>
      <c r="N115" s="57">
        <v>0</v>
      </c>
      <c r="O115" s="58">
        <v>491688.57</v>
      </c>
      <c r="P115" s="57">
        <v>0</v>
      </c>
      <c r="Q115" s="58">
        <v>-491688.57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5">
      <c r="B116" s="56" t="s">
        <v>355</v>
      </c>
      <c r="C116" s="57">
        <v>0</v>
      </c>
      <c r="D116" s="57">
        <v>0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0</v>
      </c>
      <c r="L116" s="58">
        <v>-70764.070000000007</v>
      </c>
      <c r="M116" s="58">
        <v>-6628.69</v>
      </c>
      <c r="N116" s="57">
        <v>0</v>
      </c>
      <c r="O116" s="58">
        <v>-77392.759999999995</v>
      </c>
      <c r="P116" s="57">
        <v>0</v>
      </c>
      <c r="Q116" s="58">
        <v>77392.759999999995</v>
      </c>
      <c r="R116" s="57">
        <v>0</v>
      </c>
      <c r="S116" s="57">
        <v>0</v>
      </c>
      <c r="T116" s="57">
        <v>0</v>
      </c>
      <c r="U116" s="57">
        <v>0</v>
      </c>
    </row>
    <row r="117" spans="2:21" x14ac:dyDescent="0.25">
      <c r="B117" s="56" t="s">
        <v>356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8">
        <v>-3161.01</v>
      </c>
      <c r="M117" s="57">
        <v>0</v>
      </c>
      <c r="N117" s="57">
        <v>0</v>
      </c>
      <c r="O117" s="58">
        <v>-3161.01</v>
      </c>
      <c r="P117" s="57">
        <v>0</v>
      </c>
      <c r="Q117" s="58">
        <v>3161.01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5">
      <c r="B118" s="56" t="s">
        <v>357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8">
        <v>72762.179999999993</v>
      </c>
      <c r="M118" s="58">
        <v>5493.75</v>
      </c>
      <c r="N118" s="57">
        <v>0</v>
      </c>
      <c r="O118" s="58">
        <v>78255.929999999993</v>
      </c>
      <c r="P118" s="57">
        <v>0</v>
      </c>
      <c r="Q118" s="58">
        <v>-78255.929999999993</v>
      </c>
      <c r="R118" s="57">
        <v>0</v>
      </c>
      <c r="S118" s="57">
        <v>0</v>
      </c>
      <c r="T118" s="57">
        <v>0</v>
      </c>
      <c r="U118" s="57">
        <v>0</v>
      </c>
    </row>
    <row r="119" spans="2:21" x14ac:dyDescent="0.25">
      <c r="B119" s="56" t="s">
        <v>358</v>
      </c>
      <c r="C119" s="57">
        <v>0</v>
      </c>
      <c r="D119" s="57">
        <v>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8">
        <v>-387.86</v>
      </c>
      <c r="M119" s="58">
        <v>138.41</v>
      </c>
      <c r="N119" s="57">
        <v>0</v>
      </c>
      <c r="O119" s="58">
        <v>-249.45</v>
      </c>
      <c r="P119" s="57">
        <v>0</v>
      </c>
      <c r="Q119" s="58">
        <v>249.45</v>
      </c>
      <c r="R119" s="57">
        <v>0</v>
      </c>
      <c r="S119" s="57">
        <v>0</v>
      </c>
      <c r="T119" s="57">
        <v>0</v>
      </c>
      <c r="U119" s="57">
        <v>0</v>
      </c>
    </row>
    <row r="120" spans="2:21" x14ac:dyDescent="0.25">
      <c r="B120" s="53" t="s">
        <v>359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4">
        <v>-4546.3599999999997</v>
      </c>
      <c r="M120" s="54">
        <v>-450.44</v>
      </c>
      <c r="N120" s="55">
        <v>0</v>
      </c>
      <c r="O120" s="54">
        <v>-4996.8</v>
      </c>
      <c r="P120" s="54">
        <v>-22000</v>
      </c>
      <c r="Q120" s="54">
        <v>-17003.2</v>
      </c>
      <c r="R120" s="54">
        <v>-24000</v>
      </c>
      <c r="S120" s="54">
        <v>77.287300000000002</v>
      </c>
      <c r="T120" s="54">
        <v>-2000</v>
      </c>
      <c r="U120" s="55">
        <v>0</v>
      </c>
    </row>
    <row r="121" spans="2:21" x14ac:dyDescent="0.25">
      <c r="B121" s="59" t="s">
        <v>360</v>
      </c>
      <c r="C121" s="61">
        <v>0</v>
      </c>
      <c r="D121" s="61">
        <v>0</v>
      </c>
      <c r="E121" s="61">
        <v>0</v>
      </c>
      <c r="F121" s="61">
        <v>0</v>
      </c>
      <c r="G121" s="61">
        <v>0</v>
      </c>
      <c r="H121" s="61">
        <v>0</v>
      </c>
      <c r="I121" s="61">
        <v>0</v>
      </c>
      <c r="J121" s="61">
        <v>0</v>
      </c>
      <c r="K121" s="61">
        <v>0</v>
      </c>
      <c r="L121" s="60">
        <v>785670.94</v>
      </c>
      <c r="M121" s="60">
        <v>87028.24</v>
      </c>
      <c r="N121" s="61">
        <v>0</v>
      </c>
      <c r="O121" s="60">
        <v>872699.18</v>
      </c>
      <c r="P121" s="60">
        <v>527407.43999999994</v>
      </c>
      <c r="Q121" s="60">
        <v>-345291.74</v>
      </c>
      <c r="R121" s="60">
        <v>640655.23</v>
      </c>
      <c r="S121" s="60">
        <v>-65.4696</v>
      </c>
      <c r="T121" s="60">
        <v>40972.79</v>
      </c>
      <c r="U121" s="61">
        <v>0</v>
      </c>
    </row>
    <row r="122" spans="2:21" x14ac:dyDescent="0.25">
      <c r="B122" s="53" t="s">
        <v>361</v>
      </c>
      <c r="C122" s="55">
        <v>0</v>
      </c>
      <c r="D122" s="55">
        <v>0</v>
      </c>
      <c r="E122" s="55">
        <v>0</v>
      </c>
      <c r="F122" s="55">
        <v>0</v>
      </c>
      <c r="G122" s="55">
        <v>0</v>
      </c>
      <c r="H122" s="55">
        <v>0</v>
      </c>
      <c r="I122" s="55">
        <v>0</v>
      </c>
      <c r="J122" s="55">
        <v>0</v>
      </c>
      <c r="K122" s="55">
        <v>0</v>
      </c>
      <c r="L122" s="55">
        <v>0</v>
      </c>
      <c r="M122" s="55">
        <v>0</v>
      </c>
      <c r="N122" s="55">
        <v>0</v>
      </c>
      <c r="O122" s="55">
        <v>0</v>
      </c>
      <c r="P122" s="55">
        <v>0</v>
      </c>
      <c r="Q122" s="55">
        <v>0</v>
      </c>
      <c r="R122" s="55">
        <v>0</v>
      </c>
      <c r="S122" s="55">
        <v>0</v>
      </c>
      <c r="T122" s="55">
        <v>0</v>
      </c>
      <c r="U122" s="55">
        <v>0</v>
      </c>
    </row>
    <row r="123" spans="2:21" x14ac:dyDescent="0.25">
      <c r="B123" s="53" t="s">
        <v>466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5">
      <c r="B124" s="53" t="s">
        <v>467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</row>
    <row r="125" spans="2:21" x14ac:dyDescent="0.25">
      <c r="B125" s="53" t="s">
        <v>364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5">
      <c r="B126" s="59" t="s">
        <v>368</v>
      </c>
      <c r="C126" s="61">
        <v>0</v>
      </c>
      <c r="D126" s="61">
        <v>0</v>
      </c>
      <c r="E126" s="61">
        <v>0</v>
      </c>
      <c r="F126" s="61">
        <v>0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0">
        <v>797700.94</v>
      </c>
      <c r="M126" s="60">
        <v>101178.15</v>
      </c>
      <c r="N126" s="61">
        <v>0</v>
      </c>
      <c r="O126" s="60">
        <v>898879.09</v>
      </c>
      <c r="P126" s="60">
        <v>670868.71</v>
      </c>
      <c r="Q126" s="60">
        <v>-228010.38</v>
      </c>
      <c r="R126" s="60">
        <v>746929.7</v>
      </c>
      <c r="S126" s="60">
        <v>-33.987299999999998</v>
      </c>
      <c r="T126" s="60">
        <v>59510.99</v>
      </c>
      <c r="U126" s="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5</vt:i4>
      </vt:variant>
    </vt:vector>
  </HeadingPairs>
  <TitlesOfParts>
    <vt:vector size="21" baseType="lpstr">
      <vt:lpstr>Presentacion</vt:lpstr>
      <vt:lpstr>PETRAL</vt:lpstr>
      <vt:lpstr>PETRAL GRR3</vt:lpstr>
      <vt:lpstr>Hoja1</vt:lpstr>
      <vt:lpstr>Moquegua</vt:lpstr>
      <vt:lpstr>MOQUEGUA GRR3</vt:lpstr>
      <vt:lpstr>Hoja2</vt:lpstr>
      <vt:lpstr>Tablones</vt:lpstr>
      <vt:lpstr>TABLONES GRR3</vt:lpstr>
      <vt:lpstr>Hoja3</vt:lpstr>
      <vt:lpstr>Flota Contratada</vt:lpstr>
      <vt:lpstr>FLOTA CONTRATADA GRR3</vt:lpstr>
      <vt:lpstr>Hoja4</vt:lpstr>
      <vt:lpstr>Gastos Adm</vt:lpstr>
      <vt:lpstr>GTOS ADM GRR3</vt:lpstr>
      <vt:lpstr>Hoja5</vt:lpstr>
      <vt:lpstr>'Flota Contratada'!Área_de_impresión</vt:lpstr>
      <vt:lpstr>'Gastos Adm'!Área_de_impresión</vt:lpstr>
      <vt:lpstr>Moquegua!Área_de_impresión</vt:lpstr>
      <vt:lpstr>PETRAL!Área_de_impresión</vt:lpstr>
      <vt:lpstr>Tablones!Área_de_impresión</vt:lpstr>
    </vt:vector>
  </TitlesOfParts>
  <Manager/>
  <Company>Petrolera Trasoceánica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Gerencia</dc:title>
  <dc:subject>Petrolera Transoceanica S.A.</dc:subject>
  <dc:creator>Yonam Contreras Zambrano</dc:creator>
  <cp:keywords/>
  <dc:description/>
  <cp:lastModifiedBy>Jorge Gensollen</cp:lastModifiedBy>
  <cp:revision/>
  <cp:lastPrinted>2026-02-12T17:03:40Z</cp:lastPrinted>
  <dcterms:created xsi:type="dcterms:W3CDTF">2002-07-23T21:42:53Z</dcterms:created>
  <dcterms:modified xsi:type="dcterms:W3CDTF">2026-06-08T23:47:37Z</dcterms:modified>
  <cp:category/>
  <cp:contentStatus/>
</cp:coreProperties>
</file>
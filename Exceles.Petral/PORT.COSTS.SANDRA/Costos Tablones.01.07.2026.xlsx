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defaultThemeVersion="124226"/>
  <mc:AlternateContent xmlns:mc="http://schemas.openxmlformats.org/markup-compatibility/2006">
    <mc:Choice Requires="x15">
      <x15ac:absPath xmlns:x15ac="http://schemas.microsoft.com/office/spreadsheetml/2010/11/ac" url="C:\Users\rguti\PETRAL.SMART.DASHBOARD\Exceles.Petral\PORT.COSTS.SANDRA\"/>
    </mc:Choice>
  </mc:AlternateContent>
  <xr:revisionPtr revIDLastSave="0" documentId="13_ncr:1_{F393CE9C-9F8D-4AD5-AE01-2A24834C13A0}" xr6:coauthVersionLast="47" xr6:coauthVersionMax="47" xr10:uidLastSave="{00000000-0000-0000-0000-000000000000}"/>
  <bookViews>
    <workbookView xWindow="-23148" yWindow="-108" windowWidth="23256" windowHeight="12576" firstSheet="3" activeTab="8" xr2:uid="{00000000-000D-0000-FFFF-FFFF00000000}"/>
  </bookViews>
  <sheets>
    <sheet name="ILO" sheetId="4" r:id="rId1"/>
    <sheet name="ILO PATIO PUERTO" sheetId="14" r:id="rId2"/>
    <sheet name="MATARANI" sheetId="15" r:id="rId3"/>
    <sheet name="MARCONA" sheetId="19" r:id="rId4"/>
    <sheet name="CALLAO" sheetId="8" r:id="rId5"/>
    <sheet name="MEJILLONES.A" sheetId="5" r:id="rId6"/>
    <sheet name="MEJILLONES INTERACID" sheetId="12" r:id="rId7"/>
    <sheet name="MEJILLONES.TERQUIM" sheetId="20" r:id="rId8"/>
    <sheet name="BARQUITO" sheetId="6" r:id="rId9"/>
    <sheet name="Viaje con Bunkering" sheetId="16" state="hidden" r:id="rId10"/>
    <sheet name=" PORT COST% CHILE" sheetId="17" state="hidden" r:id="rId11"/>
    <sheet name="PORT COST % ILO" sheetId="18" state="hidden" r:id="rId12"/>
  </sheets>
  <definedNames>
    <definedName name="_xlnm.Print_Area" localSheetId="8">BARQUITO!$A$1:$G$40</definedName>
    <definedName name="_xlnm.Print_Area" localSheetId="4">CALLAO!$A$1:$G$36</definedName>
    <definedName name="_xlnm.Print_Area" localSheetId="0">ILO!$A$1:$G$41</definedName>
    <definedName name="_xlnm.Print_Area" localSheetId="1">'ILO PATIO PUERTO'!$A$1:$G$36</definedName>
    <definedName name="_xlnm.Print_Area" localSheetId="3">MARCONA!$A$1:$G$40</definedName>
    <definedName name="_xlnm.Print_Area" localSheetId="2">MATARANI!$A$1:$G$41</definedName>
    <definedName name="_xlnm.Print_Area" localSheetId="6">'MEJILLONES INTERACID'!$A$1:$G$33</definedName>
    <definedName name="_xlnm.Print_Area" localSheetId="5">MEJILLONES.A!$A$1:$G$44</definedName>
    <definedName name="_xlnm.Print_Area" localSheetId="7">MEJILLONES.TERQUIM!$A$1:$G$35</definedName>
    <definedName name="_xlnm.Print_Area" localSheetId="11">'PORT COST % ILO'!$A$1:$L$28</definedName>
    <definedName name="_xlnm.Print_Area" localSheetId="9">'Viaje con Bunkering'!$A$1:$G$26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1" i="4" l="1"/>
  <c r="D22" i="4"/>
  <c r="D19" i="8" l="1"/>
  <c r="D20" i="8"/>
  <c r="E13" i="6"/>
  <c r="E14" i="6"/>
  <c r="E15" i="6"/>
  <c r="E16" i="6"/>
  <c r="E17" i="6"/>
  <c r="E18" i="6"/>
  <c r="E19" i="6"/>
  <c r="E20" i="6"/>
  <c r="E21" i="6"/>
  <c r="E22" i="6"/>
  <c r="E23" i="6"/>
  <c r="E24" i="6"/>
  <c r="E25" i="6"/>
  <c r="E26" i="6"/>
  <c r="E27" i="6"/>
  <c r="E28" i="6"/>
  <c r="D17" i="6"/>
  <c r="D18" i="6"/>
  <c r="D11" i="6"/>
  <c r="D10" i="6"/>
  <c r="D22" i="5"/>
  <c r="D21" i="5"/>
  <c r="D17" i="20"/>
  <c r="D23" i="19" l="1"/>
  <c r="D19" i="4"/>
  <c r="D14" i="14"/>
  <c r="D23" i="4"/>
  <c r="G14" i="18" l="1"/>
  <c r="H14" i="18"/>
  <c r="H17" i="18" s="1"/>
  <c r="H19" i="18" s="1"/>
  <c r="H22" i="18" s="1"/>
  <c r="G17" i="18"/>
  <c r="G19" i="18"/>
  <c r="G22" i="18"/>
  <c r="D31" i="15"/>
  <c r="E18" i="15" s="1"/>
  <c r="D27" i="12" l="1"/>
  <c r="D16" i="20"/>
  <c r="D8" i="20"/>
  <c r="D28" i="20" s="1"/>
  <c r="E26" i="20" l="1"/>
  <c r="E12" i="20" l="1"/>
  <c r="E22" i="20"/>
  <c r="E24" i="20"/>
  <c r="E11" i="20"/>
  <c r="E10" i="20"/>
  <c r="E15" i="20"/>
  <c r="E16" i="20"/>
  <c r="E17" i="20"/>
  <c r="E18" i="20"/>
  <c r="E19" i="20"/>
  <c r="E20" i="20"/>
  <c r="E21" i="20"/>
  <c r="E28" i="20"/>
  <c r="E25" i="20"/>
  <c r="E8" i="20"/>
  <c r="E9" i="20"/>
  <c r="E23" i="20"/>
  <c r="D16" i="19" l="1"/>
  <c r="D32" i="19" s="1"/>
  <c r="E23" i="19" l="1"/>
  <c r="E20" i="19"/>
  <c r="E32" i="19"/>
  <c r="E30" i="19"/>
  <c r="E15" i="19"/>
  <c r="E29" i="19"/>
  <c r="E14" i="19"/>
  <c r="E27" i="19"/>
  <c r="E26" i="19"/>
  <c r="E25" i="19"/>
  <c r="E24" i="19"/>
  <c r="E22" i="19"/>
  <c r="E21" i="19"/>
  <c r="E16" i="19"/>
  <c r="D29" i="6" l="1"/>
  <c r="C11" i="17" l="1"/>
  <c r="C14" i="17" s="1"/>
  <c r="E11" i="17" l="1"/>
  <c r="D14" i="18" l="1"/>
  <c r="D17" i="18" s="1"/>
  <c r="E14" i="18"/>
  <c r="E17" i="18" s="1"/>
  <c r="C14" i="18"/>
  <c r="C17" i="18" s="1"/>
  <c r="F14" i="18"/>
  <c r="F17" i="18" s="1"/>
  <c r="F11" i="17"/>
  <c r="F14" i="17" s="1"/>
  <c r="E14" i="17"/>
  <c r="D11" i="17"/>
  <c r="D14" i="17" s="1"/>
  <c r="C19" i="17"/>
  <c r="F19" i="18" l="1"/>
  <c r="F22" i="18" s="1"/>
  <c r="C22" i="18"/>
  <c r="D19" i="18"/>
  <c r="D22" i="18" s="1"/>
  <c r="E19" i="18"/>
  <c r="E22" i="18" s="1"/>
  <c r="F16" i="17"/>
  <c r="F19" i="17" s="1"/>
  <c r="D16" i="17"/>
  <c r="D19" i="17" s="1"/>
  <c r="E16" i="17"/>
  <c r="E19" i="17" s="1"/>
  <c r="E14" i="16" l="1"/>
  <c r="D14" i="16"/>
  <c r="E21" i="15" l="1"/>
  <c r="E23" i="15"/>
  <c r="E20" i="15"/>
  <c r="E31" i="15"/>
  <c r="E17" i="15"/>
  <c r="E16" i="15"/>
  <c r="E29" i="15"/>
  <c r="E15" i="15"/>
  <c r="E28" i="15"/>
  <c r="E14" i="15"/>
  <c r="E26" i="15"/>
  <c r="E25" i="15"/>
  <c r="E24" i="15"/>
  <c r="E22" i="15"/>
  <c r="D27" i="14"/>
  <c r="E27" i="14" s="1"/>
  <c r="E14" i="14" l="1"/>
  <c r="E16" i="14"/>
  <c r="E20" i="14"/>
  <c r="E13" i="14"/>
  <c r="E15" i="14"/>
  <c r="E18" i="14"/>
  <c r="E22" i="14"/>
  <c r="E25" i="14"/>
  <c r="E17" i="14"/>
  <c r="E19" i="14"/>
  <c r="E21" i="14"/>
  <c r="E23" i="14"/>
  <c r="E24" i="14"/>
  <c r="E26" i="14"/>
  <c r="E29" i="6" l="1"/>
  <c r="E23" i="12" l="1"/>
  <c r="E25" i="12"/>
  <c r="E19" i="12"/>
  <c r="E12" i="12"/>
  <c r="E18" i="12"/>
  <c r="E21" i="12"/>
  <c r="E15" i="12"/>
  <c r="E16" i="12"/>
  <c r="E17" i="12"/>
  <c r="E20" i="12"/>
  <c r="E22" i="12"/>
  <c r="E27" i="12"/>
  <c r="E8" i="12"/>
  <c r="E10" i="12"/>
  <c r="E9" i="12"/>
  <c r="E11" i="12"/>
  <c r="E21" i="4" l="1"/>
  <c r="E22" i="4"/>
  <c r="E23" i="4"/>
  <c r="E24" i="4"/>
  <c r="E25" i="4"/>
  <c r="E26" i="4"/>
  <c r="E27" i="4"/>
  <c r="E28" i="4"/>
  <c r="E29" i="4"/>
  <c r="E30" i="4"/>
  <c r="E18" i="4"/>
  <c r="E19" i="4"/>
  <c r="E16" i="4"/>
  <c r="E17" i="4"/>
  <c r="E31" i="4"/>
  <c r="D27" i="8" l="1"/>
  <c r="E27" i="8" s="1"/>
  <c r="E18" i="8" l="1"/>
  <c r="E22" i="8"/>
  <c r="E20" i="8"/>
  <c r="E24" i="8"/>
  <c r="E14" i="8"/>
  <c r="E15" i="8"/>
  <c r="E19" i="8"/>
  <c r="E21" i="8"/>
  <c r="E25" i="8"/>
  <c r="D32" i="5"/>
  <c r="E27" i="5" l="1"/>
  <c r="E28" i="5"/>
  <c r="E17" i="5"/>
  <c r="E22" i="5"/>
  <c r="E25" i="5"/>
  <c r="E30" i="5"/>
  <c r="E20" i="5"/>
  <c r="E24" i="5"/>
  <c r="E26" i="5"/>
  <c r="E21" i="5"/>
  <c r="E23" i="5"/>
  <c r="E32" i="5"/>
  <c r="E15" i="5"/>
  <c r="E13" i="5"/>
  <c r="E14" i="5"/>
  <c r="E16" i="5"/>
  <c r="E12" i="6" l="1"/>
  <c r="E10" i="6"/>
  <c r="E11" i="6"/>
  <c r="E15" i="4" l="1"/>
</calcChain>
</file>

<file path=xl/sharedStrings.xml><?xml version="1.0" encoding="utf-8"?>
<sst xmlns="http://schemas.openxmlformats.org/spreadsheetml/2006/main" count="503" uniqueCount="210">
  <si>
    <t>US$</t>
  </si>
  <si>
    <t>A)</t>
  </si>
  <si>
    <t>Shifting Expenses</t>
  </si>
  <si>
    <t>B)</t>
  </si>
  <si>
    <t>General Port Expenses</t>
  </si>
  <si>
    <t>C)</t>
  </si>
  <si>
    <t>Agency Expenses</t>
  </si>
  <si>
    <t>Agency Fee</t>
  </si>
  <si>
    <t>T O T A L</t>
  </si>
  <si>
    <t>OBSERVACIONES :</t>
  </si>
  <si>
    <t>OBSERVACIONES</t>
  </si>
  <si>
    <t>Tarifa fija según Sanidad maritima.</t>
  </si>
  <si>
    <t>Immigration Authorities.</t>
  </si>
  <si>
    <t>ISPS Fee.</t>
  </si>
  <si>
    <t>Launch Hire.</t>
  </si>
  <si>
    <t>%</t>
  </si>
  <si>
    <t>ILO</t>
  </si>
  <si>
    <t>Tarifa Direccion de Hidrografia y navegacion</t>
  </si>
  <si>
    <t>Practicaje</t>
  </si>
  <si>
    <t>Dockage /Muellaje</t>
  </si>
  <si>
    <t>Transtotal. Tarifa Fija por Nave.</t>
  </si>
  <si>
    <t xml:space="preserve">Region Moquegua. Tarifa </t>
  </si>
  <si>
    <t>Tarifa fija. Transtotal por Agenciamiento de Nave.</t>
  </si>
  <si>
    <t>Tarifa fija. Transtotal por Nave.</t>
  </si>
  <si>
    <t>Tarifa Port Opeartions $ 1,500 por maniobra.</t>
  </si>
  <si>
    <t>Remolcaje</t>
  </si>
  <si>
    <t>SPCC, Tarifa deAmarre y desamarre $ 300.00 , y  Muelle SPCC $ 0.05 x Trb x dia.</t>
  </si>
  <si>
    <t>*NO INCLUYE IGV.</t>
  </si>
  <si>
    <t>Pilotage.</t>
  </si>
  <si>
    <t>Tarifa fija  según Autoridad  Maritima.</t>
  </si>
  <si>
    <t>Towage.</t>
  </si>
  <si>
    <t>Pilot Insurance.</t>
  </si>
  <si>
    <t>Tarifa Fija por 2 seguros de practico $80.00 c/u.</t>
  </si>
  <si>
    <t>Linesmen.</t>
  </si>
  <si>
    <t>Tarifa fija según Puerto Mejillones amarradores en tierra.</t>
  </si>
  <si>
    <t>Ligth  Dues.</t>
  </si>
  <si>
    <t>T.Fija.Mooring /unmooring  por maniobra/por lancha.</t>
  </si>
  <si>
    <t>Pilot /Authorities Transport.</t>
  </si>
  <si>
    <t>Transporte en lancha de Piloto  $ 70.00  c/u y Autoridades $ 220.00  .</t>
  </si>
  <si>
    <t>Tarifa fija según Puerto Mejillones.</t>
  </si>
  <si>
    <t>Tarifa fija según Policia de Investigacion de Chile.</t>
  </si>
  <si>
    <t>Health authorities.</t>
  </si>
  <si>
    <t>Tarifa fija según Sanidad Maritima.</t>
  </si>
  <si>
    <t>Tarifa fija según SMPs amarradores en tierra.</t>
  </si>
  <si>
    <t>T.Fija.Mooring /unmooring  por maniobra/por lancha .Atlantic service.</t>
  </si>
  <si>
    <t>Other port services.</t>
  </si>
  <si>
    <t>Arriendo &amp; Handling de Espias segun necesidad.</t>
  </si>
  <si>
    <t>Tarifa Direccion de Hidrografia y Navegacion.</t>
  </si>
  <si>
    <t>Tarifa de Transtotal.Fija.Mooring /unmooring  por maniobra/por lancha.</t>
  </si>
  <si>
    <t>Tarifa de Transtotal.Fija.</t>
  </si>
  <si>
    <t xml:space="preserve">Tarifa fija Transtotal por Agenciamiento de Nave.         </t>
  </si>
  <si>
    <t xml:space="preserve">*INCLUYE MUELLAJE. </t>
  </si>
  <si>
    <t xml:space="preserve">Tarifa fija.B&amp;M por Agenciamiento de Nave.        </t>
  </si>
  <si>
    <t xml:space="preserve">Tarifa fija.B&amp;M por Agenciamiento de Nave.                </t>
  </si>
  <si>
    <t>Loading Master</t>
  </si>
  <si>
    <t>CALLAO</t>
  </si>
  <si>
    <t>Towage /Remolcaje</t>
  </si>
  <si>
    <t>USD</t>
  </si>
  <si>
    <t>*</t>
  </si>
  <si>
    <t>Port Operation &amp; Services- Practicaje</t>
  </si>
  <si>
    <t>Remolcaje PSA Marine</t>
  </si>
  <si>
    <t>MEJILLONES</t>
  </si>
  <si>
    <t xml:space="preserve">Sanitary Inspection (Reception/Dispatch) </t>
  </si>
  <si>
    <t>Transportation</t>
  </si>
  <si>
    <t>Clearance (In/Out)</t>
  </si>
  <si>
    <t xml:space="preserve">Coordinator on board     </t>
  </si>
  <si>
    <t xml:space="preserve">Lighthouse Dues                 </t>
  </si>
  <si>
    <t>Southern /TISUR/APM</t>
  </si>
  <si>
    <t>Petranso Remolcadores   Tarifa minima   $ 500 por maniobra (2)  y cargo de acceso $ 40.00</t>
  </si>
  <si>
    <t>Tarifa Fija. 2021  $ 1,900  por maniobra mooring/unmooring- Remolcadores Ultratug Ltd.</t>
  </si>
  <si>
    <t>Tarifa Fija Puerto Mejillones.</t>
  </si>
  <si>
    <t>Tugboat stand by</t>
  </si>
  <si>
    <t>Tarifa Ultratug.( Concepto exigido por Autoridad Martima)</t>
  </si>
  <si>
    <t>Launch Hire./Lanchas</t>
  </si>
  <si>
    <t>Tarifa Ultratug.(Tarifario Publico )</t>
  </si>
  <si>
    <t>Tarifa fija según Puerto Mejillones. $ 62 x th 36 H</t>
  </si>
  <si>
    <t xml:space="preserve">B&amp;M / Dockage-Muellaje </t>
  </si>
  <si>
    <t>B&amp;M AGENTES MARITIMOS</t>
  </si>
  <si>
    <t>TRANSTOTAL AGENCIA MARITIMA</t>
  </si>
  <si>
    <t>Transtotal Agencia Maritima.</t>
  </si>
  <si>
    <t>Petranso-Petrolera Transoceanica</t>
  </si>
  <si>
    <t>*TOTAL  USD</t>
  </si>
  <si>
    <t>Transtotal.Fija.Mooring /unmooring ,pilot,posicionamiento por maniobra/por lancha.</t>
  </si>
  <si>
    <t>*NO INCLUYE  RECARGOS PSA MARINE/PETRANSO</t>
  </si>
  <si>
    <t xml:space="preserve">Transporte en lancha de Piloto  $ 300.00  c/u y Autoridades </t>
  </si>
  <si>
    <t xml:space="preserve">* INCLUYE MUELLAJE </t>
  </si>
  <si>
    <t>Authorities charges.</t>
  </si>
  <si>
    <t>Authorities Charges.</t>
  </si>
  <si>
    <t>Tarifa Lumpsum .Mooring /unmooring  por maniobra/por lancha.</t>
  </si>
  <si>
    <t>COMPARATIVO DE COSTOS BOMAR LYNX</t>
  </si>
  <si>
    <t>Tarifa fija USD  641.05 IN/OUT según Puerto Mejillones amarradores en tierra.</t>
  </si>
  <si>
    <t>SIN IGV *</t>
  </si>
  <si>
    <t>Recargos</t>
  </si>
  <si>
    <t xml:space="preserve">TRANSTOTAL </t>
  </si>
  <si>
    <t>USD 579*/36 H</t>
  </si>
  <si>
    <t xml:space="preserve">B&amp;M </t>
  </si>
  <si>
    <t>ILO PATIO PUERTO</t>
  </si>
  <si>
    <t>PUERTOS DE ORIGEN</t>
  </si>
  <si>
    <t>* ADELANTOS  POR  CADA VIAJE MENSUALES  $ 25,000.00 para B&amp;M.</t>
  </si>
  <si>
    <t>Tarifa fija según Puerto Mejillones.por nominacion.</t>
  </si>
  <si>
    <t>MATARANI</t>
  </si>
  <si>
    <t>1er Remolcador</t>
  </si>
  <si>
    <t>2do Remolcador</t>
  </si>
  <si>
    <t xml:space="preserve">Acceso </t>
  </si>
  <si>
    <t>Tisur Tarifa  $0.57 X Hora  (24 )X Eslora (134.16)</t>
  </si>
  <si>
    <t>Private &amp; Dangerous cargo Watchmen</t>
  </si>
  <si>
    <t>Tarifa Region Moquegua.</t>
  </si>
  <si>
    <t>Tarifa APN.</t>
  </si>
  <si>
    <t>USD$150* por dia + 18% IGV</t>
  </si>
  <si>
    <t xml:space="preserve">Tarifa fija Transtotal </t>
  </si>
  <si>
    <t xml:space="preserve"> 25%  ENTRE 18 Y 24 HRS. LUN-SAB</t>
  </si>
  <si>
    <t xml:space="preserve"> 50%  ENTRE 00 Y 07 HRS. LUN-SAB</t>
  </si>
  <si>
    <t xml:space="preserve"> 50%  DOMINGOS Y FERIADOS</t>
  </si>
  <si>
    <t>Transportation/Comunicación</t>
  </si>
  <si>
    <t>MEJILLONES -SUA</t>
  </si>
  <si>
    <t>BARQUITO-SUA</t>
  </si>
  <si>
    <t>Time in port (hrs) 30 -Carga de 13,500.00TN SUA.</t>
  </si>
  <si>
    <t>Carga de 13,500.00TN SUA.</t>
  </si>
  <si>
    <t>Launchboats Costs</t>
  </si>
  <si>
    <t>2nd tug navigation/10hrs rountrip.</t>
  </si>
  <si>
    <t>COSTOS PORTUARIOS   BOMAR LYNX   VIA JE 065 APROXIMADO  SIN IGV.</t>
  </si>
  <si>
    <t>* TOTAL  USD SIN MUELLAJE</t>
  </si>
  <si>
    <t>21.06.2023</t>
  </si>
  <si>
    <t xml:space="preserve">H/P  Sandra Galvez // NAVIERA PETRAL  </t>
  </si>
  <si>
    <t xml:space="preserve">ILO-  Carga acido </t>
  </si>
  <si>
    <t>MARCONA  -Bunkering</t>
  </si>
  <si>
    <t>Transtotal Agencia Maritima(Lanchas, Autoridades , fee de agenciamiento )</t>
  </si>
  <si>
    <t xml:space="preserve"> *No incluye recargos.</t>
  </si>
  <si>
    <t xml:space="preserve"> * Tarifas para carga de Acido Sulfurico</t>
  </si>
  <si>
    <t xml:space="preserve"> * No Incluye Muellaje.</t>
  </si>
  <si>
    <t xml:space="preserve"> *No incluye IGV.</t>
  </si>
  <si>
    <t>Transportation/comunication</t>
  </si>
  <si>
    <t>linesmen</t>
  </si>
  <si>
    <t>Amarre y desamarre</t>
  </si>
  <si>
    <t>Mtons 13,500.00</t>
  </si>
  <si>
    <t>PUERTO DE DESTINO</t>
  </si>
  <si>
    <t>B&amp;M Agencia Maritima/Puerto Mejillones /Autoridad Maritima/Lanchas/Faros y Balizas/Pilot/Loading Master/Salud.</t>
  </si>
  <si>
    <t>B&amp;M/Remolcaje ULTRATUG *</t>
  </si>
  <si>
    <t>TOTAL  USD  SIN MUELLAJE</t>
  </si>
  <si>
    <t>DIFERENCIAL POR AÑO USD</t>
  </si>
  <si>
    <t>DIFERENCIAL POR AÑO  %</t>
  </si>
  <si>
    <t>*Incluye cargo de remolcadores  correspondiente a regulacion local, con tarifa correspondiente  acuerdo con Ultratug vigente desde el mes de Agosto 2023 hasta Agosto 2024.</t>
  </si>
  <si>
    <t>** De acuerdo a proformas de Agentes Maritimos B&amp;M .</t>
  </si>
  <si>
    <t xml:space="preserve">H/P Naviera Petral </t>
  </si>
  <si>
    <t>COSTOS PORTUARIOS  2021-2024</t>
  </si>
  <si>
    <t>BOMAR LYNX</t>
  </si>
  <si>
    <t>* De acuerdo a proformas de Agentes Maritimos .</t>
  </si>
  <si>
    <t>Nota: El Aumento en los costos  se origina principalmente  por  el incremento de tarifa de Remolcaje con de Ultratug.</t>
  </si>
  <si>
    <t>Enero 2024.</t>
  </si>
  <si>
    <t>MARCONA</t>
  </si>
  <si>
    <t>Practicaje.</t>
  </si>
  <si>
    <t>Tarifa PSA MARINE ($4,980*Mnver + 18%vat) por maniobra.</t>
  </si>
  <si>
    <t xml:space="preserve"> Linesmen /amarre y desamarre</t>
  </si>
  <si>
    <t>Tarifa PSA MARINE ($4,250*Launchboat + 18%vat) .(incluye 2 lanchas  y gavieras )</t>
  </si>
  <si>
    <t>Tarifa PSA MARINE ( $18,000*Mnver + 18%vat) por maniobra 2.</t>
  </si>
  <si>
    <t>Tarifa Direccion de Hidrografia y navegacion($0.03*GT coming from a national port)</t>
  </si>
  <si>
    <t>Aún no consideran una tarifa por el Uso de Amarradero o si se requerirá de una Lancha de Permanencia para los operativos,</t>
  </si>
  <si>
    <t>$40X HORA aproximado de  40 horas (Tarifa PSA Marine SA)</t>
  </si>
  <si>
    <t>Coordinator</t>
  </si>
  <si>
    <t>$ 200 per day +18%</t>
  </si>
  <si>
    <t>Clearance Expenses (In/Out)</t>
  </si>
  <si>
    <t>Launch  for Authorities</t>
  </si>
  <si>
    <t>Remolcaje Stand by.</t>
  </si>
  <si>
    <t>$ 3,000.00  * a partir de 60 horas.</t>
  </si>
  <si>
    <t>Transportation/Comunication</t>
  </si>
  <si>
    <t>Las tarifas resaltadas corresponden a servicios licitados por Marcobre, para el cual la empresa ganadora fue PSA Marine; dichas tarifas se encuentran confirmadas.
Servicio de Remolcaje Stand By  a partir de 60 horas aplica  USD  3,000.00 diario por cada remolcador por dia y fraccion.
Aún no se ha confirmado por el lado del terminal si estarán considerando una tarifa por el Uso de Amarradero o si se requerirá de una Lancha de Permanencia para los operativos, lo cual incrementaría los costos de la proforma en caso se confirmen.
Se está considerando que la nave procede de un Puerto Nacional y será despachada a un Puerto Nacional.</t>
  </si>
  <si>
    <t xml:space="preserve">*NO INCLUYE MUELLAJE. </t>
  </si>
  <si>
    <t>* NO APLICA RECARGOS.</t>
  </si>
  <si>
    <t>TERQUIM</t>
  </si>
  <si>
    <t>COMPARATIVO DE COSTOS B/T TABLONES</t>
  </si>
  <si>
    <t>Tarifa Fija por 2 seguros de practico $400.00 c/u.</t>
  </si>
  <si>
    <t>Tarifa fija  amarradores en tierra.</t>
  </si>
  <si>
    <t>Tarifa fija según Puerto TERQUIM</t>
  </si>
  <si>
    <t>Tarifa fija según Puerto  TERQUIM --Por nominacion.</t>
  </si>
  <si>
    <t>Carga de 14,000.00TN SUA.</t>
  </si>
  <si>
    <t>*DE ACUERDO A PROFORMA ENVIADA POR  B&amp;M 24.04.2024</t>
  </si>
  <si>
    <t>MEJILLONES - MEJILLONES ITC</t>
  </si>
  <si>
    <t>COMPARATIVO DE COSTOS  TABLONES</t>
  </si>
  <si>
    <t>COMPARATIVO DE COSTOS B/T  TABLONES</t>
  </si>
  <si>
    <t>* Tarifas en base a Proformas de Agente Transtotal y Contrato PSA Marine.</t>
  </si>
  <si>
    <t xml:space="preserve">  NO INCLUYE  RECARGOS: PSA MARINE</t>
  </si>
  <si>
    <t>Region Moquegua. Tarifa S/157,S/.47</t>
  </si>
  <si>
    <t>Launch autoridades.</t>
  </si>
  <si>
    <t>Tarifa Fija. 2026  $ 2,800 por maniobra mooring/unmooring- Remolcadores Ultratug Ltd.</t>
  </si>
  <si>
    <t xml:space="preserve">*LIGHT DUES CHILE = USD 4.07 /GRT POR AÑO : USD 46,255.55 ( 0.11 incremento 2026  USD  4.07 en USD 1,250.15)
</t>
  </si>
  <si>
    <t>5.72 *LOA ( 158.80 )*TH /30 H Puerto Mejillones</t>
  </si>
  <si>
    <t>Hose conection/portalon</t>
  </si>
  <si>
    <t>Uso de lanchas</t>
  </si>
  <si>
    <t>USD 3.86/GRT por año /20 viajes.</t>
  </si>
  <si>
    <t>Tarifa de servicio integral-PSA . Incluye Remolcaje , Practicaje , Lancha</t>
  </si>
  <si>
    <t>Tarifa de servicio integral- . Acceso $ 70.00 + IGV</t>
  </si>
  <si>
    <t>Tarifa de servicio integral-  min .25% max 50%</t>
  </si>
  <si>
    <t>TRANSTOTAL 2026</t>
  </si>
  <si>
    <t>Transportation/ comunicaciones</t>
  </si>
  <si>
    <t>$ 200 * maneuver +18%</t>
  </si>
  <si>
    <t>Tarifa Fija. 2021  $ 2,800 *4 por maniobra mooring/unmooring- Remolcadores Ultratug Ltd.</t>
  </si>
  <si>
    <t>3.99 *loa*36 h</t>
  </si>
  <si>
    <t xml:space="preserve">*LIGHT DUES CHILE = USD 4.07 /GRT POR AÑO : USD 46,255.55 ( 0.11 incremento 2026  USD  4.07 en USD 1,250.15)/30
</t>
  </si>
  <si>
    <t>USD 71.92 por hora (32 H)</t>
  </si>
  <si>
    <t>recargos</t>
  </si>
  <si>
    <t>Tarifa APM $1.50 por hora o fraccion.</t>
  </si>
  <si>
    <t>Tarifa-PSA Marine  USD 1800.00</t>
  </si>
  <si>
    <t>Tarifa al-  min .25% max 50%</t>
  </si>
  <si>
    <t>Tarifa de Transtotal.Fija.Mooring /unmooring  por maniobra/por lancha.USD  85.00  MIN 2 H</t>
  </si>
  <si>
    <t>Petranso Remolcadores   Tarifa $ 0.18 x Trb 11,365 sujeta a 10% descuentos, posicionamiento $ 1400</t>
  </si>
  <si>
    <t>Eslora        :          158.80 mtrs.</t>
  </si>
  <si>
    <t>DW            :          16,533.00 mtons.</t>
  </si>
  <si>
    <t>GRT           :         11,365.00 mtons.</t>
  </si>
  <si>
    <t>Transtotal.Fija.Mooring /unmooring ,pilot,posicionamiento por maniobra/por lancha, Usd 90.00. por 2 horas minimo USD 375 lancha de amare y desamarre x4..</t>
  </si>
  <si>
    <t>Lanchas de por transporte de Autoridades usd 90.00  x hora.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</si>
</sst>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 #,##0.00_ ;_ * \-#,##0.00_ ;_ * &quot;-&quot;??_ ;_ @_ "/>
    <numFmt numFmtId="165" formatCode="[$$-409]#,##0.00"/>
    <numFmt numFmtId="166" formatCode="[$$-540A]#,##0.00"/>
  </numFmts>
  <fonts count="70" x14ac:knownFonts="1">
    <font>
      <sz val="11"/>
      <color theme="1"/>
      <name val="Calibri"/>
      <family val="2"/>
      <scheme val="minor"/>
    </font>
    <font>
      <b/>
      <i/>
      <sz val="10"/>
      <name val="Arial"/>
      <family val="2"/>
    </font>
    <font>
      <b/>
      <i/>
      <sz val="12"/>
      <name val="Arial"/>
      <family val="2"/>
    </font>
    <font>
      <b/>
      <i/>
      <u/>
      <sz val="10"/>
      <name val="Arial"/>
      <family val="2"/>
    </font>
    <font>
      <sz val="10"/>
      <name val="Arial"/>
      <family val="2"/>
    </font>
    <font>
      <b/>
      <i/>
      <u/>
      <sz val="14"/>
      <name val="Arial"/>
      <family val="2"/>
    </font>
    <font>
      <b/>
      <i/>
      <u/>
      <sz val="12"/>
      <name val="Arial"/>
      <family val="2"/>
    </font>
    <font>
      <b/>
      <i/>
      <sz val="10"/>
      <color rgb="FFC00000"/>
      <name val="Arial"/>
      <family val="2"/>
    </font>
    <font>
      <b/>
      <sz val="10"/>
      <name val="Arial"/>
      <family val="2"/>
    </font>
    <font>
      <sz val="11"/>
      <color theme="1"/>
      <name val="Arial"/>
      <family val="2"/>
    </font>
    <font>
      <sz val="10"/>
      <color theme="1"/>
      <name val="Arial"/>
      <family val="2"/>
    </font>
    <font>
      <b/>
      <i/>
      <sz val="10"/>
      <color rgb="FFFF0000"/>
      <name val="Arial"/>
      <family val="2"/>
    </font>
    <font>
      <b/>
      <sz val="10"/>
      <color theme="1"/>
      <name val="Arial"/>
      <family val="2"/>
    </font>
    <font>
      <b/>
      <sz val="10"/>
      <color rgb="FFFF0000"/>
      <name val="Arial"/>
      <family val="2"/>
    </font>
    <font>
      <b/>
      <sz val="10"/>
      <color rgb="FFC00000"/>
      <name val="Arial"/>
      <family val="2"/>
    </font>
    <font>
      <sz val="12"/>
      <color rgb="FF201F1E"/>
      <name val="Arial"/>
      <family val="2"/>
    </font>
    <font>
      <sz val="12"/>
      <color rgb="FF201F1E"/>
      <name val="Calibri"/>
      <family val="2"/>
    </font>
    <font>
      <sz val="11"/>
      <color rgb="FF1F497D"/>
      <name val="Calibri"/>
      <family val="2"/>
    </font>
    <font>
      <sz val="11"/>
      <color theme="1"/>
      <name val="Calibri"/>
      <family val="2"/>
      <scheme val="minor"/>
    </font>
    <font>
      <b/>
      <sz val="16"/>
      <color theme="1"/>
      <name val="Calibri"/>
      <family val="2"/>
      <scheme val="minor"/>
    </font>
    <font>
      <b/>
      <i/>
      <sz val="16"/>
      <color theme="1"/>
      <name val="Calibri"/>
      <family val="2"/>
      <scheme val="minor"/>
    </font>
    <font>
      <b/>
      <i/>
      <sz val="18"/>
      <color theme="1"/>
      <name val="Calibri"/>
      <family val="2"/>
      <scheme val="minor"/>
    </font>
    <font>
      <b/>
      <i/>
      <sz val="18"/>
      <name val="Calibri"/>
      <family val="2"/>
      <scheme val="minor"/>
    </font>
    <font>
      <b/>
      <i/>
      <u/>
      <sz val="20"/>
      <color theme="1"/>
      <name val="Calibri"/>
      <family val="2"/>
      <scheme val="minor"/>
    </font>
    <font>
      <b/>
      <i/>
      <sz val="10"/>
      <color theme="8" tint="-0.499984740745262"/>
      <name val="Arial"/>
      <family val="2"/>
    </font>
    <font>
      <b/>
      <sz val="10"/>
      <color theme="8" tint="-0.499984740745262"/>
      <name val="Arial"/>
      <family val="2"/>
    </font>
    <font>
      <b/>
      <i/>
      <sz val="10"/>
      <color theme="4" tint="-0.499984740745262"/>
      <name val="Arial"/>
      <family val="2"/>
    </font>
    <font>
      <sz val="11"/>
      <color theme="4" tint="-0.499984740745262"/>
      <name val="Calibri"/>
      <family val="2"/>
      <scheme val="minor"/>
    </font>
    <font>
      <b/>
      <i/>
      <sz val="14"/>
      <name val="Arial"/>
      <family val="2"/>
    </font>
    <font>
      <b/>
      <i/>
      <sz val="11"/>
      <color theme="1"/>
      <name val="Calibri"/>
      <family val="2"/>
      <scheme val="minor"/>
    </font>
    <font>
      <i/>
      <sz val="11"/>
      <color theme="1"/>
      <name val="Calibri"/>
      <family val="2"/>
      <scheme val="minor"/>
    </font>
    <font>
      <b/>
      <i/>
      <sz val="10"/>
      <color theme="4" tint="-0.249977111117893"/>
      <name val="Arial"/>
      <family val="2"/>
    </font>
    <font>
      <b/>
      <i/>
      <sz val="12"/>
      <color theme="4" tint="-0.249977111117893"/>
      <name val="Arial"/>
      <family val="2"/>
    </font>
    <font>
      <b/>
      <sz val="10"/>
      <color theme="4" tint="-0.249977111117893"/>
      <name val="Arial"/>
      <family val="2"/>
    </font>
    <font>
      <b/>
      <i/>
      <sz val="12"/>
      <color theme="3" tint="-0.249977111117893"/>
      <name val="Arial"/>
      <family val="2"/>
    </font>
    <font>
      <b/>
      <i/>
      <sz val="10"/>
      <color theme="3" tint="-0.249977111117893"/>
      <name val="Arial"/>
      <family val="2"/>
    </font>
    <font>
      <b/>
      <sz val="10"/>
      <color theme="3" tint="-0.249977111117893"/>
      <name val="Arial"/>
      <family val="2"/>
    </font>
    <font>
      <b/>
      <sz val="12"/>
      <color theme="3" tint="-0.249977111117893"/>
      <name val="Arial"/>
      <family val="2"/>
    </font>
    <font>
      <b/>
      <i/>
      <sz val="11"/>
      <color theme="4" tint="-0.499984740745262"/>
      <name val="Calibri"/>
      <family val="2"/>
      <scheme val="minor"/>
    </font>
    <font>
      <b/>
      <i/>
      <sz val="20"/>
      <color theme="1"/>
      <name val="Calibri"/>
      <family val="2"/>
      <scheme val="minor"/>
    </font>
    <font>
      <b/>
      <i/>
      <sz val="18"/>
      <color rgb="FF002060"/>
      <name val="Calibri"/>
      <family val="2"/>
      <scheme val="minor"/>
    </font>
    <font>
      <b/>
      <i/>
      <sz val="12"/>
      <color rgb="FF002060"/>
      <name val="Calibri"/>
      <family val="2"/>
      <scheme val="minor"/>
    </font>
    <font>
      <b/>
      <i/>
      <sz val="11"/>
      <color rgb="FF002060"/>
      <name val="Calibri"/>
      <family val="2"/>
      <scheme val="minor"/>
    </font>
    <font>
      <sz val="11"/>
      <color rgb="FF201F1E"/>
      <name val="Calibri"/>
      <family val="2"/>
      <scheme val="minor"/>
    </font>
    <font>
      <b/>
      <sz val="10"/>
      <color theme="4" tint="-0.499984740745262"/>
      <name val="Arial"/>
      <family val="2"/>
    </font>
    <font>
      <b/>
      <i/>
      <sz val="14"/>
      <color theme="1"/>
      <name val="Calibri"/>
      <family val="2"/>
      <scheme val="minor"/>
    </font>
    <font>
      <b/>
      <u/>
      <sz val="20"/>
      <color theme="1"/>
      <name val="Arial"/>
      <family val="2"/>
    </font>
    <font>
      <b/>
      <sz val="12"/>
      <color rgb="FF201F1E"/>
      <name val="Arial"/>
      <family val="2"/>
    </font>
    <font>
      <b/>
      <sz val="11"/>
      <color theme="1"/>
      <name val="Arial"/>
      <family val="2"/>
    </font>
    <font>
      <b/>
      <sz val="18"/>
      <color theme="1"/>
      <name val="Calibri"/>
      <family val="2"/>
      <scheme val="minor"/>
    </font>
    <font>
      <b/>
      <sz val="18"/>
      <color rgb="FF002060"/>
      <name val="Calibri"/>
      <family val="2"/>
      <scheme val="minor"/>
    </font>
    <font>
      <b/>
      <sz val="18"/>
      <name val="Calibri"/>
      <family val="2"/>
      <scheme val="minor"/>
    </font>
    <font>
      <b/>
      <sz val="14"/>
      <color theme="1"/>
      <name val="Arial"/>
      <family val="2"/>
    </font>
    <font>
      <b/>
      <sz val="20"/>
      <name val="Calibri"/>
      <family val="2"/>
      <scheme val="minor"/>
    </font>
    <font>
      <b/>
      <sz val="20"/>
      <color theme="1"/>
      <name val="Calibri"/>
      <family val="2"/>
      <scheme val="minor"/>
    </font>
    <font>
      <b/>
      <sz val="14"/>
      <color theme="4" tint="-0.499984740745262"/>
      <name val="Calibri"/>
      <family val="2"/>
      <scheme val="minor"/>
    </font>
    <font>
      <b/>
      <sz val="18"/>
      <color theme="4" tint="-0.499984740745262"/>
      <name val="Calibri"/>
      <family val="2"/>
      <scheme val="minor"/>
    </font>
    <font>
      <b/>
      <sz val="20"/>
      <color theme="4" tint="-0.499984740745262"/>
      <name val="Calibri"/>
      <family val="2"/>
      <scheme val="minor"/>
    </font>
    <font>
      <b/>
      <sz val="18"/>
      <color theme="4" tint="-0.499984740745262"/>
      <name val="Arial"/>
      <family val="2"/>
    </font>
    <font>
      <sz val="11"/>
      <name val="Calibri"/>
      <family val="2"/>
      <scheme val="minor"/>
    </font>
    <font>
      <sz val="11"/>
      <color rgb="FF002060"/>
      <name val="Calibri"/>
      <family val="2"/>
      <scheme val="minor"/>
    </font>
    <font>
      <sz val="16"/>
      <color theme="1"/>
      <name val="Calibri"/>
      <family val="2"/>
      <scheme val="minor"/>
    </font>
    <font>
      <sz val="14"/>
      <color theme="1"/>
      <name val="Arial"/>
      <family val="2"/>
    </font>
    <font>
      <sz val="11"/>
      <name val="Arial"/>
      <family val="2"/>
    </font>
    <font>
      <sz val="11"/>
      <color rgb="FFC00000"/>
      <name val="Calibri"/>
      <family val="2"/>
      <scheme val="minor"/>
    </font>
    <font>
      <sz val="11"/>
      <color theme="5" tint="-0.499984740745262"/>
      <name val="Arial"/>
      <family val="2"/>
    </font>
    <font>
      <b/>
      <i/>
      <sz val="10"/>
      <color theme="5" tint="-0.499984740745262"/>
      <name val="Arial"/>
      <family val="2"/>
    </font>
    <font>
      <b/>
      <i/>
      <sz val="11"/>
      <color theme="5" tint="-0.499984740745262"/>
      <name val="Arial"/>
      <family val="2"/>
    </font>
    <font>
      <sz val="11"/>
      <color theme="5" tint="-0.499984740745262"/>
      <name val="Calibri"/>
      <family val="2"/>
      <scheme val="minor"/>
    </font>
    <font>
      <i/>
      <sz val="10"/>
      <name val="Arial"/>
      <family val="2"/>
    </font>
  </fonts>
  <fills count="9">
    <fill>
      <patternFill patternType="none"/>
    </fill>
    <fill>
      <patternFill patternType="gray125"/>
    </fill>
    <fill>
      <patternFill patternType="solid">
        <fgColor theme="8" tint="0.79998168889431442"/>
        <bgColor indexed="64"/>
      </patternFill>
    </fill>
    <fill>
      <patternFill patternType="solid">
        <fgColor theme="0"/>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theme="2" tint="-9.9978637043366805E-2"/>
        <bgColor indexed="64"/>
      </patternFill>
    </fill>
  </fills>
  <borders count="51">
    <border>
      <left/>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thin">
        <color indexed="64"/>
      </bottom>
      <diagonal/>
    </border>
    <border>
      <left/>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top/>
      <bottom style="thin">
        <color indexed="64"/>
      </bottom>
      <diagonal/>
    </border>
    <border>
      <left/>
      <right style="thin">
        <color indexed="64"/>
      </right>
      <top/>
      <bottom style="thin">
        <color indexed="64"/>
      </bottom>
      <diagonal/>
    </border>
    <border>
      <left/>
      <right style="medium">
        <color indexed="64"/>
      </right>
      <top/>
      <bottom style="thin">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s>
  <cellStyleXfs count="6">
    <xf numFmtId="0" fontId="0" fillId="0" borderId="0"/>
    <xf numFmtId="0" fontId="4" fillId="0" borderId="0"/>
    <xf numFmtId="0" fontId="4" fillId="0" borderId="0"/>
    <xf numFmtId="164" fontId="18" fillId="0" borderId="0" applyFont="0" applyFill="0" applyBorder="0" applyAlignment="0" applyProtection="0"/>
    <xf numFmtId="9" fontId="18" fillId="0" borderId="0" applyFont="0" applyFill="0" applyBorder="0" applyAlignment="0" applyProtection="0"/>
    <xf numFmtId="0" fontId="4" fillId="0" borderId="0"/>
  </cellStyleXfs>
  <cellXfs count="259">
    <xf numFmtId="0" fontId="0" fillId="0" borderId="0" xfId="0"/>
    <xf numFmtId="0" fontId="0" fillId="0" borderId="2" xfId="0" applyBorder="1"/>
    <xf numFmtId="0" fontId="0" fillId="0" borderId="5" xfId="0" applyBorder="1"/>
    <xf numFmtId="0" fontId="2" fillId="0" borderId="0" xfId="0" applyFont="1" applyAlignment="1">
      <alignment horizontal="center"/>
    </xf>
    <xf numFmtId="0" fontId="1" fillId="0" borderId="0" xfId="0" applyFont="1"/>
    <xf numFmtId="0" fontId="1" fillId="0" borderId="5" xfId="0" applyFont="1" applyBorder="1"/>
    <xf numFmtId="0" fontId="2" fillId="0" borderId="8" xfId="0" applyFont="1" applyBorder="1" applyAlignment="1">
      <alignment horizontal="left"/>
    </xf>
    <xf numFmtId="0" fontId="0" fillId="0" borderId="6" xfId="0" applyBorder="1"/>
    <xf numFmtId="0" fontId="9" fillId="0" borderId="0" xfId="0" applyFont="1"/>
    <xf numFmtId="0" fontId="9" fillId="0" borderId="1" xfId="0" applyFont="1" applyBorder="1"/>
    <xf numFmtId="0" fontId="11" fillId="0" borderId="1" xfId="0" applyFont="1" applyBorder="1"/>
    <xf numFmtId="0" fontId="11" fillId="0" borderId="7" xfId="0" applyFont="1" applyBorder="1"/>
    <xf numFmtId="165" fontId="11" fillId="0" borderId="0" xfId="0" applyNumberFormat="1" applyFont="1"/>
    <xf numFmtId="165" fontId="9" fillId="0" borderId="0" xfId="0" applyNumberFormat="1" applyFont="1"/>
    <xf numFmtId="0" fontId="9" fillId="0" borderId="0" xfId="0" applyFont="1" applyAlignment="1">
      <alignment vertical="center"/>
    </xf>
    <xf numFmtId="0" fontId="6" fillId="2" borderId="12" xfId="1" applyFont="1" applyFill="1" applyBorder="1" applyAlignment="1">
      <alignment horizontal="center"/>
    </xf>
    <xf numFmtId="0" fontId="6" fillId="2" borderId="4" xfId="1" applyFont="1" applyFill="1" applyBorder="1" applyAlignment="1">
      <alignment horizontal="center"/>
    </xf>
    <xf numFmtId="0" fontId="2" fillId="2" borderId="13" xfId="1" applyFont="1" applyFill="1" applyBorder="1" applyAlignment="1">
      <alignment horizontal="center"/>
    </xf>
    <xf numFmtId="0" fontId="2" fillId="2" borderId="7" xfId="1" applyFont="1" applyFill="1" applyBorder="1" applyAlignment="1">
      <alignment horizontal="center"/>
    </xf>
    <xf numFmtId="0" fontId="1" fillId="2" borderId="14" xfId="1" applyFont="1" applyFill="1" applyBorder="1"/>
    <xf numFmtId="0" fontId="1" fillId="2" borderId="1" xfId="1" applyFont="1" applyFill="1" applyBorder="1"/>
    <xf numFmtId="4" fontId="8" fillId="2" borderId="14" xfId="1" applyNumberFormat="1" applyFont="1" applyFill="1" applyBorder="1" applyAlignment="1">
      <alignment horizontal="center" vertical="center"/>
    </xf>
    <xf numFmtId="4" fontId="13" fillId="2" borderId="1" xfId="1" applyNumberFormat="1" applyFont="1" applyFill="1" applyBorder="1" applyAlignment="1">
      <alignment horizontal="center" vertical="center"/>
    </xf>
    <xf numFmtId="4" fontId="8" fillId="2" borderId="1" xfId="1" applyNumberFormat="1" applyFont="1" applyFill="1" applyBorder="1" applyAlignment="1">
      <alignment horizontal="center" vertical="center"/>
    </xf>
    <xf numFmtId="4" fontId="8" fillId="2" borderId="14" xfId="1" applyNumberFormat="1" applyFont="1" applyFill="1" applyBorder="1" applyAlignment="1">
      <alignment horizontal="center"/>
    </xf>
    <xf numFmtId="4" fontId="7" fillId="2" borderId="14" xfId="1" quotePrefix="1" applyNumberFormat="1" applyFont="1" applyFill="1" applyBorder="1" applyAlignment="1">
      <alignment horizontal="center"/>
    </xf>
    <xf numFmtId="4" fontId="8" fillId="2" borderId="14" xfId="0" applyNumberFormat="1" applyFont="1" applyFill="1" applyBorder="1" applyAlignment="1">
      <alignment horizontal="center" vertical="center"/>
    </xf>
    <xf numFmtId="4" fontId="12" fillId="2" borderId="14" xfId="0" applyNumberFormat="1" applyFont="1" applyFill="1" applyBorder="1" applyAlignment="1">
      <alignment horizontal="center"/>
    </xf>
    <xf numFmtId="4" fontId="1" fillId="2" borderId="14" xfId="0" applyNumberFormat="1" applyFont="1" applyFill="1" applyBorder="1" applyAlignment="1">
      <alignment horizontal="center"/>
    </xf>
    <xf numFmtId="4" fontId="10" fillId="2" borderId="14" xfId="0" applyNumberFormat="1" applyFont="1" applyFill="1" applyBorder="1" applyAlignment="1">
      <alignment horizontal="center"/>
    </xf>
    <xf numFmtId="165" fontId="1" fillId="2" borderId="10" xfId="0" applyNumberFormat="1" applyFont="1" applyFill="1" applyBorder="1" applyAlignment="1">
      <alignment horizontal="center"/>
    </xf>
    <xf numFmtId="4" fontId="8" fillId="2" borderId="10" xfId="1" applyNumberFormat="1" applyFont="1" applyFill="1" applyBorder="1" applyAlignment="1">
      <alignment horizontal="center" vertical="center"/>
    </xf>
    <xf numFmtId="0" fontId="1" fillId="3" borderId="7" xfId="0" applyFont="1" applyFill="1" applyBorder="1" applyAlignment="1">
      <alignment horizontal="center"/>
    </xf>
    <xf numFmtId="0" fontId="9" fillId="3" borderId="1" xfId="0" applyFont="1" applyFill="1" applyBorder="1"/>
    <xf numFmtId="0" fontId="9" fillId="3" borderId="1" xfId="0" applyFont="1" applyFill="1" applyBorder="1" applyAlignment="1">
      <alignment horizontal="left" vertical="center"/>
    </xf>
    <xf numFmtId="0" fontId="9" fillId="3" borderId="1" xfId="0" applyFont="1" applyFill="1" applyBorder="1" applyAlignment="1">
      <alignment horizontal="left" vertical="center" wrapText="1"/>
    </xf>
    <xf numFmtId="0" fontId="9" fillId="3" borderId="1" xfId="0" applyFont="1" applyFill="1" applyBorder="1" applyAlignment="1">
      <alignment horizontal="left"/>
    </xf>
    <xf numFmtId="0" fontId="9" fillId="3" borderId="1" xfId="0" applyFont="1" applyFill="1" applyBorder="1" applyAlignment="1">
      <alignment horizontal="center"/>
    </xf>
    <xf numFmtId="0" fontId="3" fillId="3" borderId="4" xfId="0" applyFont="1" applyFill="1" applyBorder="1" applyAlignment="1">
      <alignment horizontal="center"/>
    </xf>
    <xf numFmtId="0" fontId="9" fillId="3" borderId="1" xfId="0" applyFont="1" applyFill="1" applyBorder="1" applyAlignment="1">
      <alignment horizontal="left" wrapText="1"/>
    </xf>
    <xf numFmtId="0" fontId="3" fillId="0" borderId="4" xfId="0" applyFont="1" applyBorder="1" applyAlignment="1">
      <alignment horizontal="center"/>
    </xf>
    <xf numFmtId="0" fontId="1" fillId="0" borderId="7" xfId="0" applyFont="1" applyBorder="1" applyAlignment="1">
      <alignment horizontal="center"/>
    </xf>
    <xf numFmtId="0" fontId="9" fillId="0" borderId="1" xfId="0" applyFont="1" applyBorder="1" applyAlignment="1">
      <alignment horizontal="left" vertical="center"/>
    </xf>
    <xf numFmtId="0" fontId="9" fillId="0" borderId="1" xfId="0" applyFont="1" applyBorder="1" applyAlignment="1">
      <alignment horizontal="left"/>
    </xf>
    <xf numFmtId="0" fontId="9" fillId="0" borderId="1" xfId="0" applyFont="1" applyBorder="1" applyAlignment="1">
      <alignment horizontal="left" vertical="center" wrapText="1"/>
    </xf>
    <xf numFmtId="0" fontId="9" fillId="0" borderId="1" xfId="0" applyFont="1" applyBorder="1" applyAlignment="1">
      <alignment horizontal="center"/>
    </xf>
    <xf numFmtId="4" fontId="1" fillId="2" borderId="14" xfId="1" quotePrefix="1" applyNumberFormat="1" applyFont="1" applyFill="1" applyBorder="1" applyAlignment="1">
      <alignment horizontal="center"/>
    </xf>
    <xf numFmtId="4" fontId="8" fillId="2" borderId="14" xfId="0" applyNumberFormat="1" applyFont="1" applyFill="1" applyBorder="1" applyAlignment="1">
      <alignment horizontal="center"/>
    </xf>
    <xf numFmtId="4" fontId="4" fillId="2" borderId="14" xfId="0" applyNumberFormat="1" applyFont="1" applyFill="1" applyBorder="1" applyAlignment="1">
      <alignment horizontal="center"/>
    </xf>
    <xf numFmtId="0" fontId="9" fillId="2" borderId="11" xfId="0" applyFont="1" applyFill="1" applyBorder="1" applyAlignment="1">
      <alignment horizontal="center"/>
    </xf>
    <xf numFmtId="0" fontId="8" fillId="2" borderId="14" xfId="1" applyFont="1" applyFill="1" applyBorder="1"/>
    <xf numFmtId="4" fontId="14" fillId="2" borderId="14" xfId="1" quotePrefix="1" applyNumberFormat="1" applyFont="1" applyFill="1" applyBorder="1" applyAlignment="1">
      <alignment horizontal="center"/>
    </xf>
    <xf numFmtId="165" fontId="8" fillId="2" borderId="10" xfId="0" applyNumberFormat="1" applyFont="1" applyFill="1" applyBorder="1" applyAlignment="1">
      <alignment horizontal="center"/>
    </xf>
    <xf numFmtId="0" fontId="0" fillId="0" borderId="0" xfId="0" applyAlignment="1">
      <alignment horizontal="center"/>
    </xf>
    <xf numFmtId="0" fontId="0" fillId="0" borderId="2" xfId="0" applyBorder="1" applyAlignment="1">
      <alignment horizontal="center"/>
    </xf>
    <xf numFmtId="0" fontId="0" fillId="0" borderId="5" xfId="0" applyBorder="1" applyAlignment="1">
      <alignment horizontal="center"/>
    </xf>
    <xf numFmtId="0" fontId="9" fillId="0" borderId="0" xfId="0" applyFont="1" applyAlignment="1">
      <alignment horizontal="center"/>
    </xf>
    <xf numFmtId="0" fontId="1" fillId="0" borderId="0" xfId="0" applyFont="1" applyAlignment="1">
      <alignment horizontal="center"/>
    </xf>
    <xf numFmtId="0" fontId="1" fillId="2" borderId="14" xfId="1" applyFont="1" applyFill="1" applyBorder="1" applyAlignment="1">
      <alignment horizontal="center"/>
    </xf>
    <xf numFmtId="165" fontId="9" fillId="0" borderId="0" xfId="0" applyNumberFormat="1" applyFont="1" applyAlignment="1">
      <alignment horizontal="center"/>
    </xf>
    <xf numFmtId="165" fontId="11" fillId="0" borderId="0" xfId="0" applyNumberFormat="1" applyFont="1" applyAlignment="1">
      <alignment horizontal="center"/>
    </xf>
    <xf numFmtId="0" fontId="11" fillId="0" borderId="1" xfId="0" applyFont="1" applyBorder="1" applyAlignment="1">
      <alignment horizontal="center"/>
    </xf>
    <xf numFmtId="0" fontId="11" fillId="0" borderId="0" xfId="0" applyFont="1" applyAlignment="1">
      <alignment horizontal="center"/>
    </xf>
    <xf numFmtId="0" fontId="0" fillId="0" borderId="6" xfId="0" applyBorder="1" applyAlignment="1">
      <alignment horizontal="center"/>
    </xf>
    <xf numFmtId="0" fontId="11" fillId="0" borderId="7" xfId="0" applyFont="1" applyBorder="1" applyAlignment="1">
      <alignment horizontal="center"/>
    </xf>
    <xf numFmtId="0" fontId="1" fillId="0" borderId="5" xfId="0" applyFont="1" applyBorder="1" applyAlignment="1">
      <alignment horizontal="left"/>
    </xf>
    <xf numFmtId="0" fontId="1" fillId="0" borderId="0" xfId="0" applyFont="1" applyAlignment="1">
      <alignment horizontal="left"/>
    </xf>
    <xf numFmtId="0" fontId="0" fillId="0" borderId="5" xfId="0" applyBorder="1" applyAlignment="1">
      <alignment horizontal="left"/>
    </xf>
    <xf numFmtId="0" fontId="9" fillId="0" borderId="0" xfId="0" applyFont="1" applyAlignment="1">
      <alignment horizontal="left" vertical="center"/>
    </xf>
    <xf numFmtId="0" fontId="9" fillId="0" borderId="0" xfId="0" applyFont="1" applyAlignment="1">
      <alignment horizontal="left"/>
    </xf>
    <xf numFmtId="0" fontId="11" fillId="0" borderId="9" xfId="0" applyFont="1" applyBorder="1" applyAlignment="1">
      <alignment horizontal="left" vertical="top" wrapText="1"/>
    </xf>
    <xf numFmtId="0" fontId="15" fillId="0" borderId="0" xfId="0" applyFont="1" applyAlignment="1">
      <alignment vertical="center" wrapText="1"/>
    </xf>
    <xf numFmtId="0" fontId="16" fillId="0" borderId="0" xfId="0" applyFont="1" applyAlignment="1">
      <alignment vertical="center" wrapText="1"/>
    </xf>
    <xf numFmtId="0" fontId="17" fillId="0" borderId="0" xfId="0" applyFont="1" applyAlignment="1">
      <alignment vertical="center" wrapText="1"/>
    </xf>
    <xf numFmtId="0" fontId="19" fillId="3" borderId="0" xfId="0" applyFont="1" applyFill="1"/>
    <xf numFmtId="0" fontId="0" fillId="3" borderId="0" xfId="0" applyFill="1"/>
    <xf numFmtId="0" fontId="20" fillId="3" borderId="0" xfId="0" applyFont="1" applyFill="1"/>
    <xf numFmtId="0" fontId="23" fillId="3" borderId="0" xfId="0" applyFont="1" applyFill="1"/>
    <xf numFmtId="0" fontId="24" fillId="2" borderId="1" xfId="1" applyFont="1" applyFill="1" applyBorder="1" applyAlignment="1">
      <alignment horizontal="center"/>
    </xf>
    <xf numFmtId="4" fontId="25" fillId="2" borderId="1" xfId="1" applyNumberFormat="1" applyFont="1" applyFill="1" applyBorder="1" applyAlignment="1">
      <alignment horizontal="center" vertical="center"/>
    </xf>
    <xf numFmtId="4" fontId="12" fillId="2" borderId="14" xfId="0" applyNumberFormat="1" applyFont="1" applyFill="1" applyBorder="1" applyAlignment="1">
      <alignment horizontal="center" vertical="center"/>
    </xf>
    <xf numFmtId="0" fontId="9" fillId="3" borderId="0" xfId="0" applyFont="1" applyFill="1" applyAlignment="1">
      <alignment vertical="center"/>
    </xf>
    <xf numFmtId="0" fontId="21" fillId="4" borderId="23" xfId="0" applyFont="1" applyFill="1" applyBorder="1" applyAlignment="1">
      <alignment horizontal="center" vertical="center" wrapText="1"/>
    </xf>
    <xf numFmtId="0" fontId="9" fillId="3" borderId="1" xfId="0" applyFont="1" applyFill="1" applyBorder="1" applyAlignment="1">
      <alignment vertical="center" wrapText="1"/>
    </xf>
    <xf numFmtId="0" fontId="31" fillId="2" borderId="1" xfId="1" applyFont="1" applyFill="1" applyBorder="1"/>
    <xf numFmtId="4" fontId="33" fillId="2" borderId="1" xfId="1" applyNumberFormat="1" applyFont="1" applyFill="1" applyBorder="1" applyAlignment="1">
      <alignment horizontal="center" vertical="center"/>
    </xf>
    <xf numFmtId="4" fontId="33" fillId="2" borderId="10" xfId="1" applyNumberFormat="1" applyFont="1" applyFill="1" applyBorder="1" applyAlignment="1">
      <alignment horizontal="center" vertical="center"/>
    </xf>
    <xf numFmtId="0" fontId="35" fillId="2" borderId="1" xfId="1" applyFont="1" applyFill="1" applyBorder="1"/>
    <xf numFmtId="4" fontId="36" fillId="2" borderId="1" xfId="1" applyNumberFormat="1" applyFont="1" applyFill="1" applyBorder="1" applyAlignment="1">
      <alignment horizontal="center" vertical="center"/>
    </xf>
    <xf numFmtId="4" fontId="36" fillId="2" borderId="10" xfId="1" applyNumberFormat="1" applyFont="1" applyFill="1" applyBorder="1" applyAlignment="1">
      <alignment horizontal="center" vertical="center"/>
    </xf>
    <xf numFmtId="0" fontId="36" fillId="2" borderId="1" xfId="1" applyFont="1" applyFill="1" applyBorder="1"/>
    <xf numFmtId="0" fontId="29" fillId="4" borderId="25" xfId="0" applyFont="1" applyFill="1" applyBorder="1" applyAlignment="1">
      <alignment horizontal="center" wrapText="1"/>
    </xf>
    <xf numFmtId="0" fontId="41" fillId="4" borderId="25" xfId="0" applyFont="1" applyFill="1" applyBorder="1" applyAlignment="1">
      <alignment horizontal="center" wrapText="1"/>
    </xf>
    <xf numFmtId="0" fontId="43" fillId="0" borderId="0" xfId="0" applyFont="1" applyAlignment="1">
      <alignment vertical="center" wrapText="1"/>
    </xf>
    <xf numFmtId="4" fontId="44" fillId="2" borderId="1" xfId="1" applyNumberFormat="1" applyFont="1" applyFill="1" applyBorder="1" applyAlignment="1">
      <alignment horizontal="center" vertical="center"/>
    </xf>
    <xf numFmtId="0" fontId="0" fillId="3" borderId="9" xfId="0" applyFill="1" applyBorder="1" applyAlignment="1">
      <alignment vertical="center"/>
    </xf>
    <xf numFmtId="165" fontId="39" fillId="3" borderId="0" xfId="3" applyNumberFormat="1" applyFont="1" applyFill="1" applyBorder="1" applyAlignment="1">
      <alignment horizontal="center"/>
    </xf>
    <xf numFmtId="165" fontId="45" fillId="5" borderId="10" xfId="3" applyNumberFormat="1" applyFont="1" applyFill="1" applyBorder="1" applyAlignment="1">
      <alignment horizontal="center" vertical="center"/>
    </xf>
    <xf numFmtId="0" fontId="26" fillId="3" borderId="0" xfId="0" applyFont="1" applyFill="1" applyAlignment="1">
      <alignment vertical="center"/>
    </xf>
    <xf numFmtId="0" fontId="27" fillId="3" borderId="0" xfId="0" applyFont="1" applyFill="1"/>
    <xf numFmtId="0" fontId="26" fillId="3" borderId="0" xfId="0" applyFont="1" applyFill="1" applyAlignment="1">
      <alignment horizontal="left" vertical="center"/>
    </xf>
    <xf numFmtId="0" fontId="38" fillId="3" borderId="0" xfId="0" applyFont="1" applyFill="1"/>
    <xf numFmtId="17" fontId="42" fillId="3" borderId="0" xfId="0" applyNumberFormat="1" applyFont="1" applyFill="1" applyAlignment="1">
      <alignment horizontal="left"/>
    </xf>
    <xf numFmtId="0" fontId="29" fillId="4" borderId="28" xfId="0" applyFont="1" applyFill="1" applyBorder="1" applyAlignment="1">
      <alignment horizontal="center" vertical="top"/>
    </xf>
    <xf numFmtId="165" fontId="45" fillId="0" borderId="34" xfId="3" applyNumberFormat="1" applyFont="1" applyBorder="1" applyAlignment="1">
      <alignment horizontal="center" vertical="center"/>
    </xf>
    <xf numFmtId="165" fontId="45" fillId="0" borderId="36" xfId="3" applyNumberFormat="1" applyFont="1" applyBorder="1" applyAlignment="1">
      <alignment horizontal="center" vertical="center"/>
    </xf>
    <xf numFmtId="165" fontId="45" fillId="0" borderId="37" xfId="3" applyNumberFormat="1" applyFont="1" applyBorder="1" applyAlignment="1">
      <alignment horizontal="center" vertical="center"/>
    </xf>
    <xf numFmtId="165" fontId="45" fillId="0" borderId="38" xfId="3" applyNumberFormat="1" applyFont="1" applyBorder="1" applyAlignment="1">
      <alignment horizontal="center" vertical="center"/>
    </xf>
    <xf numFmtId="165" fontId="45" fillId="0" borderId="39" xfId="3" applyNumberFormat="1" applyFont="1" applyBorder="1" applyAlignment="1">
      <alignment horizontal="center" vertical="center"/>
    </xf>
    <xf numFmtId="165" fontId="45" fillId="0" borderId="35" xfId="3" applyNumberFormat="1" applyFont="1" applyBorder="1" applyAlignment="1">
      <alignment horizontal="center" vertical="center"/>
    </xf>
    <xf numFmtId="165" fontId="45" fillId="5" borderId="40" xfId="3" applyNumberFormat="1" applyFont="1" applyFill="1" applyBorder="1" applyAlignment="1">
      <alignment horizontal="center" vertical="center"/>
    </xf>
    <xf numFmtId="0" fontId="0" fillId="0" borderId="37" xfId="0" applyBorder="1"/>
    <xf numFmtId="165" fontId="30" fillId="0" borderId="13" xfId="0" applyNumberFormat="1" applyFont="1" applyBorder="1" applyAlignment="1">
      <alignment horizontal="center"/>
    </xf>
    <xf numFmtId="165" fontId="45" fillId="5" borderId="10" xfId="3" applyNumberFormat="1" applyFont="1" applyFill="1" applyBorder="1" applyAlignment="1">
      <alignment horizontal="center"/>
    </xf>
    <xf numFmtId="0" fontId="46" fillId="3" borderId="0" xfId="0" applyFont="1" applyFill="1"/>
    <xf numFmtId="4" fontId="47" fillId="3" borderId="0" xfId="0" applyNumberFormat="1" applyFont="1" applyFill="1"/>
    <xf numFmtId="0" fontId="48" fillId="3" borderId="0" xfId="0" applyFont="1" applyFill="1"/>
    <xf numFmtId="0" fontId="9" fillId="3" borderId="0" xfId="0" applyFont="1" applyFill="1"/>
    <xf numFmtId="0" fontId="49" fillId="4" borderId="19" xfId="0" applyFont="1" applyFill="1" applyBorder="1" applyAlignment="1">
      <alignment horizontal="center" vertical="center" wrapText="1"/>
    </xf>
    <xf numFmtId="0" fontId="49" fillId="4" borderId="29" xfId="0" applyFont="1" applyFill="1" applyBorder="1" applyAlignment="1">
      <alignment horizontal="center" vertical="center" wrapText="1"/>
    </xf>
    <xf numFmtId="0" fontId="49" fillId="6" borderId="43" xfId="0" applyFont="1" applyFill="1" applyBorder="1" applyAlignment="1">
      <alignment horizontal="center" vertical="center"/>
    </xf>
    <xf numFmtId="0" fontId="49" fillId="6" borderId="44" xfId="0" applyFont="1" applyFill="1" applyBorder="1" applyAlignment="1">
      <alignment horizontal="center" vertical="center"/>
    </xf>
    <xf numFmtId="0" fontId="19" fillId="4" borderId="16" xfId="0" applyFont="1" applyFill="1" applyBorder="1" applyAlignment="1">
      <alignment horizontal="center" vertical="top"/>
    </xf>
    <xf numFmtId="0" fontId="19" fillId="4" borderId="25" xfId="0" applyFont="1" applyFill="1" applyBorder="1" applyAlignment="1">
      <alignment horizontal="center" vertical="top"/>
    </xf>
    <xf numFmtId="166" fontId="52" fillId="0" borderId="16" xfId="3" applyNumberFormat="1" applyFont="1" applyBorder="1" applyAlignment="1">
      <alignment vertical="center"/>
    </xf>
    <xf numFmtId="166" fontId="52" fillId="0" borderId="16" xfId="3" applyNumberFormat="1" applyFont="1" applyBorder="1" applyAlignment="1">
      <alignment horizontal="right" vertical="center"/>
    </xf>
    <xf numFmtId="166" fontId="52" fillId="0" borderId="25" xfId="3" applyNumberFormat="1" applyFont="1" applyBorder="1" applyAlignment="1">
      <alignment vertical="center"/>
    </xf>
    <xf numFmtId="165" fontId="52" fillId="0" borderId="16" xfId="3" applyNumberFormat="1" applyFont="1" applyBorder="1" applyAlignment="1">
      <alignment horizontal="right" vertical="center"/>
    </xf>
    <xf numFmtId="165" fontId="52" fillId="0" borderId="25" xfId="3" applyNumberFormat="1" applyFont="1" applyBorder="1" applyAlignment="1">
      <alignment horizontal="right" vertical="center"/>
    </xf>
    <xf numFmtId="166" fontId="51" fillId="5" borderId="45" xfId="3" applyNumberFormat="1" applyFont="1" applyFill="1" applyBorder="1" applyAlignment="1" applyProtection="1">
      <alignment horizontal="right" vertical="center" wrapText="1"/>
      <protection locked="0"/>
    </xf>
    <xf numFmtId="165" fontId="49" fillId="5" borderId="46" xfId="3" applyNumberFormat="1" applyFont="1" applyFill="1" applyBorder="1" applyAlignment="1">
      <alignment horizontal="right"/>
    </xf>
    <xf numFmtId="0" fontId="0" fillId="3" borderId="47" xfId="0" applyFill="1" applyBorder="1"/>
    <xf numFmtId="165" fontId="0" fillId="3" borderId="48" xfId="0" applyNumberFormat="1" applyFill="1" applyBorder="1" applyAlignment="1">
      <alignment horizontal="center"/>
    </xf>
    <xf numFmtId="165" fontId="54" fillId="5" borderId="49" xfId="3" applyNumberFormat="1" applyFont="1" applyFill="1" applyBorder="1" applyAlignment="1">
      <alignment horizontal="right"/>
    </xf>
    <xf numFmtId="165" fontId="54" fillId="5" borderId="49" xfId="3" applyNumberFormat="1" applyFont="1" applyFill="1" applyBorder="1" applyAlignment="1">
      <alignment horizontal="center"/>
    </xf>
    <xf numFmtId="0" fontId="55" fillId="7" borderId="8" xfId="0" applyFont="1" applyFill="1" applyBorder="1"/>
    <xf numFmtId="0" fontId="56" fillId="7" borderId="40" xfId="0" applyFont="1" applyFill="1" applyBorder="1" applyAlignment="1">
      <alignment horizontal="right"/>
    </xf>
    <xf numFmtId="165" fontId="57" fillId="7" borderId="10" xfId="0" applyNumberFormat="1" applyFont="1" applyFill="1" applyBorder="1" applyAlignment="1">
      <alignment horizontal="right"/>
    </xf>
    <xf numFmtId="165" fontId="57" fillId="7" borderId="11" xfId="0" applyNumberFormat="1" applyFont="1" applyFill="1" applyBorder="1" applyAlignment="1">
      <alignment horizontal="right"/>
    </xf>
    <xf numFmtId="165" fontId="57" fillId="7" borderId="18" xfId="0" applyNumberFormat="1" applyFont="1" applyFill="1" applyBorder="1" applyAlignment="1">
      <alignment horizontal="right"/>
    </xf>
    <xf numFmtId="0" fontId="49" fillId="2" borderId="8" xfId="0" applyFont="1" applyFill="1" applyBorder="1" applyAlignment="1">
      <alignment horizontal="right"/>
    </xf>
    <xf numFmtId="0" fontId="56" fillId="2" borderId="40" xfId="0" applyFont="1" applyFill="1" applyBorder="1" applyAlignment="1">
      <alignment horizontal="right"/>
    </xf>
    <xf numFmtId="9" fontId="58" fillId="2" borderId="10" xfId="4" applyFont="1" applyFill="1" applyBorder="1" applyAlignment="1">
      <alignment horizontal="right" vertical="center"/>
    </xf>
    <xf numFmtId="9" fontId="58" fillId="2" borderId="40" xfId="4" applyFont="1" applyFill="1" applyBorder="1" applyAlignment="1">
      <alignment horizontal="right" vertical="center"/>
    </xf>
    <xf numFmtId="9" fontId="58" fillId="2" borderId="11" xfId="4" applyFont="1" applyFill="1" applyBorder="1" applyAlignment="1">
      <alignment horizontal="right" vertical="center"/>
    </xf>
    <xf numFmtId="0" fontId="2" fillId="3" borderId="0" xfId="0" applyFont="1" applyFill="1" applyAlignment="1">
      <alignment vertical="center"/>
    </xf>
    <xf numFmtId="0" fontId="59" fillId="3" borderId="0" xfId="0" applyFont="1" applyFill="1"/>
    <xf numFmtId="0" fontId="60" fillId="3" borderId="0" xfId="0" applyFont="1" applyFill="1"/>
    <xf numFmtId="17" fontId="1" fillId="0" borderId="0" xfId="0" applyNumberFormat="1" applyFont="1" applyAlignment="1">
      <alignment horizontal="left"/>
    </xf>
    <xf numFmtId="0" fontId="51" fillId="3" borderId="24" xfId="0" applyFont="1" applyFill="1" applyBorder="1" applyAlignment="1">
      <alignment vertical="center" wrapText="1"/>
    </xf>
    <xf numFmtId="0" fontId="51" fillId="3" borderId="15" xfId="0" applyFont="1" applyFill="1" applyBorder="1" applyAlignment="1">
      <alignment vertical="center" wrapText="1"/>
    </xf>
    <xf numFmtId="165" fontId="52" fillId="3" borderId="16" xfId="3" applyNumberFormat="1" applyFont="1" applyFill="1" applyBorder="1" applyAlignment="1">
      <alignment horizontal="right" vertical="center"/>
    </xf>
    <xf numFmtId="165" fontId="52" fillId="3" borderId="25" xfId="3" applyNumberFormat="1" applyFont="1" applyFill="1" applyBorder="1" applyAlignment="1">
      <alignment horizontal="right" vertical="center"/>
    </xf>
    <xf numFmtId="164" fontId="61" fillId="3" borderId="25" xfId="3" applyFont="1" applyFill="1" applyBorder="1" applyAlignment="1">
      <alignment horizontal="center" vertical="top"/>
    </xf>
    <xf numFmtId="164" fontId="62" fillId="3" borderId="25" xfId="3" applyFont="1" applyFill="1" applyBorder="1" applyAlignment="1">
      <alignment vertical="center"/>
    </xf>
    <xf numFmtId="164" fontId="62" fillId="3" borderId="25" xfId="3" applyFont="1" applyFill="1" applyBorder="1" applyAlignment="1">
      <alignment horizontal="right" vertical="center"/>
    </xf>
    <xf numFmtId="0" fontId="6" fillId="2" borderId="12" xfId="1" applyFont="1" applyFill="1" applyBorder="1" applyAlignment="1">
      <alignment horizontal="center" wrapText="1"/>
    </xf>
    <xf numFmtId="0" fontId="2" fillId="2" borderId="13" xfId="1" applyFont="1" applyFill="1" applyBorder="1" applyAlignment="1">
      <alignment horizontal="center" wrapText="1"/>
    </xf>
    <xf numFmtId="0" fontId="63" fillId="0" borderId="0" xfId="0" applyFont="1" applyAlignment="1">
      <alignment horizontal="left" vertical="center"/>
    </xf>
    <xf numFmtId="0" fontId="0" fillId="0" borderId="1" xfId="0" applyBorder="1"/>
    <xf numFmtId="4" fontId="25" fillId="2" borderId="10" xfId="1" applyNumberFormat="1" applyFont="1" applyFill="1" applyBorder="1" applyAlignment="1">
      <alignment horizontal="center" vertical="center"/>
    </xf>
    <xf numFmtId="0" fontId="64" fillId="0" borderId="0" xfId="0" applyFont="1" applyAlignment="1">
      <alignment horizontal="center"/>
    </xf>
    <xf numFmtId="165" fontId="65" fillId="0" borderId="0" xfId="0" applyNumberFormat="1" applyFont="1"/>
    <xf numFmtId="0" fontId="65" fillId="0" borderId="1" xfId="0" applyFont="1" applyBorder="1"/>
    <xf numFmtId="0" fontId="66" fillId="0" borderId="0" xfId="0" applyFont="1" applyAlignment="1">
      <alignment vertical="center"/>
    </xf>
    <xf numFmtId="165" fontId="66" fillId="0" borderId="0" xfId="0" applyNumberFormat="1" applyFont="1"/>
    <xf numFmtId="165" fontId="66" fillId="0" borderId="0" xfId="0" applyNumberFormat="1" applyFont="1" applyAlignment="1">
      <alignment vertical="center"/>
    </xf>
    <xf numFmtId="0" fontId="66" fillId="0" borderId="1" xfId="0" applyFont="1" applyBorder="1" applyAlignment="1">
      <alignment vertical="center"/>
    </xf>
    <xf numFmtId="0" fontId="66" fillId="0" borderId="9" xfId="0" applyFont="1" applyBorder="1" applyAlignment="1">
      <alignment horizontal="left" vertical="top" wrapText="1"/>
    </xf>
    <xf numFmtId="0" fontId="66" fillId="0" borderId="9" xfId="0" applyFont="1" applyBorder="1" applyAlignment="1">
      <alignment vertical="center"/>
    </xf>
    <xf numFmtId="0" fontId="67" fillId="0" borderId="0" xfId="0" applyFont="1"/>
    <xf numFmtId="0" fontId="66" fillId="0" borderId="0" xfId="0" applyFont="1" applyAlignment="1">
      <alignment horizontal="left" vertical="center"/>
    </xf>
    <xf numFmtId="165" fontId="66" fillId="0" borderId="0" xfId="0" applyNumberFormat="1" applyFont="1" applyAlignment="1">
      <alignment horizontal="center"/>
    </xf>
    <xf numFmtId="0" fontId="66" fillId="0" borderId="0" xfId="0" applyFont="1" applyAlignment="1">
      <alignment horizontal="center"/>
    </xf>
    <xf numFmtId="0" fontId="66" fillId="0" borderId="9" xfId="0" applyFont="1" applyBorder="1" applyAlignment="1">
      <alignment horizontal="left" vertical="center"/>
    </xf>
    <xf numFmtId="0" fontId="68" fillId="3" borderId="9" xfId="0" applyFont="1" applyFill="1" applyBorder="1" applyAlignment="1">
      <alignment vertical="center"/>
    </xf>
    <xf numFmtId="0" fontId="66" fillId="0" borderId="9" xfId="0" applyFont="1" applyBorder="1" applyAlignment="1">
      <alignment horizontal="center" vertical="top" wrapText="1"/>
    </xf>
    <xf numFmtId="0" fontId="66" fillId="0" borderId="7" xfId="0" applyFont="1" applyBorder="1" applyAlignment="1">
      <alignment horizontal="center"/>
    </xf>
    <xf numFmtId="0" fontId="66" fillId="0" borderId="1" xfId="0" applyFont="1" applyBorder="1"/>
    <xf numFmtId="0" fontId="66" fillId="0" borderId="7" xfId="0" applyFont="1" applyBorder="1"/>
    <xf numFmtId="0" fontId="5" fillId="0" borderId="0" xfId="0" applyFont="1" applyAlignment="1">
      <alignment horizontal="center"/>
    </xf>
    <xf numFmtId="0" fontId="3" fillId="3" borderId="0" xfId="0" applyFont="1" applyFill="1" applyAlignment="1">
      <alignment horizontal="center"/>
    </xf>
    <xf numFmtId="0" fontId="1" fillId="3" borderId="0" xfId="0" applyFont="1" applyFill="1" applyAlignment="1">
      <alignment horizontal="center"/>
    </xf>
    <xf numFmtId="0" fontId="9" fillId="3" borderId="0" xfId="0" applyFont="1" applyFill="1" applyAlignment="1">
      <alignment horizontal="left"/>
    </xf>
    <xf numFmtId="0" fontId="9" fillId="3" borderId="0" xfId="0" applyFont="1" applyFill="1" applyAlignment="1">
      <alignment horizontal="left" vertical="center"/>
    </xf>
    <xf numFmtId="0" fontId="9" fillId="3" borderId="0" xfId="0" applyFont="1" applyFill="1" applyAlignment="1">
      <alignment horizontal="left" vertical="center" wrapText="1"/>
    </xf>
    <xf numFmtId="0" fontId="69" fillId="0" borderId="0" xfId="0" applyFont="1"/>
    <xf numFmtId="0" fontId="9" fillId="3" borderId="0" xfId="0" applyFont="1" applyFill="1" applyAlignment="1">
      <alignment horizontal="center"/>
    </xf>
    <xf numFmtId="0" fontId="3" fillId="2" borderId="4" xfId="0" applyFont="1" applyFill="1" applyBorder="1" applyAlignment="1">
      <alignment horizontal="center"/>
    </xf>
    <xf numFmtId="0" fontId="1" fillId="2" borderId="7" xfId="0" applyFont="1" applyFill="1" applyBorder="1" applyAlignment="1">
      <alignment horizontal="center"/>
    </xf>
    <xf numFmtId="0" fontId="0" fillId="0" borderId="0" xfId="0" applyAlignment="1">
      <alignment wrapText="1"/>
    </xf>
    <xf numFmtId="165" fontId="11" fillId="0" borderId="1" xfId="0" applyNumberFormat="1" applyFont="1" applyBorder="1" applyAlignment="1">
      <alignment horizontal="center"/>
    </xf>
    <xf numFmtId="0" fontId="9" fillId="8" borderId="1" xfId="0" applyFont="1" applyFill="1" applyBorder="1" applyAlignment="1">
      <alignment horizontal="left" vertical="center"/>
    </xf>
    <xf numFmtId="0" fontId="9" fillId="8" borderId="1" xfId="0" applyFont="1" applyFill="1" applyBorder="1" applyAlignment="1">
      <alignment horizontal="left" vertical="center" wrapText="1"/>
    </xf>
    <xf numFmtId="0" fontId="1" fillId="0" borderId="0" xfId="0" applyFont="1" applyAlignment="1">
      <alignment horizontal="left" vertical="center"/>
    </xf>
    <xf numFmtId="0" fontId="1" fillId="0" borderId="9" xfId="0" applyFont="1" applyBorder="1" applyAlignment="1">
      <alignment horizontal="left" vertical="center"/>
    </xf>
    <xf numFmtId="0" fontId="63" fillId="0" borderId="0" xfId="0" applyFont="1" applyAlignment="1">
      <alignment vertical="center"/>
    </xf>
    <xf numFmtId="0" fontId="5" fillId="0" borderId="3" xfId="0" applyFont="1" applyBorder="1" applyAlignment="1">
      <alignment horizontal="center"/>
    </xf>
    <xf numFmtId="0" fontId="5" fillId="0" borderId="4" xfId="0" applyFont="1" applyBorder="1" applyAlignment="1">
      <alignment horizontal="center"/>
    </xf>
    <xf numFmtId="0" fontId="5" fillId="0" borderId="0" xfId="0" applyFont="1" applyAlignment="1">
      <alignment horizontal="center"/>
    </xf>
    <xf numFmtId="0" fontId="5" fillId="0" borderId="1" xfId="0" applyFont="1" applyBorder="1" applyAlignment="1">
      <alignment horizontal="center"/>
    </xf>
    <xf numFmtId="0" fontId="2" fillId="2" borderId="12" xfId="1" applyFont="1" applyFill="1" applyBorder="1" applyAlignment="1">
      <alignment horizontal="center" vertical="center"/>
    </xf>
    <xf numFmtId="0" fontId="2" fillId="2" borderId="13" xfId="1" applyFont="1" applyFill="1" applyBorder="1" applyAlignment="1">
      <alignment horizontal="center" vertical="center"/>
    </xf>
    <xf numFmtId="0" fontId="9" fillId="0" borderId="0" xfId="0" applyFont="1" applyAlignment="1">
      <alignment horizontal="center"/>
    </xf>
    <xf numFmtId="0" fontId="9" fillId="0" borderId="1" xfId="0" applyFont="1" applyBorder="1" applyAlignment="1">
      <alignment horizontal="center"/>
    </xf>
    <xf numFmtId="165" fontId="66" fillId="0" borderId="0" xfId="0" applyNumberFormat="1" applyFont="1" applyAlignment="1">
      <alignment horizontal="left" vertical="center"/>
    </xf>
    <xf numFmtId="165" fontId="66" fillId="0" borderId="1" xfId="0" applyNumberFormat="1" applyFont="1" applyBorder="1" applyAlignment="1">
      <alignment horizontal="left" vertical="center"/>
    </xf>
    <xf numFmtId="0" fontId="66" fillId="0" borderId="9" xfId="0" applyFont="1" applyBorder="1" applyAlignment="1">
      <alignment horizontal="left" vertical="center" wrapText="1"/>
    </xf>
    <xf numFmtId="0" fontId="66" fillId="0" borderId="7" xfId="0" applyFont="1" applyBorder="1" applyAlignment="1">
      <alignment horizontal="left" vertical="center" wrapText="1"/>
    </xf>
    <xf numFmtId="165" fontId="66" fillId="0" borderId="0" xfId="0" applyNumberFormat="1" applyFont="1" applyAlignment="1">
      <alignment horizontal="left" wrapText="1"/>
    </xf>
    <xf numFmtId="165" fontId="66" fillId="0" borderId="1" xfId="0" applyNumberFormat="1" applyFont="1" applyBorder="1" applyAlignment="1">
      <alignment horizontal="left" wrapText="1"/>
    </xf>
    <xf numFmtId="0" fontId="66" fillId="0" borderId="9" xfId="0" applyFont="1" applyBorder="1" applyAlignment="1">
      <alignment horizontal="left" vertical="top" wrapText="1"/>
    </xf>
    <xf numFmtId="0" fontId="11" fillId="0" borderId="9" xfId="0" applyFont="1" applyBorder="1" applyAlignment="1">
      <alignment horizontal="left" vertical="top" wrapText="1"/>
    </xf>
    <xf numFmtId="0" fontId="6" fillId="0" borderId="0" xfId="0" applyFont="1" applyAlignment="1">
      <alignment horizontal="center"/>
    </xf>
    <xf numFmtId="0" fontId="6" fillId="0" borderId="1" xfId="0" applyFont="1" applyBorder="1" applyAlignment="1">
      <alignment horizontal="center"/>
    </xf>
    <xf numFmtId="0" fontId="66" fillId="0" borderId="0" xfId="0" applyFont="1" applyAlignment="1">
      <alignment vertical="center" wrapText="1"/>
    </xf>
    <xf numFmtId="0" fontId="66" fillId="0" borderId="0" xfId="0" applyFont="1" applyAlignment="1">
      <alignment vertical="center"/>
    </xf>
    <xf numFmtId="0" fontId="32" fillId="2" borderId="12" xfId="1" applyFont="1" applyFill="1" applyBorder="1" applyAlignment="1">
      <alignment horizontal="center" vertical="center" wrapText="1"/>
    </xf>
    <xf numFmtId="0" fontId="32" fillId="2" borderId="13" xfId="1" applyFont="1" applyFill="1" applyBorder="1" applyAlignment="1">
      <alignment horizontal="center" vertical="center" wrapText="1"/>
    </xf>
    <xf numFmtId="0" fontId="34" fillId="2" borderId="12" xfId="1" applyFont="1" applyFill="1" applyBorder="1" applyAlignment="1">
      <alignment horizontal="center" vertical="center"/>
    </xf>
    <xf numFmtId="0" fontId="34" fillId="2" borderId="13" xfId="1" applyFont="1" applyFill="1" applyBorder="1" applyAlignment="1">
      <alignment horizontal="center" vertical="center"/>
    </xf>
    <xf numFmtId="0" fontId="66" fillId="0" borderId="0" xfId="0" applyFont="1" applyAlignment="1">
      <alignment horizontal="left" vertical="top" wrapText="1"/>
    </xf>
    <xf numFmtId="0" fontId="37" fillId="2" borderId="12" xfId="1" applyFont="1" applyFill="1" applyBorder="1" applyAlignment="1">
      <alignment horizontal="center" vertical="center" wrapText="1"/>
    </xf>
    <xf numFmtId="0" fontId="37" fillId="2" borderId="13" xfId="1" applyFont="1" applyFill="1" applyBorder="1" applyAlignment="1">
      <alignment horizontal="center" vertical="center" wrapText="1"/>
    </xf>
    <xf numFmtId="165" fontId="22" fillId="3" borderId="26" xfId="1" applyNumberFormat="1" applyFont="1" applyFill="1" applyBorder="1" applyAlignment="1" applyProtection="1">
      <alignment horizontal="center" vertical="center" wrapText="1"/>
      <protection locked="0"/>
    </xf>
    <xf numFmtId="164" fontId="22" fillId="5" borderId="18" xfId="3" applyFont="1" applyFill="1" applyBorder="1" applyAlignment="1" applyProtection="1">
      <alignment horizontal="center" vertical="center" wrapText="1"/>
      <protection locked="0"/>
    </xf>
    <xf numFmtId="165" fontId="22" fillId="3" borderId="24" xfId="1" applyNumberFormat="1" applyFont="1" applyFill="1" applyBorder="1" applyAlignment="1" applyProtection="1">
      <alignment horizontal="center" vertical="center"/>
      <protection locked="0"/>
    </xf>
    <xf numFmtId="0" fontId="21" fillId="4" borderId="20" xfId="0" applyFont="1" applyFill="1" applyBorder="1" applyAlignment="1">
      <alignment horizontal="center" vertical="center"/>
    </xf>
    <xf numFmtId="0" fontId="21" fillId="4" borderId="24" xfId="0" applyFont="1" applyFill="1" applyBorder="1" applyAlignment="1">
      <alignment horizontal="center" vertical="center"/>
    </xf>
    <xf numFmtId="0" fontId="21" fillId="4" borderId="21" xfId="0" applyFont="1" applyFill="1" applyBorder="1" applyAlignment="1">
      <alignment horizontal="center" vertical="center"/>
    </xf>
    <xf numFmtId="0" fontId="21" fillId="4" borderId="15" xfId="0" applyFont="1" applyFill="1" applyBorder="1" applyAlignment="1">
      <alignment horizontal="center" vertical="center"/>
    </xf>
    <xf numFmtId="0" fontId="26" fillId="3" borderId="0" xfId="0" applyFont="1" applyFill="1" applyAlignment="1">
      <alignment horizontal="left" vertical="top" wrapText="1"/>
    </xf>
    <xf numFmtId="165" fontId="22" fillId="3" borderId="31" xfId="1" applyNumberFormat="1" applyFont="1" applyFill="1" applyBorder="1" applyAlignment="1" applyProtection="1">
      <alignment horizontal="center" vertical="center" wrapText="1"/>
      <protection locked="0"/>
    </xf>
    <xf numFmtId="165" fontId="22" fillId="3" borderId="34" xfId="1" applyNumberFormat="1" applyFont="1" applyFill="1" applyBorder="1" applyAlignment="1" applyProtection="1">
      <alignment horizontal="center" vertical="center"/>
      <protection locked="0"/>
    </xf>
    <xf numFmtId="165" fontId="22" fillId="3" borderId="33" xfId="1" applyNumberFormat="1" applyFont="1" applyFill="1" applyBorder="1" applyAlignment="1" applyProtection="1">
      <alignment horizontal="center" vertical="center" wrapText="1"/>
      <protection locked="0"/>
    </xf>
    <xf numFmtId="165" fontId="22" fillId="3" borderId="35" xfId="1" applyNumberFormat="1" applyFont="1" applyFill="1" applyBorder="1" applyAlignment="1" applyProtection="1">
      <alignment horizontal="center" vertical="center" wrapText="1"/>
      <protection locked="0"/>
    </xf>
    <xf numFmtId="164" fontId="22" fillId="5" borderId="30" xfId="3" applyFont="1" applyFill="1" applyBorder="1" applyAlignment="1" applyProtection="1">
      <alignment horizontal="center" vertical="center" wrapText="1"/>
      <protection locked="0"/>
    </xf>
    <xf numFmtId="0" fontId="40" fillId="4" borderId="27" xfId="0" applyFont="1" applyFill="1" applyBorder="1" applyAlignment="1">
      <alignment horizontal="center" vertical="center"/>
    </xf>
    <xf numFmtId="0" fontId="40" fillId="4" borderId="17" xfId="0" applyFont="1" applyFill="1" applyBorder="1" applyAlignment="1">
      <alignment horizontal="center" vertical="center"/>
    </xf>
    <xf numFmtId="165" fontId="22" fillId="3" borderId="32" xfId="1" applyNumberFormat="1" applyFont="1" applyFill="1" applyBorder="1" applyAlignment="1" applyProtection="1">
      <alignment horizontal="center" vertical="center" wrapText="1"/>
      <protection locked="0"/>
    </xf>
    <xf numFmtId="165" fontId="22" fillId="3" borderId="22" xfId="1" applyNumberFormat="1" applyFont="1" applyFill="1" applyBorder="1" applyAlignment="1" applyProtection="1">
      <alignment horizontal="center" vertical="center" wrapText="1"/>
      <protection locked="0"/>
    </xf>
    <xf numFmtId="165" fontId="51" fillId="3" borderId="26" xfId="5" applyNumberFormat="1" applyFont="1" applyFill="1" applyBorder="1" applyAlignment="1" applyProtection="1">
      <alignment horizontal="left" vertical="center" wrapText="1"/>
      <protection locked="0"/>
    </xf>
    <xf numFmtId="165" fontId="51" fillId="3" borderId="16" xfId="5" applyNumberFormat="1" applyFont="1" applyFill="1" applyBorder="1" applyAlignment="1" applyProtection="1">
      <alignment horizontal="left" vertical="center" wrapText="1"/>
      <protection locked="0"/>
    </xf>
    <xf numFmtId="164" fontId="51" fillId="5" borderId="18" xfId="3" applyFont="1" applyFill="1" applyBorder="1" applyAlignment="1" applyProtection="1">
      <alignment horizontal="center" vertical="center" wrapText="1"/>
      <protection locked="0"/>
    </xf>
    <xf numFmtId="164" fontId="51" fillId="5" borderId="19" xfId="3" applyFont="1" applyFill="1" applyBorder="1" applyAlignment="1" applyProtection="1">
      <alignment horizontal="center" vertical="center" wrapText="1"/>
      <protection locked="0"/>
    </xf>
    <xf numFmtId="164" fontId="53" fillId="5" borderId="49" xfId="3" applyFont="1" applyFill="1" applyBorder="1" applyAlignment="1" applyProtection="1">
      <alignment horizontal="center" vertical="center" wrapText="1"/>
      <protection locked="0"/>
    </xf>
    <xf numFmtId="0" fontId="28" fillId="0" borderId="0" xfId="0" applyFont="1" applyAlignment="1">
      <alignment horizontal="left" vertical="top" wrapText="1"/>
    </xf>
    <xf numFmtId="0" fontId="49" fillId="4" borderId="8" xfId="0" applyFont="1" applyFill="1" applyBorder="1" applyAlignment="1">
      <alignment horizontal="center" vertical="center"/>
    </xf>
    <xf numFmtId="0" fontId="49" fillId="4" borderId="41" xfId="0" applyFont="1" applyFill="1" applyBorder="1" applyAlignment="1">
      <alignment horizontal="center" vertical="center"/>
    </xf>
    <xf numFmtId="0" fontId="49" fillId="6" borderId="42" xfId="0" applyFont="1" applyFill="1" applyBorder="1" applyAlignment="1">
      <alignment horizontal="center" vertical="center"/>
    </xf>
    <xf numFmtId="0" fontId="49" fillId="6" borderId="43" xfId="0" applyFont="1" applyFill="1" applyBorder="1" applyAlignment="1">
      <alignment horizontal="center" vertical="center"/>
    </xf>
    <xf numFmtId="0" fontId="50" fillId="4" borderId="24" xfId="0" applyFont="1" applyFill="1" applyBorder="1" applyAlignment="1">
      <alignment horizontal="center" vertical="center"/>
    </xf>
    <xf numFmtId="0" fontId="50" fillId="4" borderId="15" xfId="0" applyFont="1" applyFill="1" applyBorder="1" applyAlignment="1">
      <alignment horizontal="center" vertical="center"/>
    </xf>
    <xf numFmtId="164" fontId="53" fillId="5" borderId="22" xfId="3" applyFont="1" applyFill="1" applyBorder="1" applyAlignment="1" applyProtection="1">
      <alignment horizontal="center" vertical="center" wrapText="1"/>
      <protection locked="0"/>
    </xf>
    <xf numFmtId="164" fontId="53" fillId="5" borderId="21" xfId="3" applyFont="1" applyFill="1" applyBorder="1" applyAlignment="1" applyProtection="1">
      <alignment horizontal="center" vertical="center" wrapText="1"/>
      <protection locked="0"/>
    </xf>
    <xf numFmtId="165" fontId="22" fillId="3" borderId="16" xfId="1" applyNumberFormat="1" applyFont="1" applyFill="1" applyBorder="1" applyAlignment="1" applyProtection="1">
      <alignment horizontal="center" vertical="center" wrapText="1"/>
      <protection locked="0"/>
    </xf>
    <xf numFmtId="165" fontId="22" fillId="3" borderId="15" xfId="1" applyNumberFormat="1" applyFont="1" applyFill="1" applyBorder="1" applyAlignment="1" applyProtection="1">
      <alignment horizontal="center" vertical="center"/>
      <protection locked="0"/>
    </xf>
    <xf numFmtId="165" fontId="51" fillId="3" borderId="33" xfId="5" applyNumberFormat="1" applyFont="1" applyFill="1" applyBorder="1" applyAlignment="1" applyProtection="1">
      <alignment horizontal="left" vertical="center" wrapText="1"/>
      <protection locked="0"/>
    </xf>
    <xf numFmtId="165" fontId="51" fillId="3" borderId="50" xfId="5" applyNumberFormat="1" applyFont="1" applyFill="1" applyBorder="1" applyAlignment="1" applyProtection="1">
      <alignment horizontal="left" vertical="center" wrapText="1"/>
      <protection locked="0"/>
    </xf>
  </cellXfs>
  <cellStyles count="6">
    <cellStyle name="Comma" xfId="3" builtinId="3"/>
    <cellStyle name="Normal" xfId="0" builtinId="0"/>
    <cellStyle name="Normal 2" xfId="2" xr:uid="{00000000-0005-0000-0000-000002000000}"/>
    <cellStyle name="Normal 4" xfId="1" xr:uid="{00000000-0005-0000-0000-000003000000}"/>
    <cellStyle name="Normal 4 2" xfId="5" xr:uid="{AE3513BD-08D4-4AC4-9875-9D7EA181C367}"/>
    <cellStyle name="Percent" xfId="4"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C000"/>
    <pageSetUpPr fitToPage="1"/>
  </sheetPr>
  <dimension ref="A1:H48"/>
  <sheetViews>
    <sheetView view="pageBreakPreview" topLeftCell="A3" zoomScale="90" zoomScaleNormal="100" zoomScaleSheetLayoutView="90" workbookViewId="0">
      <selection activeCell="F30" sqref="F30"/>
    </sheetView>
  </sheetViews>
  <sheetFormatPr defaultColWidth="11.5546875" defaultRowHeight="14.4" x14ac:dyDescent="0.3"/>
  <cols>
    <col min="1" max="1" width="2.88671875" customWidth="1"/>
    <col min="2" max="2" width="5.5546875" customWidth="1"/>
    <col min="3" max="3" width="39.6640625" customWidth="1"/>
    <col min="4" max="4" width="24.6640625" customWidth="1"/>
    <col min="5" max="5" width="20.44140625" customWidth="1"/>
    <col min="6" max="6" width="82.109375" customWidth="1"/>
    <col min="7" max="7" width="7" customWidth="1"/>
    <col min="8" max="8" width="4.6640625" customWidth="1"/>
    <col min="9" max="9" width="24.5546875" customWidth="1"/>
    <col min="11" max="11" width="20" customWidth="1"/>
  </cols>
  <sheetData>
    <row r="1" spans="1:8" x14ac:dyDescent="0.3">
      <c r="A1" s="53"/>
      <c r="B1" s="53"/>
      <c r="C1" s="53"/>
      <c r="D1" s="53"/>
      <c r="E1" s="53"/>
      <c r="F1" s="53"/>
      <c r="G1" s="53"/>
      <c r="H1" s="53"/>
    </row>
    <row r="2" spans="1:8" x14ac:dyDescent="0.3">
      <c r="A2" s="53"/>
      <c r="B2" s="53"/>
      <c r="C2" s="53"/>
      <c r="D2" s="53"/>
      <c r="E2" s="53"/>
      <c r="F2" s="53"/>
      <c r="G2" s="53"/>
      <c r="H2" s="53"/>
    </row>
    <row r="3" spans="1:8" ht="15" thickBot="1" x14ac:dyDescent="0.35">
      <c r="A3" s="53"/>
      <c r="B3" s="53"/>
      <c r="C3" s="53"/>
      <c r="D3" s="53"/>
      <c r="E3" s="53"/>
      <c r="F3" s="53"/>
      <c r="G3" s="53"/>
      <c r="H3" s="53"/>
    </row>
    <row r="4" spans="1:8" ht="33" customHeight="1" x14ac:dyDescent="0.3">
      <c r="A4" s="53"/>
      <c r="B4" s="54"/>
      <c r="C4" s="197" t="s">
        <v>169</v>
      </c>
      <c r="D4" s="197"/>
      <c r="E4" s="197"/>
      <c r="F4" s="198"/>
      <c r="G4" s="180"/>
      <c r="H4" s="53"/>
    </row>
    <row r="5" spans="1:8" ht="17.399999999999999" x14ac:dyDescent="0.3">
      <c r="A5" s="53"/>
      <c r="B5" s="55"/>
      <c r="C5" s="199" t="s">
        <v>16</v>
      </c>
      <c r="D5" s="199"/>
      <c r="E5" s="199"/>
      <c r="F5" s="200"/>
      <c r="G5" s="180"/>
      <c r="H5" s="53"/>
    </row>
    <row r="6" spans="1:8" ht="15.6" x14ac:dyDescent="0.3">
      <c r="A6" s="53"/>
      <c r="B6" s="55"/>
      <c r="C6" s="3"/>
      <c r="D6" s="56"/>
      <c r="E6" s="56"/>
      <c r="F6" s="45"/>
      <c r="G6" s="56"/>
      <c r="H6" s="53"/>
    </row>
    <row r="7" spans="1:8" x14ac:dyDescent="0.3">
      <c r="A7" s="53"/>
      <c r="B7" s="55"/>
      <c r="C7" s="203" t="s">
        <v>205</v>
      </c>
      <c r="D7" s="203"/>
      <c r="E7" s="203"/>
      <c r="F7" s="204"/>
      <c r="G7" s="56"/>
      <c r="H7" s="53"/>
    </row>
    <row r="8" spans="1:8" x14ac:dyDescent="0.3">
      <c r="A8" s="53"/>
      <c r="B8" s="55"/>
      <c r="C8" s="203" t="s">
        <v>206</v>
      </c>
      <c r="D8" s="203"/>
      <c r="E8" s="203"/>
      <c r="F8" s="204"/>
      <c r="G8" s="56"/>
      <c r="H8" s="53"/>
    </row>
    <row r="9" spans="1:8" x14ac:dyDescent="0.3">
      <c r="A9" s="53"/>
      <c r="B9" s="55"/>
      <c r="C9" s="203" t="s">
        <v>207</v>
      </c>
      <c r="D9" s="203"/>
      <c r="E9" s="203"/>
      <c r="F9" s="204"/>
      <c r="G9" s="56"/>
      <c r="H9" s="53"/>
    </row>
    <row r="10" spans="1:8" ht="15.6" x14ac:dyDescent="0.3">
      <c r="A10" s="53"/>
      <c r="B10" s="55"/>
      <c r="C10" s="3"/>
      <c r="D10" s="56"/>
      <c r="E10" s="56"/>
      <c r="F10" s="45"/>
      <c r="G10" s="56"/>
      <c r="H10" s="53"/>
    </row>
    <row r="11" spans="1:8" ht="16.2" thickBot="1" x14ac:dyDescent="0.35">
      <c r="A11" s="53"/>
      <c r="B11" s="55"/>
      <c r="C11" s="3"/>
      <c r="D11" s="56"/>
      <c r="E11" s="56"/>
      <c r="F11" s="45"/>
      <c r="G11" s="56"/>
      <c r="H11" s="53"/>
    </row>
    <row r="12" spans="1:8" ht="23.25" customHeight="1" x14ac:dyDescent="0.3">
      <c r="A12" s="53"/>
      <c r="B12" s="55"/>
      <c r="C12" s="57"/>
      <c r="D12" s="15" t="s">
        <v>93</v>
      </c>
      <c r="E12" s="201" t="s">
        <v>15</v>
      </c>
      <c r="F12" s="38" t="s">
        <v>10</v>
      </c>
      <c r="G12" s="181"/>
      <c r="H12" s="53"/>
    </row>
    <row r="13" spans="1:8" ht="16.2" thickBot="1" x14ac:dyDescent="0.35">
      <c r="A13" s="53"/>
      <c r="B13" s="55"/>
      <c r="C13" s="56"/>
      <c r="D13" s="17" t="s">
        <v>0</v>
      </c>
      <c r="E13" s="202"/>
      <c r="F13" s="32"/>
      <c r="G13" s="182"/>
      <c r="H13" s="53"/>
    </row>
    <row r="14" spans="1:8" x14ac:dyDescent="0.3">
      <c r="A14" s="53"/>
      <c r="B14" s="65" t="s">
        <v>1</v>
      </c>
      <c r="C14" s="66" t="s">
        <v>2</v>
      </c>
      <c r="D14" s="58"/>
      <c r="E14" s="78"/>
      <c r="F14" s="36"/>
      <c r="G14" s="183"/>
      <c r="H14" s="53"/>
    </row>
    <row r="15" spans="1:8" ht="33.75" customHeight="1" x14ac:dyDescent="0.3">
      <c r="A15" s="53"/>
      <c r="B15" s="67"/>
      <c r="C15" s="68" t="s">
        <v>18</v>
      </c>
      <c r="D15" s="21">
        <v>3000</v>
      </c>
      <c r="E15" s="79">
        <f>+D15*100/D31</f>
        <v>12.764056417129364</v>
      </c>
      <c r="F15" s="34" t="s">
        <v>24</v>
      </c>
      <c r="G15" s="184"/>
      <c r="H15" s="53"/>
    </row>
    <row r="16" spans="1:8" ht="29.25" customHeight="1" x14ac:dyDescent="0.3">
      <c r="A16" s="53"/>
      <c r="B16" s="67"/>
      <c r="C16" s="68" t="s">
        <v>133</v>
      </c>
      <c r="D16" s="21">
        <v>5100</v>
      </c>
      <c r="E16" s="79">
        <f>+D16*100/$D$31</f>
        <v>21.698895909119919</v>
      </c>
      <c r="F16" s="34" t="s">
        <v>201</v>
      </c>
      <c r="G16" s="184"/>
      <c r="H16" s="53"/>
    </row>
    <row r="17" spans="1:8" ht="57.75" customHeight="1" x14ac:dyDescent="0.3">
      <c r="A17" s="53"/>
      <c r="B17" s="67"/>
      <c r="C17" s="68" t="s">
        <v>56</v>
      </c>
      <c r="D17" s="21">
        <v>4943</v>
      </c>
      <c r="E17" s="79">
        <f>+D17*100/$D$31</f>
        <v>21.030910289956815</v>
      </c>
      <c r="F17" s="35" t="s">
        <v>204</v>
      </c>
      <c r="G17" s="185"/>
      <c r="H17" s="53"/>
    </row>
    <row r="18" spans="1:8" ht="57.75" customHeight="1" x14ac:dyDescent="0.3">
      <c r="A18" s="53"/>
      <c r="B18" s="67"/>
      <c r="C18" s="68" t="s">
        <v>92</v>
      </c>
      <c r="D18" s="21">
        <v>1800</v>
      </c>
      <c r="E18" s="79">
        <f t="shared" ref="E18:E30" si="0">+D18*100/$D$31</f>
        <v>7.6584338502776186</v>
      </c>
      <c r="F18" s="42" t="s">
        <v>202</v>
      </c>
      <c r="G18" s="185"/>
      <c r="H18" s="53"/>
    </row>
    <row r="19" spans="1:8" ht="57.75" customHeight="1" x14ac:dyDescent="0.3">
      <c r="A19" s="53"/>
      <c r="B19" s="67"/>
      <c r="C19" s="68" t="s">
        <v>132</v>
      </c>
      <c r="D19" s="21">
        <f>170*4</f>
        <v>680</v>
      </c>
      <c r="E19" s="79">
        <f t="shared" si="0"/>
        <v>2.8931861212159893</v>
      </c>
      <c r="F19" s="35" t="s">
        <v>20</v>
      </c>
      <c r="G19" s="185"/>
      <c r="H19" s="53"/>
    </row>
    <row r="20" spans="1:8" x14ac:dyDescent="0.3">
      <c r="A20" s="53"/>
      <c r="B20" s="65" t="s">
        <v>3</v>
      </c>
      <c r="C20" s="66" t="s">
        <v>4</v>
      </c>
      <c r="D20" s="25"/>
      <c r="E20" s="79"/>
      <c r="F20" s="36"/>
      <c r="G20" s="183"/>
      <c r="H20" s="53"/>
    </row>
    <row r="21" spans="1:8" ht="32.25" customHeight="1" x14ac:dyDescent="0.3">
      <c r="A21" s="53"/>
      <c r="B21" s="67"/>
      <c r="C21" s="68" t="s">
        <v>66</v>
      </c>
      <c r="D21" s="21">
        <v>1364</v>
      </c>
      <c r="E21" s="79">
        <f t="shared" si="0"/>
        <v>5.8033909843214841</v>
      </c>
      <c r="F21" s="34" t="s">
        <v>17</v>
      </c>
      <c r="G21" s="184"/>
      <c r="H21" s="53"/>
    </row>
    <row r="22" spans="1:8" ht="32.25" customHeight="1" x14ac:dyDescent="0.3">
      <c r="A22" s="53"/>
      <c r="B22" s="67"/>
      <c r="C22" s="68" t="s">
        <v>19</v>
      </c>
      <c r="D22" s="21">
        <f>((0.05*11365)*2)+300</f>
        <v>1436.5</v>
      </c>
      <c r="E22" s="79">
        <f t="shared" si="0"/>
        <v>6.1118556810687767</v>
      </c>
      <c r="F22" s="34" t="s">
        <v>26</v>
      </c>
      <c r="G22" s="184"/>
      <c r="H22" s="53"/>
    </row>
    <row r="23" spans="1:8" ht="43.5" customHeight="1" x14ac:dyDescent="0.3">
      <c r="A23" s="53"/>
      <c r="B23" s="67"/>
      <c r="C23" s="68" t="s">
        <v>14</v>
      </c>
      <c r="D23" s="21">
        <f>2480+100</f>
        <v>2580</v>
      </c>
      <c r="E23" s="79">
        <f t="shared" si="0"/>
        <v>10.977088518731252</v>
      </c>
      <c r="F23" s="35" t="s">
        <v>208</v>
      </c>
      <c r="G23" s="184"/>
      <c r="H23" s="53"/>
    </row>
    <row r="24" spans="1:8" ht="37.5" customHeight="1" x14ac:dyDescent="0.3">
      <c r="A24" s="53"/>
      <c r="B24" s="67"/>
      <c r="C24" s="68" t="s">
        <v>65</v>
      </c>
      <c r="D24" s="21">
        <v>400</v>
      </c>
      <c r="E24" s="79">
        <f t="shared" si="0"/>
        <v>1.7018741889505817</v>
      </c>
      <c r="F24" s="35" t="s">
        <v>20</v>
      </c>
      <c r="G24" s="185"/>
      <c r="H24" s="53"/>
    </row>
    <row r="25" spans="1:8" ht="30" customHeight="1" x14ac:dyDescent="0.3">
      <c r="A25" s="53"/>
      <c r="B25" s="67"/>
      <c r="C25" s="68" t="s">
        <v>64</v>
      </c>
      <c r="D25" s="21">
        <v>200</v>
      </c>
      <c r="E25" s="79">
        <f t="shared" si="0"/>
        <v>0.85093709447529087</v>
      </c>
      <c r="F25" s="34" t="s">
        <v>181</v>
      </c>
      <c r="G25" s="184"/>
      <c r="H25" s="53"/>
    </row>
    <row r="26" spans="1:8" ht="25.5" customHeight="1" x14ac:dyDescent="0.3">
      <c r="A26" s="53"/>
      <c r="B26" s="67"/>
      <c r="C26" s="68" t="s">
        <v>62</v>
      </c>
      <c r="D26" s="26">
        <v>520</v>
      </c>
      <c r="E26" s="79">
        <f t="shared" si="0"/>
        <v>2.2124364456357566</v>
      </c>
      <c r="F26" s="34" t="s">
        <v>11</v>
      </c>
      <c r="G26" s="184"/>
      <c r="H26" s="53"/>
    </row>
    <row r="27" spans="1:8" ht="24" customHeight="1" x14ac:dyDescent="0.3">
      <c r="A27" s="53"/>
      <c r="B27" s="67"/>
      <c r="C27" s="68" t="s">
        <v>182</v>
      </c>
      <c r="D27" s="27">
        <v>180</v>
      </c>
      <c r="E27" s="79">
        <f t="shared" si="0"/>
        <v>0.76584338502776184</v>
      </c>
      <c r="F27" s="34" t="s">
        <v>209</v>
      </c>
      <c r="G27" s="184"/>
      <c r="H27" s="53"/>
    </row>
    <row r="28" spans="1:8" ht="25.5" customHeight="1" x14ac:dyDescent="0.3">
      <c r="A28" s="53"/>
      <c r="B28" s="65" t="s">
        <v>5</v>
      </c>
      <c r="C28" s="66" t="s">
        <v>6</v>
      </c>
      <c r="D28" s="28"/>
      <c r="E28" s="79">
        <f t="shared" si="0"/>
        <v>0</v>
      </c>
      <c r="F28" s="36"/>
      <c r="G28" s="183"/>
      <c r="H28" s="53"/>
    </row>
    <row r="29" spans="1:8" ht="57" customHeight="1" x14ac:dyDescent="0.3">
      <c r="A29" s="53"/>
      <c r="B29" s="67"/>
      <c r="C29" s="68" t="s">
        <v>7</v>
      </c>
      <c r="D29" s="21">
        <v>900</v>
      </c>
      <c r="E29" s="79">
        <f t="shared" si="0"/>
        <v>3.8292169251388093</v>
      </c>
      <c r="F29" s="35" t="s">
        <v>22</v>
      </c>
      <c r="G29" s="185"/>
      <c r="H29" s="53"/>
    </row>
    <row r="30" spans="1:8" ht="34.5" customHeight="1" thickBot="1" x14ac:dyDescent="0.35">
      <c r="A30" s="53"/>
      <c r="B30" s="67"/>
      <c r="C30" s="68" t="s">
        <v>131</v>
      </c>
      <c r="D30" s="80">
        <v>400</v>
      </c>
      <c r="E30" s="79">
        <f t="shared" si="0"/>
        <v>1.7018741889505817</v>
      </c>
      <c r="F30" s="34" t="s">
        <v>23</v>
      </c>
      <c r="G30" s="183"/>
      <c r="H30" s="53"/>
    </row>
    <row r="31" spans="1:8" ht="16.2" thickBot="1" x14ac:dyDescent="0.35">
      <c r="A31" s="53"/>
      <c r="B31" s="67"/>
      <c r="C31" s="6" t="s">
        <v>8</v>
      </c>
      <c r="D31" s="30">
        <f>SUM(D14:D30)</f>
        <v>23503.5</v>
      </c>
      <c r="E31" s="31">
        <f>+D31*100/$D$31</f>
        <v>100</v>
      </c>
      <c r="F31" s="49"/>
      <c r="G31" s="187"/>
      <c r="H31" s="53"/>
    </row>
    <row r="32" spans="1:8" x14ac:dyDescent="0.3">
      <c r="A32" s="53"/>
      <c r="B32" s="55"/>
      <c r="C32" s="56"/>
      <c r="D32" s="59"/>
      <c r="E32" s="59"/>
      <c r="F32" s="45"/>
      <c r="G32" s="56"/>
      <c r="H32" s="53"/>
    </row>
    <row r="33" spans="1:8" ht="21.75" customHeight="1" x14ac:dyDescent="0.3">
      <c r="A33" s="53"/>
      <c r="B33" s="55"/>
      <c r="C33" s="69"/>
      <c r="D33" s="59"/>
      <c r="E33" s="59"/>
      <c r="F33" s="45"/>
      <c r="G33" s="56"/>
      <c r="H33" s="53"/>
    </row>
    <row r="34" spans="1:8" ht="35.25" customHeight="1" x14ac:dyDescent="0.3">
      <c r="A34" s="53"/>
      <c r="B34" s="55"/>
      <c r="C34" s="194" t="s">
        <v>9</v>
      </c>
      <c r="D34" s="172"/>
      <c r="E34" s="60"/>
      <c r="F34" s="61"/>
      <c r="G34" s="62"/>
      <c r="H34" s="53"/>
    </row>
    <row r="35" spans="1:8" ht="26.25" customHeight="1" x14ac:dyDescent="0.3">
      <c r="A35" s="53"/>
      <c r="B35" s="55"/>
      <c r="C35" s="194" t="s">
        <v>51</v>
      </c>
      <c r="D35" s="172"/>
      <c r="E35" s="60"/>
      <c r="F35" s="61"/>
      <c r="G35" s="62"/>
      <c r="H35" s="53"/>
    </row>
    <row r="36" spans="1:8" ht="22.5" customHeight="1" x14ac:dyDescent="0.3">
      <c r="A36" s="53"/>
      <c r="B36" s="55"/>
      <c r="C36" s="194" t="s">
        <v>27</v>
      </c>
      <c r="D36" s="173"/>
      <c r="E36" s="60"/>
      <c r="F36" s="191"/>
      <c r="G36" s="62"/>
      <c r="H36" s="53"/>
    </row>
    <row r="37" spans="1:8" ht="22.5" customHeight="1" x14ac:dyDescent="0.3">
      <c r="A37" s="53"/>
      <c r="B37" s="55"/>
      <c r="C37" s="194" t="s">
        <v>83</v>
      </c>
      <c r="D37" s="173"/>
      <c r="E37" s="60"/>
      <c r="F37" s="61"/>
      <c r="G37" s="62"/>
      <c r="H37" s="53"/>
    </row>
    <row r="38" spans="1:8" ht="21.75" customHeight="1" thickBot="1" x14ac:dyDescent="0.35">
      <c r="A38" s="53"/>
      <c r="B38" s="63"/>
      <c r="C38" s="195" t="s">
        <v>116</v>
      </c>
      <c r="D38" s="175"/>
      <c r="E38" s="95"/>
      <c r="F38" s="64"/>
      <c r="G38" s="62"/>
      <c r="H38" s="53"/>
    </row>
    <row r="39" spans="1:8" ht="15" customHeight="1" x14ac:dyDescent="0.3">
      <c r="A39" s="53"/>
      <c r="B39" s="53"/>
      <c r="C39" s="53"/>
      <c r="D39" s="53"/>
      <c r="E39" s="53"/>
      <c r="F39" s="53"/>
      <c r="G39" s="53"/>
      <c r="H39" s="53"/>
    </row>
    <row r="40" spans="1:8" x14ac:dyDescent="0.3">
      <c r="A40" s="53"/>
      <c r="B40" s="53"/>
      <c r="C40" s="53"/>
      <c r="D40" s="53"/>
      <c r="E40" s="53"/>
      <c r="F40" s="53"/>
      <c r="G40" s="53"/>
      <c r="H40" s="53"/>
    </row>
    <row r="41" spans="1:8" x14ac:dyDescent="0.3">
      <c r="A41" s="53"/>
      <c r="B41" s="53"/>
      <c r="C41" s="53"/>
      <c r="D41" s="53"/>
      <c r="E41" s="53"/>
      <c r="F41" s="53"/>
      <c r="G41" s="53"/>
      <c r="H41" s="53"/>
    </row>
    <row r="42" spans="1:8" x14ac:dyDescent="0.3">
      <c r="A42" s="53"/>
      <c r="B42" s="53"/>
      <c r="C42" s="53"/>
      <c r="D42" s="53"/>
      <c r="E42" s="53"/>
      <c r="F42" s="53"/>
      <c r="G42" s="53"/>
      <c r="H42" s="53"/>
    </row>
    <row r="43" spans="1:8" x14ac:dyDescent="0.3">
      <c r="A43" s="53"/>
      <c r="B43" s="53"/>
      <c r="C43" s="53"/>
      <c r="D43" s="53"/>
      <c r="E43" s="53"/>
      <c r="F43" s="53"/>
      <c r="G43" s="53"/>
      <c r="H43" s="53"/>
    </row>
    <row r="44" spans="1:8" x14ac:dyDescent="0.3">
      <c r="A44" s="53"/>
      <c r="B44" s="53"/>
      <c r="C44" s="53"/>
      <c r="D44" s="53"/>
      <c r="E44" s="53"/>
      <c r="F44" s="53"/>
      <c r="G44" s="53"/>
      <c r="H44" s="53"/>
    </row>
    <row r="45" spans="1:8" x14ac:dyDescent="0.3">
      <c r="A45" s="53"/>
      <c r="B45" s="53"/>
      <c r="C45" s="53"/>
      <c r="D45" s="53"/>
      <c r="E45" s="53"/>
      <c r="F45" s="53"/>
      <c r="G45" s="53"/>
      <c r="H45" s="53"/>
    </row>
    <row r="46" spans="1:8" x14ac:dyDescent="0.3">
      <c r="A46" s="53"/>
      <c r="B46" s="53"/>
      <c r="C46" s="53"/>
      <c r="D46" s="53"/>
      <c r="E46" s="53"/>
      <c r="F46" s="53"/>
      <c r="G46" s="53"/>
      <c r="H46" s="53"/>
    </row>
    <row r="47" spans="1:8" x14ac:dyDescent="0.3">
      <c r="A47" s="53"/>
      <c r="B47" s="53"/>
      <c r="C47" s="53"/>
      <c r="D47" s="53"/>
      <c r="E47" s="53"/>
      <c r="F47" s="53"/>
      <c r="G47" s="53"/>
      <c r="H47" s="53"/>
    </row>
    <row r="48" spans="1:8" x14ac:dyDescent="0.3">
      <c r="A48" s="53"/>
      <c r="B48" s="53"/>
      <c r="C48" s="53"/>
      <c r="D48" s="53"/>
      <c r="E48" s="53"/>
      <c r="F48" s="53"/>
      <c r="G48" s="53"/>
      <c r="H48" s="53"/>
    </row>
  </sheetData>
  <mergeCells count="6">
    <mergeCell ref="C4:F4"/>
    <mergeCell ref="C5:F5"/>
    <mergeCell ref="E12:E13"/>
    <mergeCell ref="C7:F7"/>
    <mergeCell ref="C8:F8"/>
    <mergeCell ref="C9:F9"/>
  </mergeCells>
  <printOptions horizontalCentered="1"/>
  <pageMargins left="0.59055118110236227" right="0.59055118110236227" top="0.78740157480314965" bottom="0.74803149606299213" header="0.31496062992125984" footer="0.31496062992125984"/>
  <pageSetup scale="51" fitToHeight="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C000"/>
    <pageSetUpPr fitToPage="1"/>
  </sheetPr>
  <dimension ref="A1:G44"/>
  <sheetViews>
    <sheetView view="pageBreakPreview" zoomScale="96" zoomScaleNormal="100" zoomScaleSheetLayoutView="96" workbookViewId="0">
      <selection activeCell="C6" sqref="C6:F8"/>
    </sheetView>
  </sheetViews>
  <sheetFormatPr defaultColWidth="11.5546875" defaultRowHeight="14.4" x14ac:dyDescent="0.3"/>
  <cols>
    <col min="1" max="1" width="2.88671875" customWidth="1"/>
    <col min="2" max="2" width="5.5546875" customWidth="1"/>
    <col min="3" max="3" width="39.6640625" customWidth="1"/>
    <col min="4" max="4" width="24.6640625" customWidth="1"/>
    <col min="5" max="5" width="20.44140625" customWidth="1"/>
    <col min="6" max="6" width="86.88671875" bestFit="1" customWidth="1"/>
    <col min="7" max="7" width="4.6640625" customWidth="1"/>
    <col min="8" max="8" width="24.5546875" customWidth="1"/>
    <col min="10" max="10" width="20" customWidth="1"/>
  </cols>
  <sheetData>
    <row r="1" spans="1:7" x14ac:dyDescent="0.3">
      <c r="A1" s="53"/>
      <c r="B1" s="53"/>
      <c r="C1" s="53"/>
      <c r="D1" s="53"/>
      <c r="E1" s="53"/>
      <c r="F1" s="53"/>
      <c r="G1" s="53"/>
    </row>
    <row r="2" spans="1:7" x14ac:dyDescent="0.3">
      <c r="A2" s="53"/>
      <c r="B2" s="53"/>
      <c r="C2" s="53"/>
      <c r="D2" s="53"/>
      <c r="E2" s="53"/>
      <c r="F2" s="53"/>
      <c r="G2" s="53"/>
    </row>
    <row r="3" spans="1:7" ht="15" thickBot="1" x14ac:dyDescent="0.35">
      <c r="A3" s="53"/>
      <c r="B3" s="53"/>
      <c r="C3" s="53"/>
      <c r="D3" s="53"/>
      <c r="E3" s="53"/>
      <c r="F3" s="53"/>
      <c r="G3" s="53"/>
    </row>
    <row r="4" spans="1:7" ht="33" customHeight="1" x14ac:dyDescent="0.3">
      <c r="A4" s="53"/>
      <c r="B4" s="54"/>
      <c r="C4" s="197" t="s">
        <v>169</v>
      </c>
      <c r="D4" s="197"/>
      <c r="E4" s="197"/>
      <c r="F4" s="198"/>
      <c r="G4" s="53"/>
    </row>
    <row r="5" spans="1:7" ht="17.399999999999999" x14ac:dyDescent="0.3">
      <c r="A5" s="53"/>
      <c r="B5" s="55"/>
      <c r="C5" s="199" t="s">
        <v>96</v>
      </c>
      <c r="D5" s="199"/>
      <c r="E5" s="199"/>
      <c r="F5" s="200"/>
      <c r="G5" s="53"/>
    </row>
    <row r="6" spans="1:7" x14ac:dyDescent="0.3">
      <c r="A6" s="53"/>
      <c r="B6" s="55"/>
      <c r="C6" s="203" t="s">
        <v>205</v>
      </c>
      <c r="D6" s="203"/>
      <c r="E6" s="203"/>
      <c r="F6" s="204"/>
      <c r="G6" s="53"/>
    </row>
    <row r="7" spans="1:7" x14ac:dyDescent="0.3">
      <c r="A7" s="53"/>
      <c r="B7" s="55"/>
      <c r="C7" s="203" t="s">
        <v>206</v>
      </c>
      <c r="D7" s="203"/>
      <c r="E7" s="203"/>
      <c r="F7" s="204"/>
      <c r="G7" s="53"/>
    </row>
    <row r="8" spans="1:7" x14ac:dyDescent="0.3">
      <c r="A8" s="53"/>
      <c r="B8" s="55"/>
      <c r="C8" s="203" t="s">
        <v>207</v>
      </c>
      <c r="D8" s="203"/>
      <c r="E8" s="203"/>
      <c r="F8" s="204"/>
      <c r="G8" s="53"/>
    </row>
    <row r="9" spans="1:7" ht="16.2" thickBot="1" x14ac:dyDescent="0.35">
      <c r="A9" s="53"/>
      <c r="B9" s="55"/>
      <c r="C9" s="3"/>
      <c r="D9" s="56"/>
      <c r="E9" s="56"/>
      <c r="F9" s="45"/>
      <c r="G9" s="53"/>
    </row>
    <row r="10" spans="1:7" ht="23.25" customHeight="1" x14ac:dyDescent="0.3">
      <c r="A10" s="53"/>
      <c r="B10" s="55"/>
      <c r="C10" s="57"/>
      <c r="D10" s="15" t="s">
        <v>93</v>
      </c>
      <c r="E10" s="201" t="s">
        <v>15</v>
      </c>
      <c r="F10" s="38" t="s">
        <v>10</v>
      </c>
      <c r="G10" s="53"/>
    </row>
    <row r="11" spans="1:7" ht="16.2" thickBot="1" x14ac:dyDescent="0.35">
      <c r="A11" s="53"/>
      <c r="B11" s="55"/>
      <c r="C11" s="56"/>
      <c r="D11" s="17" t="s">
        <v>0</v>
      </c>
      <c r="E11" s="202"/>
      <c r="F11" s="32"/>
      <c r="G11" s="53"/>
    </row>
    <row r="12" spans="1:7" x14ac:dyDescent="0.3">
      <c r="A12" s="53"/>
      <c r="B12" s="65" t="s">
        <v>1</v>
      </c>
      <c r="C12" s="66" t="s">
        <v>2</v>
      </c>
      <c r="D12" s="58"/>
      <c r="E12" s="78"/>
      <c r="F12" s="36"/>
      <c r="G12" s="53"/>
    </row>
    <row r="13" spans="1:7" ht="33.75" customHeight="1" x14ac:dyDescent="0.3">
      <c r="A13" s="53"/>
      <c r="B13" s="67"/>
      <c r="C13" s="68" t="s">
        <v>18</v>
      </c>
      <c r="D13" s="21">
        <v>3000</v>
      </c>
      <c r="E13" s="79">
        <f>+D13*100/D27</f>
        <v>14.274838218500191</v>
      </c>
      <c r="F13" s="34" t="s">
        <v>24</v>
      </c>
      <c r="G13" s="53"/>
    </row>
    <row r="14" spans="1:7" ht="29.25" customHeight="1" x14ac:dyDescent="0.3">
      <c r="A14" s="53"/>
      <c r="B14" s="67"/>
      <c r="C14" s="68" t="s">
        <v>56</v>
      </c>
      <c r="D14" s="21">
        <f>3700+1400</f>
        <v>5100</v>
      </c>
      <c r="E14" s="79">
        <f t="shared" ref="E14:E27" si="0">+D14*100/$D$27</f>
        <v>24.267224971450325</v>
      </c>
      <c r="F14" s="192" t="s">
        <v>201</v>
      </c>
      <c r="G14" s="53"/>
    </row>
    <row r="15" spans="1:7" ht="57.75" customHeight="1" x14ac:dyDescent="0.3">
      <c r="A15" s="53"/>
      <c r="B15" s="67"/>
      <c r="C15" s="68" t="s">
        <v>56</v>
      </c>
      <c r="D15" s="21">
        <v>4943</v>
      </c>
      <c r="E15" s="79">
        <f t="shared" si="0"/>
        <v>23.520175104682146</v>
      </c>
      <c r="F15" s="193" t="s">
        <v>204</v>
      </c>
      <c r="G15" s="53"/>
    </row>
    <row r="16" spans="1:7" ht="57.75" customHeight="1" x14ac:dyDescent="0.3">
      <c r="A16" s="53"/>
      <c r="B16" s="67"/>
      <c r="C16" s="68" t="s">
        <v>92</v>
      </c>
      <c r="D16" s="21">
        <v>1800</v>
      </c>
      <c r="E16" s="79">
        <f t="shared" si="0"/>
        <v>8.5649029311001144</v>
      </c>
      <c r="F16" s="35"/>
      <c r="G16" s="53"/>
    </row>
    <row r="17" spans="1:7" x14ac:dyDescent="0.3">
      <c r="A17" s="53"/>
      <c r="B17" s="65" t="s">
        <v>3</v>
      </c>
      <c r="C17" s="66" t="s">
        <v>4</v>
      </c>
      <c r="D17" s="25"/>
      <c r="E17" s="79">
        <f t="shared" si="0"/>
        <v>0</v>
      </c>
      <c r="F17" s="36"/>
      <c r="G17" s="53"/>
    </row>
    <row r="18" spans="1:7" ht="32.25" customHeight="1" x14ac:dyDescent="0.3">
      <c r="A18" s="53"/>
      <c r="B18" s="67"/>
      <c r="C18" s="68" t="s">
        <v>66</v>
      </c>
      <c r="D18" s="21">
        <v>1364</v>
      </c>
      <c r="E18" s="79">
        <f t="shared" si="0"/>
        <v>6.4902931100114198</v>
      </c>
      <c r="F18" s="34" t="s">
        <v>17</v>
      </c>
      <c r="G18" s="53"/>
    </row>
    <row r="19" spans="1:7" ht="32.25" customHeight="1" x14ac:dyDescent="0.3">
      <c r="A19" s="53"/>
      <c r="B19" s="67"/>
      <c r="C19" s="68" t="s">
        <v>19</v>
      </c>
      <c r="D19" s="21">
        <v>1364</v>
      </c>
      <c r="E19" s="79">
        <f t="shared" si="0"/>
        <v>6.4902931100114198</v>
      </c>
      <c r="F19" s="34" t="s">
        <v>26</v>
      </c>
      <c r="G19" s="53"/>
    </row>
    <row r="20" spans="1:7" ht="29.25" customHeight="1" x14ac:dyDescent="0.3">
      <c r="A20" s="53"/>
      <c r="B20" s="67"/>
      <c r="C20" s="68" t="s">
        <v>14</v>
      </c>
      <c r="D20" s="21">
        <v>1300</v>
      </c>
      <c r="E20" s="79">
        <f t="shared" si="0"/>
        <v>6.1857632280167492</v>
      </c>
      <c r="F20" s="34" t="s">
        <v>82</v>
      </c>
      <c r="G20" s="53"/>
    </row>
    <row r="21" spans="1:7" ht="37.5" customHeight="1" x14ac:dyDescent="0.3">
      <c r="A21" s="53"/>
      <c r="B21" s="67"/>
      <c r="C21" s="68" t="s">
        <v>65</v>
      </c>
      <c r="D21" s="21">
        <v>225</v>
      </c>
      <c r="E21" s="79">
        <f t="shared" si="0"/>
        <v>1.0706128663875143</v>
      </c>
      <c r="F21" s="35" t="s">
        <v>20</v>
      </c>
      <c r="G21" s="53"/>
    </row>
    <row r="22" spans="1:7" ht="30" customHeight="1" x14ac:dyDescent="0.3">
      <c r="A22" s="53"/>
      <c r="B22" s="67"/>
      <c r="C22" s="68" t="s">
        <v>64</v>
      </c>
      <c r="D22" s="21">
        <v>200</v>
      </c>
      <c r="E22" s="79">
        <f t="shared" si="0"/>
        <v>0.95165588123334599</v>
      </c>
      <c r="F22" s="34" t="s">
        <v>21</v>
      </c>
      <c r="G22" s="53"/>
    </row>
    <row r="23" spans="1:7" ht="25.5" customHeight="1" x14ac:dyDescent="0.3">
      <c r="A23" s="53"/>
      <c r="B23" s="67"/>
      <c r="C23" s="68" t="s">
        <v>62</v>
      </c>
      <c r="D23" s="26">
        <v>520</v>
      </c>
      <c r="E23" s="79">
        <f t="shared" si="0"/>
        <v>2.4743052912066998</v>
      </c>
      <c r="F23" s="34" t="s">
        <v>11</v>
      </c>
      <c r="G23" s="53"/>
    </row>
    <row r="24" spans="1:7" ht="25.5" customHeight="1" x14ac:dyDescent="0.3">
      <c r="A24" s="53"/>
      <c r="B24" s="65" t="s">
        <v>5</v>
      </c>
      <c r="C24" s="66" t="s">
        <v>6</v>
      </c>
      <c r="D24" s="28"/>
      <c r="E24" s="79">
        <f t="shared" si="0"/>
        <v>0</v>
      </c>
      <c r="F24" s="36"/>
      <c r="G24" s="53"/>
    </row>
    <row r="25" spans="1:7" ht="57" customHeight="1" x14ac:dyDescent="0.3">
      <c r="A25" s="53"/>
      <c r="B25" s="67"/>
      <c r="C25" s="68" t="s">
        <v>7</v>
      </c>
      <c r="D25" s="21">
        <v>1000</v>
      </c>
      <c r="E25" s="79">
        <f t="shared" si="0"/>
        <v>4.7582794061667304</v>
      </c>
      <c r="F25" s="35" t="s">
        <v>22</v>
      </c>
      <c r="G25" s="53"/>
    </row>
    <row r="26" spans="1:7" ht="34.5" customHeight="1" thickBot="1" x14ac:dyDescent="0.35">
      <c r="A26" s="53"/>
      <c r="B26" s="67"/>
      <c r="C26" s="68" t="s">
        <v>63</v>
      </c>
      <c r="D26" s="80">
        <v>200</v>
      </c>
      <c r="E26" s="79">
        <f t="shared" si="0"/>
        <v>0.95165588123334599</v>
      </c>
      <c r="F26" s="36" t="s">
        <v>23</v>
      </c>
      <c r="G26" s="53"/>
    </row>
    <row r="27" spans="1:7" ht="16.2" thickBot="1" x14ac:dyDescent="0.35">
      <c r="A27" s="53"/>
      <c r="B27" s="67"/>
      <c r="C27" s="6" t="s">
        <v>8</v>
      </c>
      <c r="D27" s="30">
        <f>SUM(D12:D26)</f>
        <v>21016</v>
      </c>
      <c r="E27" s="31">
        <f t="shared" si="0"/>
        <v>100</v>
      </c>
      <c r="F27" s="49"/>
      <c r="G27" s="53"/>
    </row>
    <row r="28" spans="1:7" x14ac:dyDescent="0.3">
      <c r="A28" s="53"/>
      <c r="B28" s="55"/>
      <c r="C28" s="56"/>
      <c r="D28" s="59"/>
      <c r="E28" s="59"/>
      <c r="F28" s="45"/>
      <c r="G28" s="53"/>
    </row>
    <row r="29" spans="1:7" ht="21.75" customHeight="1" x14ac:dyDescent="0.3">
      <c r="A29" s="53"/>
      <c r="B29" s="55"/>
      <c r="C29" s="69"/>
      <c r="D29" s="59"/>
      <c r="E29" s="59"/>
      <c r="F29" s="45"/>
      <c r="G29" s="53"/>
    </row>
    <row r="30" spans="1:7" ht="35.25" customHeight="1" x14ac:dyDescent="0.3">
      <c r="A30" s="53"/>
      <c r="B30" s="55"/>
      <c r="C30" s="171" t="s">
        <v>9</v>
      </c>
      <c r="D30" s="60"/>
      <c r="E30" s="60"/>
      <c r="F30" s="61"/>
      <c r="G30" s="53"/>
    </row>
    <row r="31" spans="1:7" ht="26.25" customHeight="1" x14ac:dyDescent="0.3">
      <c r="A31" s="53"/>
      <c r="B31" s="55"/>
      <c r="C31" s="171" t="s">
        <v>51</v>
      </c>
      <c r="D31" s="60"/>
      <c r="E31" s="60"/>
      <c r="F31" s="61"/>
      <c r="G31" s="53"/>
    </row>
    <row r="32" spans="1:7" ht="22.5" customHeight="1" x14ac:dyDescent="0.3">
      <c r="A32" s="53"/>
      <c r="B32" s="55"/>
      <c r="C32" s="171" t="s">
        <v>27</v>
      </c>
      <c r="D32" s="62"/>
      <c r="E32" s="62"/>
      <c r="F32" s="61"/>
      <c r="G32" s="53"/>
    </row>
    <row r="33" spans="1:7" ht="22.5" customHeight="1" x14ac:dyDescent="0.3">
      <c r="A33" s="53"/>
      <c r="B33" s="55"/>
      <c r="C33" s="171" t="s">
        <v>83</v>
      </c>
      <c r="D33" s="62"/>
      <c r="E33" s="62"/>
      <c r="F33" s="61"/>
      <c r="G33" s="53"/>
    </row>
    <row r="34" spans="1:7" ht="21.75" customHeight="1" thickBot="1" x14ac:dyDescent="0.35">
      <c r="A34" s="53"/>
      <c r="B34" s="63"/>
      <c r="C34" s="174" t="s">
        <v>116</v>
      </c>
      <c r="D34" s="95"/>
      <c r="E34" s="95"/>
      <c r="F34" s="64"/>
      <c r="G34" s="53"/>
    </row>
    <row r="35" spans="1:7" ht="15" customHeight="1" x14ac:dyDescent="0.3">
      <c r="A35" s="53"/>
      <c r="B35" s="53"/>
      <c r="C35" s="53"/>
      <c r="D35" s="53"/>
      <c r="E35" s="53"/>
      <c r="F35" s="53"/>
      <c r="G35" s="53"/>
    </row>
    <row r="36" spans="1:7" x14ac:dyDescent="0.3">
      <c r="A36" s="53"/>
      <c r="B36" s="53"/>
      <c r="C36" s="53"/>
      <c r="D36" s="53"/>
      <c r="E36" s="53"/>
      <c r="F36" s="53"/>
      <c r="G36" s="53"/>
    </row>
    <row r="37" spans="1:7" x14ac:dyDescent="0.3">
      <c r="A37" s="53"/>
      <c r="B37" s="53"/>
      <c r="C37" s="53"/>
      <c r="D37" s="53"/>
      <c r="E37" s="53"/>
      <c r="F37" s="53"/>
      <c r="G37" s="53"/>
    </row>
    <row r="38" spans="1:7" x14ac:dyDescent="0.3">
      <c r="A38" s="53"/>
      <c r="B38" s="53"/>
      <c r="C38" s="53"/>
      <c r="D38" s="53"/>
      <c r="E38" s="53"/>
      <c r="F38" s="53"/>
      <c r="G38" s="53"/>
    </row>
    <row r="39" spans="1:7" x14ac:dyDescent="0.3">
      <c r="A39" s="53"/>
      <c r="B39" s="53"/>
      <c r="C39" s="53"/>
      <c r="D39" s="53"/>
      <c r="E39" s="53"/>
      <c r="F39" s="53"/>
      <c r="G39" s="53"/>
    </row>
    <row r="40" spans="1:7" x14ac:dyDescent="0.3">
      <c r="A40" s="53"/>
      <c r="B40" s="53"/>
      <c r="C40" s="53"/>
      <c r="D40" s="53"/>
      <c r="E40" s="53"/>
      <c r="F40" s="53"/>
      <c r="G40" s="53"/>
    </row>
    <row r="41" spans="1:7" x14ac:dyDescent="0.3">
      <c r="A41" s="53"/>
      <c r="B41" s="53"/>
      <c r="C41" s="53"/>
      <c r="D41" s="53"/>
      <c r="E41" s="53"/>
      <c r="F41" s="53"/>
      <c r="G41" s="53"/>
    </row>
    <row r="42" spans="1:7" x14ac:dyDescent="0.3">
      <c r="A42" s="53"/>
      <c r="B42" s="53"/>
      <c r="C42" s="53"/>
      <c r="D42" s="53"/>
      <c r="E42" s="53"/>
      <c r="F42" s="53"/>
      <c r="G42" s="53"/>
    </row>
    <row r="43" spans="1:7" x14ac:dyDescent="0.3">
      <c r="A43" s="53"/>
      <c r="B43" s="53"/>
      <c r="C43" s="53"/>
      <c r="D43" s="53"/>
      <c r="E43" s="53"/>
      <c r="F43" s="53"/>
      <c r="G43" s="53"/>
    </row>
    <row r="44" spans="1:7" x14ac:dyDescent="0.3">
      <c r="A44" s="53"/>
      <c r="B44" s="53"/>
      <c r="C44" s="53"/>
      <c r="D44" s="53"/>
      <c r="E44" s="53"/>
      <c r="F44" s="53"/>
      <c r="G44" s="53"/>
    </row>
  </sheetData>
  <mergeCells count="6">
    <mergeCell ref="C4:F4"/>
    <mergeCell ref="C5:F5"/>
    <mergeCell ref="E10:E11"/>
    <mergeCell ref="C6:F6"/>
    <mergeCell ref="C7:F7"/>
    <mergeCell ref="C8:F8"/>
  </mergeCells>
  <pageMargins left="0.70866141732283472" right="0.70866141732283472" top="0.74803149606299213" bottom="0.74803149606299213" header="0.31496062992125984" footer="0.31496062992125984"/>
  <pageSetup paperSize="9" scale="47"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C000"/>
  </sheetPr>
  <dimension ref="B3:F39"/>
  <sheetViews>
    <sheetView view="pageBreakPreview" zoomScale="90" zoomScaleNormal="70" zoomScaleSheetLayoutView="90" workbookViewId="0">
      <selection activeCell="C7" sqref="C7:F9"/>
    </sheetView>
  </sheetViews>
  <sheetFormatPr defaultColWidth="11.5546875" defaultRowHeight="14.4" x14ac:dyDescent="0.3"/>
  <cols>
    <col min="1" max="1" width="7" customWidth="1"/>
    <col min="2" max="2" width="5.5546875" customWidth="1"/>
    <col min="3" max="3" width="43" customWidth="1"/>
    <col min="4" max="4" width="26.44140625" customWidth="1"/>
    <col min="5" max="5" width="14" customWidth="1"/>
    <col min="6" max="6" width="87.6640625" customWidth="1"/>
    <col min="7" max="7" width="8" customWidth="1"/>
    <col min="8" max="8" width="24.5546875" customWidth="1"/>
    <col min="10" max="10" width="20" customWidth="1"/>
  </cols>
  <sheetData>
    <row r="3" spans="2:6" ht="15" thickBot="1" x14ac:dyDescent="0.35"/>
    <row r="4" spans="2:6" ht="33" customHeight="1" x14ac:dyDescent="0.3">
      <c r="B4" s="1"/>
      <c r="C4" s="197" t="s">
        <v>169</v>
      </c>
      <c r="D4" s="197"/>
      <c r="E4" s="197"/>
      <c r="F4" s="198"/>
    </row>
    <row r="5" spans="2:6" ht="17.399999999999999" x14ac:dyDescent="0.3">
      <c r="B5" s="2"/>
      <c r="C5" s="199" t="s">
        <v>100</v>
      </c>
      <c r="D5" s="199"/>
      <c r="E5" s="199"/>
      <c r="F5" s="200"/>
    </row>
    <row r="6" spans="2:6" ht="15.6" x14ac:dyDescent="0.3">
      <c r="B6" s="2"/>
      <c r="C6" s="3"/>
      <c r="D6" s="8"/>
      <c r="E6" s="8"/>
      <c r="F6" s="9"/>
    </row>
    <row r="7" spans="2:6" x14ac:dyDescent="0.3">
      <c r="B7" s="2"/>
      <c r="C7" s="203" t="s">
        <v>205</v>
      </c>
      <c r="D7" s="203"/>
      <c r="E7" s="203"/>
      <c r="F7" s="204"/>
    </row>
    <row r="8" spans="2:6" x14ac:dyDescent="0.3">
      <c r="B8" s="2"/>
      <c r="C8" s="203" t="s">
        <v>206</v>
      </c>
      <c r="D8" s="203"/>
      <c r="E8" s="203"/>
      <c r="F8" s="204"/>
    </row>
    <row r="9" spans="2:6" x14ac:dyDescent="0.3">
      <c r="B9" s="2"/>
      <c r="C9" s="203" t="s">
        <v>207</v>
      </c>
      <c r="D9" s="203"/>
      <c r="E9" s="203"/>
      <c r="F9" s="204"/>
    </row>
    <row r="10" spans="2:6" ht="16.2" thickBot="1" x14ac:dyDescent="0.35">
      <c r="B10" s="2"/>
      <c r="C10" s="3"/>
      <c r="D10" s="8"/>
      <c r="E10" s="8"/>
      <c r="F10" s="9"/>
    </row>
    <row r="11" spans="2:6" ht="15.6" x14ac:dyDescent="0.3">
      <c r="B11" s="2"/>
      <c r="C11" s="4"/>
      <c r="D11" s="15" t="s">
        <v>93</v>
      </c>
      <c r="E11" s="16"/>
      <c r="F11" s="40" t="s">
        <v>10</v>
      </c>
    </row>
    <row r="12" spans="2:6" ht="16.2" thickBot="1" x14ac:dyDescent="0.35">
      <c r="B12" s="2"/>
      <c r="C12" s="8"/>
      <c r="D12" s="17" t="s">
        <v>0</v>
      </c>
      <c r="E12" s="18" t="s">
        <v>15</v>
      </c>
      <c r="F12" s="41"/>
    </row>
    <row r="13" spans="2:6" x14ac:dyDescent="0.3">
      <c r="B13" s="5" t="s">
        <v>1</v>
      </c>
      <c r="C13" s="4" t="s">
        <v>2</v>
      </c>
      <c r="D13" s="19"/>
      <c r="E13" s="20"/>
      <c r="F13" s="9"/>
    </row>
    <row r="14" spans="2:6" ht="33.75" customHeight="1" x14ac:dyDescent="0.3">
      <c r="B14" s="2"/>
      <c r="C14" s="14" t="s">
        <v>101</v>
      </c>
      <c r="D14" s="21">
        <v>3700</v>
      </c>
      <c r="E14" s="94">
        <f>+D14*100/D31</f>
        <v>20.280640210480158</v>
      </c>
      <c r="F14" s="42" t="s">
        <v>189</v>
      </c>
    </row>
    <row r="15" spans="2:6" ht="29.25" customHeight="1" x14ac:dyDescent="0.3">
      <c r="B15" s="2"/>
      <c r="C15" s="14" t="s">
        <v>102</v>
      </c>
      <c r="D15" s="21">
        <v>3700</v>
      </c>
      <c r="E15" s="94">
        <f>+D15*100/$D$31</f>
        <v>20.280640210480158</v>
      </c>
      <c r="F15" s="42" t="s">
        <v>189</v>
      </c>
    </row>
    <row r="16" spans="2:6" ht="31.5" customHeight="1" x14ac:dyDescent="0.3">
      <c r="B16" s="2"/>
      <c r="C16" s="14" t="s">
        <v>103</v>
      </c>
      <c r="D16" s="21">
        <v>280</v>
      </c>
      <c r="E16" s="94">
        <f t="shared" ref="E16:E18" si="0">+D16*100/$D$31</f>
        <v>1.5347511510633634</v>
      </c>
      <c r="F16" s="42" t="s">
        <v>190</v>
      </c>
    </row>
    <row r="17" spans="2:6" ht="27" customHeight="1" x14ac:dyDescent="0.3">
      <c r="B17" s="2"/>
      <c r="C17" s="8" t="s">
        <v>92</v>
      </c>
      <c r="D17" s="24">
        <v>2000</v>
      </c>
      <c r="E17" s="94">
        <f t="shared" si="0"/>
        <v>10.962508221881166</v>
      </c>
      <c r="F17" s="42" t="s">
        <v>191</v>
      </c>
    </row>
    <row r="18" spans="2:6" ht="27" customHeight="1" x14ac:dyDescent="0.3">
      <c r="B18" s="2"/>
      <c r="C18" s="8"/>
      <c r="D18" s="24"/>
      <c r="E18" s="94">
        <f t="shared" si="0"/>
        <v>0</v>
      </c>
      <c r="F18" s="42"/>
    </row>
    <row r="19" spans="2:6" ht="14.25" customHeight="1" x14ac:dyDescent="0.3">
      <c r="B19" s="5" t="s">
        <v>3</v>
      </c>
      <c r="C19" s="4" t="s">
        <v>4</v>
      </c>
      <c r="D19" s="46"/>
      <c r="E19" s="94"/>
      <c r="F19" s="43"/>
    </row>
    <row r="20" spans="2:6" ht="32.25" customHeight="1" x14ac:dyDescent="0.3">
      <c r="B20" s="2"/>
      <c r="C20" s="14" t="s">
        <v>66</v>
      </c>
      <c r="D20" s="21">
        <v>1364</v>
      </c>
      <c r="E20" s="94">
        <f t="shared" ref="E20:E26" si="1">+D20*100/$D$31</f>
        <v>7.4764306073229552</v>
      </c>
      <c r="F20" s="42" t="s">
        <v>47</v>
      </c>
    </row>
    <row r="21" spans="2:6" ht="32.25" customHeight="1" x14ac:dyDescent="0.3">
      <c r="B21" s="2"/>
      <c r="C21" s="81" t="s">
        <v>19</v>
      </c>
      <c r="D21" s="21">
        <v>3800</v>
      </c>
      <c r="E21" s="94">
        <f t="shared" si="1"/>
        <v>20.828765621574217</v>
      </c>
      <c r="F21" s="42" t="s">
        <v>104</v>
      </c>
    </row>
    <row r="22" spans="2:6" ht="29.25" customHeight="1" x14ac:dyDescent="0.3">
      <c r="B22" s="2"/>
      <c r="C22" s="14" t="s">
        <v>14</v>
      </c>
      <c r="D22" s="21">
        <v>550</v>
      </c>
      <c r="E22" s="94">
        <f t="shared" si="1"/>
        <v>3.0146897610173209</v>
      </c>
      <c r="F22" s="42" t="s">
        <v>203</v>
      </c>
    </row>
    <row r="23" spans="2:6" ht="37.5" customHeight="1" x14ac:dyDescent="0.3">
      <c r="B23" s="2"/>
      <c r="C23" s="14" t="s">
        <v>105</v>
      </c>
      <c r="D23" s="21"/>
      <c r="E23" s="94">
        <f t="shared" si="1"/>
        <v>0</v>
      </c>
      <c r="F23" s="44" t="s">
        <v>49</v>
      </c>
    </row>
    <row r="24" spans="2:6" ht="30" customHeight="1" x14ac:dyDescent="0.3">
      <c r="B24" s="2"/>
      <c r="C24" s="14" t="s">
        <v>62</v>
      </c>
      <c r="D24" s="21">
        <v>700</v>
      </c>
      <c r="E24" s="94">
        <f t="shared" si="1"/>
        <v>3.836877877658408</v>
      </c>
      <c r="F24" s="42" t="s">
        <v>106</v>
      </c>
    </row>
    <row r="25" spans="2:6" ht="25.5" customHeight="1" x14ac:dyDescent="0.3">
      <c r="B25" s="2"/>
      <c r="C25" s="14" t="s">
        <v>64</v>
      </c>
      <c r="D25" s="26">
        <v>200</v>
      </c>
      <c r="E25" s="94">
        <f t="shared" si="1"/>
        <v>1.0962508221881166</v>
      </c>
      <c r="F25" s="42" t="s">
        <v>107</v>
      </c>
    </row>
    <row r="26" spans="2:6" ht="24" customHeight="1" x14ac:dyDescent="0.3">
      <c r="B26" s="2"/>
      <c r="C26" s="8" t="s">
        <v>65</v>
      </c>
      <c r="D26" s="47">
        <v>450</v>
      </c>
      <c r="E26" s="94">
        <f t="shared" si="1"/>
        <v>2.4665643499232623</v>
      </c>
      <c r="F26" s="42" t="s">
        <v>108</v>
      </c>
    </row>
    <row r="27" spans="2:6" ht="25.5" customHeight="1" x14ac:dyDescent="0.3">
      <c r="B27" s="5" t="s">
        <v>5</v>
      </c>
      <c r="C27" s="4" t="s">
        <v>6</v>
      </c>
      <c r="D27" s="28"/>
      <c r="E27" s="94"/>
      <c r="F27" s="45"/>
    </row>
    <row r="28" spans="2:6" ht="57" customHeight="1" x14ac:dyDescent="0.3">
      <c r="B28" s="2"/>
      <c r="C28" s="14" t="s">
        <v>7</v>
      </c>
      <c r="D28" s="21">
        <v>1100</v>
      </c>
      <c r="E28" s="94">
        <f>+D28*100/$D$31</f>
        <v>6.0293795220346418</v>
      </c>
      <c r="F28" s="44" t="s">
        <v>50</v>
      </c>
    </row>
    <row r="29" spans="2:6" x14ac:dyDescent="0.3">
      <c r="B29" s="2"/>
      <c r="C29" s="8" t="s">
        <v>113</v>
      </c>
      <c r="D29" s="47">
        <v>400</v>
      </c>
      <c r="E29" s="94">
        <f>+D29*100/$D$31</f>
        <v>2.1925016443762333</v>
      </c>
      <c r="F29" s="43" t="s">
        <v>109</v>
      </c>
    </row>
    <row r="30" spans="2:6" ht="15" thickBot="1" x14ac:dyDescent="0.35">
      <c r="B30" s="2"/>
      <c r="C30" s="8"/>
      <c r="D30" s="48"/>
      <c r="E30" s="23"/>
      <c r="F30" s="45"/>
    </row>
    <row r="31" spans="2:6" ht="16.2" thickBot="1" x14ac:dyDescent="0.35">
      <c r="B31" s="2"/>
      <c r="C31" s="6" t="s">
        <v>8</v>
      </c>
      <c r="D31" s="30">
        <f>SUM(D14:D29)</f>
        <v>18244</v>
      </c>
      <c r="E31" s="31">
        <f>+D31*100/$D$31</f>
        <v>100</v>
      </c>
      <c r="F31" s="49"/>
    </row>
    <row r="32" spans="2:6" x14ac:dyDescent="0.3">
      <c r="B32" s="2"/>
      <c r="C32" s="8"/>
      <c r="D32" s="13"/>
      <c r="E32" s="13"/>
      <c r="F32" s="9"/>
    </row>
    <row r="33" spans="2:6" ht="30" customHeight="1" x14ac:dyDescent="0.3">
      <c r="B33" s="2"/>
      <c r="C33" s="170" t="s">
        <v>179</v>
      </c>
      <c r="D33" s="162"/>
      <c r="E33" s="162"/>
      <c r="F33" s="163"/>
    </row>
    <row r="34" spans="2:6" ht="21.75" customHeight="1" x14ac:dyDescent="0.3">
      <c r="B34" s="2"/>
      <c r="D34" s="162"/>
      <c r="E34" s="162"/>
      <c r="F34" s="163"/>
    </row>
    <row r="35" spans="2:6" ht="35.25" customHeight="1" x14ac:dyDescent="0.3">
      <c r="B35" s="2"/>
      <c r="C35" s="164" t="s">
        <v>9</v>
      </c>
      <c r="D35" s="165"/>
      <c r="E35" s="205" t="s">
        <v>180</v>
      </c>
      <c r="F35" s="206"/>
    </row>
    <row r="36" spans="2:6" ht="26.25" customHeight="1" x14ac:dyDescent="0.3">
      <c r="B36" s="2"/>
      <c r="C36" s="164" t="s">
        <v>51</v>
      </c>
      <c r="D36" s="165"/>
      <c r="E36" s="166" t="s">
        <v>110</v>
      </c>
      <c r="F36" s="167"/>
    </row>
    <row r="37" spans="2:6" ht="34.5" customHeight="1" x14ac:dyDescent="0.3">
      <c r="B37" s="2"/>
      <c r="C37" s="164" t="s">
        <v>27</v>
      </c>
      <c r="D37" s="165"/>
      <c r="E37" s="166" t="s">
        <v>111</v>
      </c>
      <c r="F37" s="167"/>
    </row>
    <row r="38" spans="2:6" ht="32.25" customHeight="1" thickBot="1" x14ac:dyDescent="0.35">
      <c r="B38" s="7"/>
      <c r="C38" s="169" t="s">
        <v>117</v>
      </c>
      <c r="D38" s="168"/>
      <c r="E38" s="207" t="s">
        <v>112</v>
      </c>
      <c r="F38" s="208"/>
    </row>
    <row r="39" spans="2:6" ht="15" customHeight="1" x14ac:dyDescent="0.3"/>
  </sheetData>
  <mergeCells count="7">
    <mergeCell ref="C4:F4"/>
    <mergeCell ref="C5:F5"/>
    <mergeCell ref="E35:F35"/>
    <mergeCell ref="E38:F38"/>
    <mergeCell ref="C7:F7"/>
    <mergeCell ref="C8:F8"/>
    <mergeCell ref="C9:F9"/>
  </mergeCells>
  <pageMargins left="0.7" right="0.7" top="0.75" bottom="0.75" header="0.3" footer="0.3"/>
  <pageSetup scale="47"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BD294A-E832-45F5-9D68-41DF7A169CA1}">
  <sheetPr>
    <tabColor rgb="FFFFC000"/>
    <pageSetUpPr fitToPage="1"/>
  </sheetPr>
  <dimension ref="A1:G48"/>
  <sheetViews>
    <sheetView view="pageBreakPreview" topLeftCell="A3" zoomScale="98" zoomScaleNormal="100" zoomScaleSheetLayoutView="98" workbookViewId="0">
      <selection activeCell="C7" sqref="C7:F9"/>
    </sheetView>
  </sheetViews>
  <sheetFormatPr defaultColWidth="11.5546875" defaultRowHeight="14.4" x14ac:dyDescent="0.3"/>
  <cols>
    <col min="1" max="1" width="2.88671875" customWidth="1"/>
    <col min="2" max="2" width="5.5546875" customWidth="1"/>
    <col min="3" max="3" width="48.109375" customWidth="1"/>
    <col min="4" max="4" width="17.88671875" customWidth="1"/>
    <col min="5" max="5" width="14.5546875" customWidth="1"/>
    <col min="6" max="6" width="80.109375" bestFit="1" customWidth="1"/>
    <col min="7" max="7" width="4.6640625" customWidth="1"/>
    <col min="8" max="8" width="24.5546875" customWidth="1"/>
  </cols>
  <sheetData>
    <row r="1" spans="1:7" x14ac:dyDescent="0.3">
      <c r="A1" s="53"/>
      <c r="B1" s="53"/>
      <c r="C1" s="53"/>
      <c r="D1" s="53"/>
      <c r="E1" s="53"/>
      <c r="F1" s="53"/>
      <c r="G1" s="53"/>
    </row>
    <row r="2" spans="1:7" x14ac:dyDescent="0.3">
      <c r="A2" s="53"/>
      <c r="B2" s="53"/>
      <c r="C2" s="53"/>
      <c r="D2" s="53"/>
      <c r="E2" s="53"/>
      <c r="F2" s="53"/>
      <c r="G2" s="53"/>
    </row>
    <row r="3" spans="1:7" ht="15" thickBot="1" x14ac:dyDescent="0.35">
      <c r="A3" s="53"/>
      <c r="B3" s="53"/>
      <c r="C3" s="53"/>
      <c r="D3" s="53"/>
      <c r="E3" s="53"/>
      <c r="F3" s="53"/>
      <c r="G3" s="53"/>
    </row>
    <row r="4" spans="1:7" ht="17.399999999999999" x14ac:dyDescent="0.3">
      <c r="A4" s="53"/>
      <c r="B4" s="54"/>
      <c r="C4" s="197" t="s">
        <v>178</v>
      </c>
      <c r="D4" s="197"/>
      <c r="E4" s="197"/>
      <c r="F4" s="198"/>
      <c r="G4" s="53"/>
    </row>
    <row r="5" spans="1:7" ht="17.399999999999999" x14ac:dyDescent="0.3">
      <c r="A5" s="53"/>
      <c r="B5" s="55"/>
      <c r="C5" s="199" t="s">
        <v>149</v>
      </c>
      <c r="D5" s="199"/>
      <c r="E5" s="199"/>
      <c r="F5" s="200"/>
      <c r="G5" s="53"/>
    </row>
    <row r="6" spans="1:7" ht="15.6" x14ac:dyDescent="0.3">
      <c r="A6" s="53"/>
      <c r="B6" s="55"/>
      <c r="C6" s="3"/>
      <c r="D6" s="56"/>
      <c r="E6" s="56"/>
      <c r="F6" s="45"/>
      <c r="G6" s="53"/>
    </row>
    <row r="7" spans="1:7" x14ac:dyDescent="0.3">
      <c r="A7" s="53"/>
      <c r="B7" s="55"/>
      <c r="C7" s="203" t="s">
        <v>205</v>
      </c>
      <c r="D7" s="203"/>
      <c r="E7" s="203"/>
      <c r="F7" s="204"/>
      <c r="G7" s="53"/>
    </row>
    <row r="8" spans="1:7" x14ac:dyDescent="0.3">
      <c r="A8" s="53"/>
      <c r="B8" s="55"/>
      <c r="C8" s="203" t="s">
        <v>206</v>
      </c>
      <c r="D8" s="203"/>
      <c r="E8" s="203"/>
      <c r="F8" s="204"/>
      <c r="G8" s="53"/>
    </row>
    <row r="9" spans="1:7" x14ac:dyDescent="0.3">
      <c r="A9" s="53"/>
      <c r="B9" s="55"/>
      <c r="C9" s="203" t="s">
        <v>207</v>
      </c>
      <c r="D9" s="203"/>
      <c r="E9" s="203"/>
      <c r="F9" s="204"/>
      <c r="G9" s="53"/>
    </row>
    <row r="10" spans="1:7" ht="16.2" thickBot="1" x14ac:dyDescent="0.35">
      <c r="A10" s="53"/>
      <c r="B10" s="55"/>
      <c r="C10" s="3"/>
      <c r="D10" s="56"/>
      <c r="E10" s="56"/>
      <c r="F10" s="45"/>
      <c r="G10" s="53"/>
    </row>
    <row r="11" spans="1:7" ht="15.6" x14ac:dyDescent="0.3">
      <c r="A11" s="53"/>
      <c r="B11" s="55"/>
      <c r="C11" s="57"/>
      <c r="D11" s="156" t="s">
        <v>93</v>
      </c>
      <c r="E11" s="201" t="s">
        <v>15</v>
      </c>
      <c r="F11" s="188" t="s">
        <v>10</v>
      </c>
      <c r="G11" s="53"/>
    </row>
    <row r="12" spans="1:7" ht="16.2" thickBot="1" x14ac:dyDescent="0.35">
      <c r="A12" s="53"/>
      <c r="B12" s="55"/>
      <c r="C12" s="56"/>
      <c r="D12" s="157" t="s">
        <v>0</v>
      </c>
      <c r="E12" s="202"/>
      <c r="F12" s="189"/>
      <c r="G12" s="53"/>
    </row>
    <row r="13" spans="1:7" x14ac:dyDescent="0.3">
      <c r="A13" s="53"/>
      <c r="B13" s="65" t="s">
        <v>1</v>
      </c>
      <c r="C13" s="66" t="s">
        <v>2</v>
      </c>
      <c r="D13" s="58"/>
      <c r="E13" s="78"/>
      <c r="F13" s="36"/>
      <c r="G13" s="53"/>
    </row>
    <row r="14" spans="1:7" ht="33.75" customHeight="1" x14ac:dyDescent="0.3">
      <c r="A14" s="53"/>
      <c r="B14" s="67"/>
      <c r="C14" s="14" t="s">
        <v>150</v>
      </c>
      <c r="D14" s="21"/>
      <c r="E14" s="79">
        <f>+D14*100/D32</f>
        <v>0</v>
      </c>
      <c r="F14" s="34" t="s">
        <v>151</v>
      </c>
      <c r="G14" s="53"/>
    </row>
    <row r="15" spans="1:7" ht="29.25" customHeight="1" x14ac:dyDescent="0.3">
      <c r="A15" s="53"/>
      <c r="B15" s="67"/>
      <c r="C15" s="68" t="s">
        <v>152</v>
      </c>
      <c r="D15" s="21"/>
      <c r="E15" s="79">
        <f>+D15*100/$D$32</f>
        <v>0</v>
      </c>
      <c r="F15" s="34" t="s">
        <v>153</v>
      </c>
      <c r="G15" s="53"/>
    </row>
    <row r="16" spans="1:7" ht="67.5" customHeight="1" x14ac:dyDescent="0.3">
      <c r="A16" s="53"/>
      <c r="B16" s="67"/>
      <c r="C16" s="68" t="s">
        <v>56</v>
      </c>
      <c r="D16" s="21">
        <f>36000</f>
        <v>36000</v>
      </c>
      <c r="E16" s="79">
        <f>+D16*100/$D$32</f>
        <v>87.518840861574361</v>
      </c>
      <c r="F16" s="34" t="s">
        <v>154</v>
      </c>
      <c r="G16" s="53"/>
    </row>
    <row r="17" spans="1:7" ht="0.75" customHeight="1" x14ac:dyDescent="0.3">
      <c r="A17" s="53"/>
      <c r="B17" s="67"/>
      <c r="C17" s="68"/>
      <c r="D17" s="21"/>
      <c r="E17" s="79"/>
      <c r="F17" s="35"/>
      <c r="G17" s="53"/>
    </row>
    <row r="18" spans="1:7" hidden="1" x14ac:dyDescent="0.3">
      <c r="A18" s="53"/>
      <c r="B18" s="67"/>
      <c r="C18" s="69"/>
      <c r="D18" s="24"/>
      <c r="E18" s="79"/>
      <c r="F18" s="36"/>
      <c r="G18" s="53"/>
    </row>
    <row r="19" spans="1:7" x14ac:dyDescent="0.3">
      <c r="A19" s="53"/>
      <c r="B19" s="65" t="s">
        <v>3</v>
      </c>
      <c r="C19" s="66" t="s">
        <v>4</v>
      </c>
      <c r="D19" s="25"/>
      <c r="E19" s="79"/>
      <c r="F19" s="36"/>
      <c r="G19" s="53"/>
    </row>
    <row r="20" spans="1:7" ht="32.25" customHeight="1" x14ac:dyDescent="0.3">
      <c r="A20" s="53"/>
      <c r="B20" s="67"/>
      <c r="C20" s="14" t="s">
        <v>35</v>
      </c>
      <c r="D20" s="21">
        <v>1364</v>
      </c>
      <c r="E20" s="79">
        <f t="shared" ref="E20:E30" si="0">+D20*100/$D$32</f>
        <v>3.3159916370885401</v>
      </c>
      <c r="F20" s="34" t="s">
        <v>155</v>
      </c>
      <c r="G20" s="53"/>
    </row>
    <row r="21" spans="1:7" ht="27.6" x14ac:dyDescent="0.3">
      <c r="A21" s="53"/>
      <c r="B21" s="67"/>
      <c r="C21" s="68" t="s">
        <v>19</v>
      </c>
      <c r="D21" s="21"/>
      <c r="E21" s="79">
        <f t="shared" si="0"/>
        <v>0</v>
      </c>
      <c r="F21" s="35" t="s">
        <v>156</v>
      </c>
      <c r="G21" s="53"/>
    </row>
    <row r="22" spans="1:7" x14ac:dyDescent="0.3">
      <c r="A22" s="53"/>
      <c r="B22" s="67"/>
      <c r="C22" s="158" t="s">
        <v>14</v>
      </c>
      <c r="D22" s="21">
        <v>200</v>
      </c>
      <c r="E22" s="79">
        <f t="shared" si="0"/>
        <v>0.48621578256430203</v>
      </c>
      <c r="F22" s="35" t="s">
        <v>157</v>
      </c>
      <c r="G22" s="53"/>
    </row>
    <row r="23" spans="1:7" x14ac:dyDescent="0.3">
      <c r="A23" s="53"/>
      <c r="B23" s="67"/>
      <c r="C23" s="68" t="s">
        <v>158</v>
      </c>
      <c r="D23" s="21">
        <f>225*3</f>
        <v>675</v>
      </c>
      <c r="E23" s="79">
        <f t="shared" si="0"/>
        <v>1.6409782661545194</v>
      </c>
      <c r="F23" s="35" t="s">
        <v>159</v>
      </c>
      <c r="G23" s="53"/>
    </row>
    <row r="24" spans="1:7" ht="30" customHeight="1" x14ac:dyDescent="0.3">
      <c r="A24" s="53"/>
      <c r="B24" s="67"/>
      <c r="C24" s="68" t="s">
        <v>160</v>
      </c>
      <c r="D24" s="21">
        <v>200</v>
      </c>
      <c r="E24" s="79">
        <f t="shared" si="0"/>
        <v>0.48621578256430203</v>
      </c>
      <c r="F24" s="34" t="s">
        <v>21</v>
      </c>
      <c r="G24" s="53"/>
    </row>
    <row r="25" spans="1:7" ht="25.5" customHeight="1" x14ac:dyDescent="0.3">
      <c r="A25" s="53"/>
      <c r="B25" s="67"/>
      <c r="C25" s="68" t="s">
        <v>62</v>
      </c>
      <c r="D25" s="26">
        <v>670</v>
      </c>
      <c r="E25" s="79">
        <f t="shared" si="0"/>
        <v>1.6288228715904118</v>
      </c>
      <c r="F25" s="34" t="s">
        <v>107</v>
      </c>
      <c r="G25" s="53"/>
    </row>
    <row r="26" spans="1:7" x14ac:dyDescent="0.3">
      <c r="A26" s="53"/>
      <c r="B26" s="67"/>
      <c r="C26" s="68" t="s">
        <v>161</v>
      </c>
      <c r="D26" s="27">
        <v>200</v>
      </c>
      <c r="E26" s="79">
        <f t="shared" si="0"/>
        <v>0.48621578256430203</v>
      </c>
      <c r="F26" s="35" t="s">
        <v>194</v>
      </c>
      <c r="G26" s="53"/>
    </row>
    <row r="27" spans="1:7" x14ac:dyDescent="0.3">
      <c r="A27" s="53"/>
      <c r="B27" s="67"/>
      <c r="C27" s="68" t="s">
        <v>162</v>
      </c>
      <c r="D27" s="27"/>
      <c r="E27" s="79">
        <f t="shared" si="0"/>
        <v>0</v>
      </c>
      <c r="F27" s="35" t="s">
        <v>163</v>
      </c>
      <c r="G27" s="53"/>
    </row>
    <row r="28" spans="1:7" ht="25.5" customHeight="1" x14ac:dyDescent="0.3">
      <c r="A28" s="53"/>
      <c r="B28" s="65" t="s">
        <v>5</v>
      </c>
      <c r="C28" s="66" t="s">
        <v>6</v>
      </c>
      <c r="D28" s="28"/>
      <c r="E28" s="79"/>
      <c r="F28" s="159"/>
      <c r="G28" s="53"/>
    </row>
    <row r="29" spans="1:7" x14ac:dyDescent="0.3">
      <c r="A29" s="53"/>
      <c r="B29" s="67"/>
      <c r="C29" s="68" t="s">
        <v>7</v>
      </c>
      <c r="D29" s="21">
        <v>1400</v>
      </c>
      <c r="E29" s="79">
        <f t="shared" si="0"/>
        <v>3.4035104779501144</v>
      </c>
      <c r="F29" s="35" t="s">
        <v>22</v>
      </c>
      <c r="G29" s="53"/>
    </row>
    <row r="30" spans="1:7" x14ac:dyDescent="0.3">
      <c r="A30" s="53"/>
      <c r="B30" s="67"/>
      <c r="C30" s="8" t="s">
        <v>164</v>
      </c>
      <c r="D30" s="27">
        <v>425</v>
      </c>
      <c r="E30" s="79">
        <f t="shared" si="0"/>
        <v>1.0332085379491418</v>
      </c>
      <c r="F30" s="36" t="s">
        <v>23</v>
      </c>
      <c r="G30" s="53"/>
    </row>
    <row r="31" spans="1:7" ht="15" thickBot="1" x14ac:dyDescent="0.35">
      <c r="A31" s="53"/>
      <c r="B31" s="67"/>
      <c r="C31" s="69"/>
      <c r="D31" s="29"/>
      <c r="E31" s="79"/>
      <c r="F31" s="37"/>
      <c r="G31" s="53"/>
    </row>
    <row r="32" spans="1:7" ht="16.2" thickBot="1" x14ac:dyDescent="0.35">
      <c r="A32" s="53"/>
      <c r="B32" s="67"/>
      <c r="C32" s="6" t="s">
        <v>8</v>
      </c>
      <c r="D32" s="30">
        <f>SUM(D14:D30)</f>
        <v>41134</v>
      </c>
      <c r="E32" s="160">
        <f>+D32*100/$D$32</f>
        <v>100</v>
      </c>
      <c r="F32" s="49"/>
      <c r="G32" s="53"/>
    </row>
    <row r="33" spans="1:7" x14ac:dyDescent="0.3">
      <c r="A33" s="53"/>
      <c r="B33" s="55"/>
      <c r="C33" s="56"/>
      <c r="D33" s="59"/>
      <c r="E33" s="59"/>
      <c r="F33" s="45"/>
      <c r="G33" s="53"/>
    </row>
    <row r="34" spans="1:7" ht="21.75" customHeight="1" x14ac:dyDescent="0.3">
      <c r="A34" s="53"/>
      <c r="B34" s="55"/>
      <c r="C34" s="69"/>
      <c r="D34" s="59"/>
      <c r="E34" s="59"/>
      <c r="F34" s="45"/>
      <c r="G34" s="53"/>
    </row>
    <row r="35" spans="1:7" ht="35.25" customHeight="1" x14ac:dyDescent="0.3">
      <c r="A35" s="53"/>
      <c r="B35" s="55"/>
      <c r="C35" s="171" t="s">
        <v>9</v>
      </c>
      <c r="D35" s="209" t="s">
        <v>165</v>
      </c>
      <c r="E35" s="209"/>
      <c r="F35" s="210"/>
      <c r="G35" s="53"/>
    </row>
    <row r="36" spans="1:7" ht="26.25" customHeight="1" x14ac:dyDescent="0.3">
      <c r="A36" s="53"/>
      <c r="B36" s="55"/>
      <c r="C36" s="171" t="s">
        <v>166</v>
      </c>
      <c r="D36" s="209"/>
      <c r="E36" s="209"/>
      <c r="F36" s="210"/>
      <c r="G36" s="53"/>
    </row>
    <row r="37" spans="1:7" ht="51" customHeight="1" x14ac:dyDescent="0.3">
      <c r="A37" s="53"/>
      <c r="B37" s="55"/>
      <c r="C37" s="171" t="s">
        <v>27</v>
      </c>
      <c r="D37" s="209"/>
      <c r="E37" s="209"/>
      <c r="F37" s="210"/>
      <c r="G37" s="53"/>
    </row>
    <row r="38" spans="1:7" ht="15" thickBot="1" x14ac:dyDescent="0.35">
      <c r="A38" s="53"/>
      <c r="B38" s="63"/>
      <c r="C38" s="211" t="s">
        <v>167</v>
      </c>
      <c r="D38" s="211"/>
      <c r="E38" s="176"/>
      <c r="F38" s="177"/>
      <c r="G38" s="53"/>
    </row>
    <row r="39" spans="1:7" ht="15" customHeight="1" x14ac:dyDescent="0.3">
      <c r="A39" s="53"/>
      <c r="B39" s="53"/>
      <c r="C39" s="161"/>
      <c r="D39" s="161"/>
      <c r="E39" s="161"/>
      <c r="F39" s="161"/>
      <c r="G39" s="53"/>
    </row>
    <row r="40" spans="1:7" x14ac:dyDescent="0.3">
      <c r="A40" s="53"/>
      <c r="B40" s="53"/>
      <c r="C40" s="53"/>
      <c r="D40" s="53"/>
      <c r="E40" s="53"/>
      <c r="F40" s="53"/>
      <c r="G40" s="53"/>
    </row>
    <row r="41" spans="1:7" x14ac:dyDescent="0.3">
      <c r="A41" s="53"/>
      <c r="B41" s="53"/>
      <c r="C41" s="53"/>
      <c r="D41" s="53"/>
      <c r="E41" s="53"/>
      <c r="F41" s="53"/>
      <c r="G41" s="53"/>
    </row>
    <row r="42" spans="1:7" x14ac:dyDescent="0.3">
      <c r="A42" s="53"/>
      <c r="B42" s="53"/>
      <c r="C42" s="53"/>
      <c r="D42" s="53"/>
      <c r="E42" s="53"/>
      <c r="F42" s="53"/>
      <c r="G42" s="53"/>
    </row>
    <row r="43" spans="1:7" x14ac:dyDescent="0.3">
      <c r="A43" s="53"/>
      <c r="B43" s="53"/>
      <c r="C43" s="53"/>
      <c r="D43" s="53"/>
      <c r="E43" s="53"/>
      <c r="F43" s="53"/>
      <c r="G43" s="53"/>
    </row>
    <row r="44" spans="1:7" x14ac:dyDescent="0.3">
      <c r="A44" s="53"/>
      <c r="B44" s="53"/>
      <c r="C44" s="53"/>
      <c r="D44" s="53"/>
      <c r="E44" s="53"/>
      <c r="F44" s="53"/>
      <c r="G44" s="53"/>
    </row>
    <row r="45" spans="1:7" x14ac:dyDescent="0.3">
      <c r="A45" s="53"/>
      <c r="B45" s="53"/>
      <c r="C45" s="53"/>
      <c r="D45" s="53"/>
      <c r="E45" s="53"/>
      <c r="F45" s="53"/>
      <c r="G45" s="53"/>
    </row>
    <row r="46" spans="1:7" x14ac:dyDescent="0.3">
      <c r="A46" s="53"/>
      <c r="B46" s="53"/>
      <c r="C46" s="53"/>
      <c r="D46" s="53"/>
      <c r="E46" s="53"/>
      <c r="F46" s="53"/>
      <c r="G46" s="53"/>
    </row>
    <row r="47" spans="1:7" x14ac:dyDescent="0.3">
      <c r="A47" s="53"/>
      <c r="B47" s="53"/>
      <c r="C47" s="53"/>
      <c r="D47" s="53"/>
      <c r="E47" s="53"/>
      <c r="F47" s="53"/>
      <c r="G47" s="53"/>
    </row>
    <row r="48" spans="1:7" x14ac:dyDescent="0.3">
      <c r="A48" s="53"/>
      <c r="B48" s="53"/>
      <c r="C48" s="53"/>
      <c r="D48" s="53"/>
      <c r="E48" s="53"/>
      <c r="F48" s="53"/>
      <c r="G48" s="53"/>
    </row>
  </sheetData>
  <mergeCells count="8">
    <mergeCell ref="C4:F4"/>
    <mergeCell ref="C5:F5"/>
    <mergeCell ref="E11:E12"/>
    <mergeCell ref="D35:F37"/>
    <mergeCell ref="C38:D38"/>
    <mergeCell ref="C7:F7"/>
    <mergeCell ref="C8:F8"/>
    <mergeCell ref="C9:F9"/>
  </mergeCells>
  <pageMargins left="0.70866141732283472" right="0.70866141732283472" top="0.74803149606299213" bottom="0.74803149606299213" header="0.31496062992125984" footer="0.31496062992125984"/>
  <pageSetup paperSize="9" scale="5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C000"/>
  </sheetPr>
  <dimension ref="B3:F35"/>
  <sheetViews>
    <sheetView view="pageBreakPreview" zoomScale="90" zoomScaleNormal="80" zoomScaleSheetLayoutView="90" workbookViewId="0">
      <selection activeCell="C7" sqref="C7:F9"/>
    </sheetView>
  </sheetViews>
  <sheetFormatPr defaultColWidth="11.5546875" defaultRowHeight="14.4" x14ac:dyDescent="0.3"/>
  <cols>
    <col min="1" max="1" width="7" customWidth="1"/>
    <col min="2" max="2" width="5.5546875" customWidth="1"/>
    <col min="3" max="3" width="43.5546875" customWidth="1"/>
    <col min="4" max="4" width="26.44140625" customWidth="1"/>
    <col min="5" max="5" width="14" customWidth="1"/>
    <col min="6" max="6" width="74.88671875" customWidth="1"/>
  </cols>
  <sheetData>
    <row r="3" spans="2:6" ht="15" thickBot="1" x14ac:dyDescent="0.35"/>
    <row r="4" spans="2:6" ht="33" customHeight="1" x14ac:dyDescent="0.3">
      <c r="B4" s="1"/>
      <c r="C4" s="197" t="s">
        <v>169</v>
      </c>
      <c r="D4" s="197"/>
      <c r="E4" s="197"/>
      <c r="F4" s="198"/>
    </row>
    <row r="5" spans="2:6" ht="17.399999999999999" x14ac:dyDescent="0.3">
      <c r="B5" s="2"/>
      <c r="C5" s="199" t="s">
        <v>55</v>
      </c>
      <c r="D5" s="199"/>
      <c r="E5" s="199"/>
      <c r="F5" s="200"/>
    </row>
    <row r="6" spans="2:6" ht="15.6" x14ac:dyDescent="0.3">
      <c r="B6" s="2"/>
      <c r="C6" s="3"/>
      <c r="D6" s="8"/>
      <c r="E6" s="8"/>
      <c r="F6" s="9"/>
    </row>
    <row r="7" spans="2:6" x14ac:dyDescent="0.3">
      <c r="B7" s="2"/>
      <c r="C7" s="203" t="s">
        <v>205</v>
      </c>
      <c r="D7" s="203"/>
      <c r="E7" s="203"/>
      <c r="F7" s="204"/>
    </row>
    <row r="8" spans="2:6" x14ac:dyDescent="0.3">
      <c r="B8" s="2"/>
      <c r="C8" s="203" t="s">
        <v>206</v>
      </c>
      <c r="D8" s="203"/>
      <c r="E8" s="203"/>
      <c r="F8" s="204"/>
    </row>
    <row r="9" spans="2:6" x14ac:dyDescent="0.3">
      <c r="B9" s="2"/>
      <c r="C9" s="203" t="s">
        <v>207</v>
      </c>
      <c r="D9" s="203"/>
      <c r="E9" s="203"/>
      <c r="F9" s="204"/>
    </row>
    <row r="10" spans="2:6" ht="16.2" thickBot="1" x14ac:dyDescent="0.35">
      <c r="B10" s="2"/>
      <c r="C10" s="3"/>
      <c r="D10" s="8"/>
      <c r="E10" s="8"/>
      <c r="F10" s="9"/>
    </row>
    <row r="11" spans="2:6" ht="15.6" x14ac:dyDescent="0.3">
      <c r="B11" s="2"/>
      <c r="C11" s="4"/>
      <c r="D11" s="15" t="s">
        <v>192</v>
      </c>
      <c r="E11" s="16"/>
      <c r="F11" s="40" t="s">
        <v>10</v>
      </c>
    </row>
    <row r="12" spans="2:6" ht="16.2" thickBot="1" x14ac:dyDescent="0.35">
      <c r="B12" s="2"/>
      <c r="C12" s="8"/>
      <c r="D12" s="17" t="s">
        <v>0</v>
      </c>
      <c r="E12" s="18" t="s">
        <v>15</v>
      </c>
      <c r="F12" s="41"/>
    </row>
    <row r="13" spans="2:6" x14ac:dyDescent="0.3">
      <c r="B13" s="5" t="s">
        <v>1</v>
      </c>
      <c r="C13" s="4" t="s">
        <v>2</v>
      </c>
      <c r="D13" s="19"/>
      <c r="E13" s="20"/>
      <c r="F13" s="9"/>
    </row>
    <row r="14" spans="2:6" ht="33.75" customHeight="1" x14ac:dyDescent="0.3">
      <c r="B14" s="2"/>
      <c r="C14" s="14" t="s">
        <v>28</v>
      </c>
      <c r="D14" s="21">
        <v>1500</v>
      </c>
      <c r="E14" s="22">
        <f>+D14*100/D27</f>
        <v>9.8639874498514875</v>
      </c>
      <c r="F14" s="42" t="s">
        <v>49</v>
      </c>
    </row>
    <row r="15" spans="2:6" ht="29.25" customHeight="1" x14ac:dyDescent="0.3">
      <c r="B15" s="2"/>
      <c r="C15" s="68" t="s">
        <v>25</v>
      </c>
      <c r="D15" s="21">
        <v>2800</v>
      </c>
      <c r="E15" s="23">
        <f>+D15*100/$D$27</f>
        <v>18.41277657305611</v>
      </c>
      <c r="F15" s="35" t="s">
        <v>68</v>
      </c>
    </row>
    <row r="16" spans="2:6" ht="27" customHeight="1" x14ac:dyDescent="0.3">
      <c r="B16" s="2"/>
      <c r="C16" s="8"/>
      <c r="D16" s="24"/>
      <c r="E16" s="23"/>
      <c r="F16" s="42"/>
    </row>
    <row r="17" spans="2:6" ht="14.25" customHeight="1" x14ac:dyDescent="0.3">
      <c r="B17" s="5" t="s">
        <v>3</v>
      </c>
      <c r="C17" s="4" t="s">
        <v>4</v>
      </c>
      <c r="D17" s="46"/>
      <c r="E17" s="23"/>
      <c r="F17" s="43"/>
    </row>
    <row r="18" spans="2:6" ht="32.25" customHeight="1" x14ac:dyDescent="0.3">
      <c r="B18" s="2"/>
      <c r="C18" s="68" t="s">
        <v>66</v>
      </c>
      <c r="D18" s="21">
        <v>248</v>
      </c>
      <c r="E18" s="23">
        <f>+D18*100/$D$27</f>
        <v>1.6308459250421126</v>
      </c>
      <c r="F18" s="42" t="s">
        <v>47</v>
      </c>
    </row>
    <row r="19" spans="2:6" ht="32.25" customHeight="1" x14ac:dyDescent="0.3">
      <c r="B19" s="2"/>
      <c r="C19" s="14" t="s">
        <v>19</v>
      </c>
      <c r="D19" s="21">
        <f>(1.24*158.8) *36</f>
        <v>7088.8320000000003</v>
      </c>
      <c r="E19" s="23">
        <f>+D19*100/$D$27</f>
        <v>46.616099921403752</v>
      </c>
      <c r="F19" s="42" t="s">
        <v>200</v>
      </c>
    </row>
    <row r="20" spans="2:6" ht="29.25" customHeight="1" x14ac:dyDescent="0.3">
      <c r="B20" s="2"/>
      <c r="C20" s="14" t="s">
        <v>14</v>
      </c>
      <c r="D20" s="21">
        <f>225+225</f>
        <v>450</v>
      </c>
      <c r="E20" s="23">
        <f>+D20*100/$D$27</f>
        <v>2.9591962349554461</v>
      </c>
      <c r="F20" s="42" t="s">
        <v>48</v>
      </c>
    </row>
    <row r="21" spans="2:6" ht="37.5" customHeight="1" x14ac:dyDescent="0.3">
      <c r="B21" s="2"/>
      <c r="C21" s="14" t="s">
        <v>65</v>
      </c>
      <c r="D21" s="21">
        <v>1000</v>
      </c>
      <c r="E21" s="23">
        <f>+D21*100/$D$27</f>
        <v>6.5759916332343247</v>
      </c>
      <c r="F21" s="44" t="s">
        <v>23</v>
      </c>
    </row>
    <row r="22" spans="2:6" ht="30" customHeight="1" x14ac:dyDescent="0.3">
      <c r="B22" s="2"/>
      <c r="C22" s="14" t="s">
        <v>62</v>
      </c>
      <c r="D22" s="21">
        <v>720</v>
      </c>
      <c r="E22" s="23">
        <f>+D22*100/$D$27</f>
        <v>4.734713975928714</v>
      </c>
      <c r="F22" s="44" t="s">
        <v>11</v>
      </c>
    </row>
    <row r="23" spans="2:6" ht="25.5" customHeight="1" x14ac:dyDescent="0.3">
      <c r="B23" s="5" t="s">
        <v>5</v>
      </c>
      <c r="C23" s="4" t="s">
        <v>6</v>
      </c>
      <c r="D23" s="28"/>
      <c r="E23" s="23"/>
      <c r="F23" s="45"/>
    </row>
    <row r="24" spans="2:6" ht="57" customHeight="1" x14ac:dyDescent="0.3">
      <c r="B24" s="2"/>
      <c r="C24" s="14" t="s">
        <v>7</v>
      </c>
      <c r="D24" s="21">
        <v>1000</v>
      </c>
      <c r="E24" s="23">
        <f>+D24*100/$D$27</f>
        <v>6.5759916332343247</v>
      </c>
      <c r="F24" s="44" t="s">
        <v>50</v>
      </c>
    </row>
    <row r="25" spans="2:6" x14ac:dyDescent="0.3">
      <c r="B25" s="2"/>
      <c r="C25" s="8" t="s">
        <v>193</v>
      </c>
      <c r="D25" s="47">
        <v>400</v>
      </c>
      <c r="E25" s="23">
        <f>+D25*100/$D$27</f>
        <v>2.63039665329373</v>
      </c>
      <c r="F25" s="36" t="s">
        <v>23</v>
      </c>
    </row>
    <row r="26" spans="2:6" ht="15" thickBot="1" x14ac:dyDescent="0.35">
      <c r="B26" s="2"/>
      <c r="C26" s="8"/>
      <c r="D26" s="48"/>
      <c r="E26" s="23"/>
      <c r="F26" s="45"/>
    </row>
    <row r="27" spans="2:6" ht="16.2" thickBot="1" x14ac:dyDescent="0.35">
      <c r="B27" s="2"/>
      <c r="C27" s="6" t="s">
        <v>8</v>
      </c>
      <c r="D27" s="30">
        <f>SUM(D14:D25)</f>
        <v>15206.832</v>
      </c>
      <c r="E27" s="31">
        <f>+D27*100/$D$27</f>
        <v>100</v>
      </c>
      <c r="F27" s="49"/>
    </row>
    <row r="28" spans="2:6" x14ac:dyDescent="0.3">
      <c r="B28" s="2"/>
      <c r="C28" s="8"/>
      <c r="D28" s="13"/>
      <c r="E28" s="13"/>
      <c r="F28" s="9"/>
    </row>
    <row r="29" spans="2:6" ht="21.75" customHeight="1" x14ac:dyDescent="0.3">
      <c r="B29" s="2"/>
      <c r="C29" s="8"/>
      <c r="D29" s="13"/>
      <c r="E29" s="13"/>
      <c r="F29" s="9"/>
    </row>
    <row r="30" spans="2:6" ht="35.25" customHeight="1" x14ac:dyDescent="0.3">
      <c r="B30" s="2"/>
      <c r="C30" s="164" t="s">
        <v>9</v>
      </c>
      <c r="D30" s="12"/>
      <c r="E30" s="12"/>
      <c r="F30" s="10"/>
    </row>
    <row r="31" spans="2:6" ht="38.25" customHeight="1" x14ac:dyDescent="0.3">
      <c r="B31" s="2"/>
      <c r="C31" s="164" t="s">
        <v>51</v>
      </c>
      <c r="D31" s="12"/>
      <c r="E31" s="12"/>
      <c r="F31" s="10"/>
    </row>
    <row r="32" spans="2:6" ht="51" customHeight="1" x14ac:dyDescent="0.3">
      <c r="B32" s="2"/>
      <c r="C32" s="164" t="s">
        <v>27</v>
      </c>
      <c r="D32" s="12"/>
      <c r="E32" s="12"/>
      <c r="F32" s="10"/>
    </row>
    <row r="33" spans="2:6" ht="65.25" customHeight="1" thickBot="1" x14ac:dyDescent="0.35">
      <c r="B33" s="7"/>
      <c r="C33" s="212"/>
      <c r="D33" s="212"/>
      <c r="E33" s="70"/>
      <c r="F33" s="11"/>
    </row>
    <row r="34" spans="2:6" ht="15" customHeight="1" x14ac:dyDescent="0.3"/>
    <row r="35" spans="2:6" ht="15" customHeight="1" x14ac:dyDescent="0.3"/>
  </sheetData>
  <mergeCells count="6">
    <mergeCell ref="C4:F4"/>
    <mergeCell ref="C5:F5"/>
    <mergeCell ref="C33:D33"/>
    <mergeCell ref="C7:F7"/>
    <mergeCell ref="C8:F8"/>
    <mergeCell ref="C9:F9"/>
  </mergeCells>
  <pageMargins left="0.7" right="0.7" top="0.75" bottom="0.75" header="0.3" footer="0.3"/>
  <pageSetup scale="4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92D050"/>
    <pageSetUpPr fitToPage="1"/>
  </sheetPr>
  <dimension ref="B3:H50"/>
  <sheetViews>
    <sheetView view="pageBreakPreview" topLeftCell="A30" zoomScale="120" zoomScaleNormal="100" zoomScaleSheetLayoutView="120" workbookViewId="0">
      <selection activeCell="E16" sqref="E16"/>
    </sheetView>
  </sheetViews>
  <sheetFormatPr defaultColWidth="11.5546875" defaultRowHeight="14.4" x14ac:dyDescent="0.3"/>
  <cols>
    <col min="1" max="1" width="4.44140625" customWidth="1"/>
    <col min="2" max="2" width="5.5546875" customWidth="1"/>
    <col min="3" max="3" width="32.33203125" customWidth="1"/>
    <col min="4" max="4" width="18.44140625" customWidth="1"/>
    <col min="5" max="5" width="18" customWidth="1"/>
    <col min="6" max="6" width="59.88671875" customWidth="1"/>
    <col min="7" max="7" width="5" customWidth="1"/>
  </cols>
  <sheetData>
    <row r="3" spans="2:6" ht="15" thickBot="1" x14ac:dyDescent="0.35"/>
    <row r="4" spans="2:6" ht="33" customHeight="1" x14ac:dyDescent="0.3">
      <c r="B4" s="1"/>
      <c r="C4" s="197" t="s">
        <v>169</v>
      </c>
      <c r="D4" s="197"/>
      <c r="E4" s="197"/>
      <c r="F4" s="198"/>
    </row>
    <row r="5" spans="2:6" ht="15.6" x14ac:dyDescent="0.3">
      <c r="B5" s="2"/>
      <c r="C5" s="213" t="s">
        <v>176</v>
      </c>
      <c r="D5" s="213"/>
      <c r="E5" s="213"/>
      <c r="F5" s="214"/>
    </row>
    <row r="6" spans="2:6" ht="15.6" x14ac:dyDescent="0.3">
      <c r="B6" s="2"/>
      <c r="C6" s="3"/>
      <c r="D6" s="8"/>
      <c r="E6" s="8"/>
      <c r="F6" s="9"/>
    </row>
    <row r="7" spans="2:6" x14ac:dyDescent="0.3">
      <c r="B7" s="2"/>
      <c r="C7" s="203" t="s">
        <v>205</v>
      </c>
      <c r="D7" s="203"/>
      <c r="E7" s="203"/>
      <c r="F7" s="204"/>
    </row>
    <row r="8" spans="2:6" x14ac:dyDescent="0.3">
      <c r="B8" s="2"/>
      <c r="C8" s="203" t="s">
        <v>206</v>
      </c>
      <c r="D8" s="203"/>
      <c r="E8" s="203"/>
      <c r="F8" s="204"/>
    </row>
    <row r="9" spans="2:6" ht="15" thickBot="1" x14ac:dyDescent="0.35">
      <c r="B9" s="2"/>
      <c r="C9" s="203" t="s">
        <v>207</v>
      </c>
      <c r="D9" s="203"/>
      <c r="E9" s="203"/>
      <c r="F9" s="204"/>
    </row>
    <row r="10" spans="2:6" ht="15.6" x14ac:dyDescent="0.3">
      <c r="B10" s="2"/>
      <c r="C10" s="4"/>
      <c r="D10" s="15" t="s">
        <v>95</v>
      </c>
      <c r="E10" s="217" t="s">
        <v>15</v>
      </c>
      <c r="F10" s="38" t="s">
        <v>10</v>
      </c>
    </row>
    <row r="11" spans="2:6" ht="16.2" thickBot="1" x14ac:dyDescent="0.35">
      <c r="B11" s="2"/>
      <c r="C11" s="8"/>
      <c r="D11" s="17" t="s">
        <v>0</v>
      </c>
      <c r="E11" s="218"/>
      <c r="F11" s="32"/>
    </row>
    <row r="12" spans="2:6" x14ac:dyDescent="0.3">
      <c r="B12" s="5" t="s">
        <v>1</v>
      </c>
      <c r="C12" s="4" t="s">
        <v>2</v>
      </c>
      <c r="D12" s="19"/>
      <c r="E12" s="84"/>
      <c r="F12" s="33"/>
    </row>
    <row r="13" spans="2:6" ht="33.75" customHeight="1" x14ac:dyDescent="0.3">
      <c r="B13" s="2"/>
      <c r="C13" s="14" t="s">
        <v>28</v>
      </c>
      <c r="D13" s="21">
        <v>1808.62</v>
      </c>
      <c r="E13" s="85">
        <f>+D13*100/D32</f>
        <v>3.4711662433026862</v>
      </c>
      <c r="F13" s="34" t="s">
        <v>29</v>
      </c>
    </row>
    <row r="14" spans="2:6" ht="29.25" customHeight="1" x14ac:dyDescent="0.3">
      <c r="B14" s="2"/>
      <c r="C14" s="14" t="s">
        <v>30</v>
      </c>
      <c r="D14" s="21">
        <v>11200</v>
      </c>
      <c r="E14" s="85">
        <f>+D14*100/$D$32</f>
        <v>21.495428517317119</v>
      </c>
      <c r="F14" s="39" t="s">
        <v>183</v>
      </c>
    </row>
    <row r="15" spans="2:6" ht="29.25" customHeight="1" x14ac:dyDescent="0.3">
      <c r="B15" s="2"/>
      <c r="C15" s="14" t="s">
        <v>31</v>
      </c>
      <c r="D15" s="21">
        <v>330</v>
      </c>
      <c r="E15" s="85">
        <f>+D15*100/$D$32</f>
        <v>0.63334744738523652</v>
      </c>
      <c r="F15" s="34" t="s">
        <v>32</v>
      </c>
    </row>
    <row r="16" spans="2:6" ht="31.5" customHeight="1" x14ac:dyDescent="0.3">
      <c r="B16" s="2"/>
      <c r="C16" s="14" t="s">
        <v>33</v>
      </c>
      <c r="D16" s="21">
        <v>1282.0999999999999</v>
      </c>
      <c r="E16" s="85">
        <f>+D16*100/$D$32</f>
        <v>2.4606507948260958</v>
      </c>
      <c r="F16" s="35" t="s">
        <v>90</v>
      </c>
    </row>
    <row r="17" spans="2:8" ht="31.5" customHeight="1" x14ac:dyDescent="0.3">
      <c r="B17" s="2"/>
      <c r="C17" s="14" t="s">
        <v>92</v>
      </c>
      <c r="D17" s="21">
        <v>1000</v>
      </c>
      <c r="E17" s="85">
        <f t="shared" ref="E17:E30" si="0">+D17*100/$D$32</f>
        <v>1.9192346890461711</v>
      </c>
      <c r="F17" s="35"/>
    </row>
    <row r="18" spans="2:8" x14ac:dyDescent="0.3">
      <c r="B18" s="2"/>
      <c r="C18" s="8"/>
      <c r="D18" s="24"/>
      <c r="E18" s="85"/>
      <c r="F18" s="36"/>
    </row>
    <row r="19" spans="2:8" x14ac:dyDescent="0.3">
      <c r="B19" s="5" t="s">
        <v>3</v>
      </c>
      <c r="C19" s="4" t="s">
        <v>4</v>
      </c>
      <c r="D19" s="25"/>
      <c r="E19" s="85"/>
      <c r="F19" s="36"/>
    </row>
    <row r="20" spans="2:8" ht="32.25" customHeight="1" x14ac:dyDescent="0.3">
      <c r="B20" s="2"/>
      <c r="C20" s="14" t="s">
        <v>35</v>
      </c>
      <c r="D20" s="21">
        <v>2500</v>
      </c>
      <c r="E20" s="85">
        <f t="shared" si="0"/>
        <v>4.7980867226154285</v>
      </c>
      <c r="F20" s="35" t="s">
        <v>197</v>
      </c>
      <c r="G20" s="190"/>
      <c r="H20" s="190"/>
    </row>
    <row r="21" spans="2:8" ht="29.25" customHeight="1" x14ac:dyDescent="0.3">
      <c r="B21" s="2"/>
      <c r="C21" s="14" t="s">
        <v>14</v>
      </c>
      <c r="D21" s="21">
        <f>1800+420+200+500</f>
        <v>2920</v>
      </c>
      <c r="E21" s="85">
        <f t="shared" si="0"/>
        <v>5.6041652920148204</v>
      </c>
      <c r="F21" s="34" t="s">
        <v>36</v>
      </c>
    </row>
    <row r="22" spans="2:8" ht="29.25" customHeight="1" x14ac:dyDescent="0.3">
      <c r="B22" s="2"/>
      <c r="C22" s="81" t="s">
        <v>19</v>
      </c>
      <c r="D22" s="21">
        <f>(158.8*36)*3.99</f>
        <v>22810.032000000003</v>
      </c>
      <c r="E22" s="85">
        <f t="shared" si="0"/>
        <v>43.777804672653218</v>
      </c>
      <c r="F22" s="34" t="s">
        <v>196</v>
      </c>
    </row>
    <row r="23" spans="2:8" ht="37.5" customHeight="1" x14ac:dyDescent="0.3">
      <c r="B23" s="2"/>
      <c r="C23" s="14" t="s">
        <v>37</v>
      </c>
      <c r="D23" s="21">
        <v>1800</v>
      </c>
      <c r="E23" s="85">
        <f t="shared" si="0"/>
        <v>3.4546224402831083</v>
      </c>
      <c r="F23" s="39" t="s">
        <v>38</v>
      </c>
    </row>
    <row r="24" spans="2:8" ht="30" customHeight="1" x14ac:dyDescent="0.3">
      <c r="B24" s="2"/>
      <c r="C24" s="14" t="s">
        <v>13</v>
      </c>
      <c r="D24" s="21">
        <v>1140.3499999999999</v>
      </c>
      <c r="E24" s="85">
        <f t="shared" si="0"/>
        <v>2.1885992776538012</v>
      </c>
      <c r="F24" s="34" t="s">
        <v>39</v>
      </c>
    </row>
    <row r="25" spans="2:8" ht="25.5" customHeight="1" x14ac:dyDescent="0.3">
      <c r="B25" s="2"/>
      <c r="C25" s="14" t="s">
        <v>12</v>
      </c>
      <c r="D25" s="26">
        <v>28</v>
      </c>
      <c r="E25" s="85">
        <f t="shared" si="0"/>
        <v>5.3738571293292792E-2</v>
      </c>
      <c r="F25" s="34" t="s">
        <v>40</v>
      </c>
    </row>
    <row r="26" spans="2:8" ht="24" customHeight="1" x14ac:dyDescent="0.3">
      <c r="B26" s="2"/>
      <c r="C26" s="8" t="s">
        <v>41</v>
      </c>
      <c r="D26" s="27">
        <v>120</v>
      </c>
      <c r="E26" s="85">
        <f t="shared" si="0"/>
        <v>0.23030816268554055</v>
      </c>
      <c r="F26" s="34" t="s">
        <v>42</v>
      </c>
    </row>
    <row r="27" spans="2:8" ht="24" customHeight="1" x14ac:dyDescent="0.3">
      <c r="B27" s="2"/>
      <c r="C27" s="8" t="s">
        <v>86</v>
      </c>
      <c r="D27" s="27">
        <v>700</v>
      </c>
      <c r="E27" s="85">
        <f t="shared" si="0"/>
        <v>1.34346428233232</v>
      </c>
      <c r="F27" s="34"/>
    </row>
    <row r="28" spans="2:8" ht="24" customHeight="1" x14ac:dyDescent="0.3">
      <c r="B28" s="2"/>
      <c r="C28" s="8" t="s">
        <v>54</v>
      </c>
      <c r="D28" s="27">
        <v>3265</v>
      </c>
      <c r="E28" s="85">
        <f t="shared" si="0"/>
        <v>6.2663012597357488</v>
      </c>
      <c r="F28" s="34" t="s">
        <v>99</v>
      </c>
    </row>
    <row r="29" spans="2:8" ht="25.5" customHeight="1" x14ac:dyDescent="0.3">
      <c r="B29" s="5" t="s">
        <v>5</v>
      </c>
      <c r="C29" s="4" t="s">
        <v>6</v>
      </c>
      <c r="D29" s="28"/>
      <c r="E29" s="85"/>
      <c r="F29" s="37"/>
    </row>
    <row r="30" spans="2:8" ht="57" customHeight="1" x14ac:dyDescent="0.3">
      <c r="B30" s="2"/>
      <c r="C30" s="14" t="s">
        <v>7</v>
      </c>
      <c r="D30" s="21">
        <v>1200</v>
      </c>
      <c r="E30" s="85">
        <f t="shared" si="0"/>
        <v>2.3030816268554055</v>
      </c>
      <c r="F30" s="35" t="s">
        <v>53</v>
      </c>
    </row>
    <row r="31" spans="2:8" ht="15" thickBot="1" x14ac:dyDescent="0.35">
      <c r="B31" s="2"/>
      <c r="C31" s="8"/>
      <c r="D31" s="29"/>
      <c r="E31" s="85"/>
      <c r="F31" s="37"/>
    </row>
    <row r="32" spans="2:8" ht="16.2" thickBot="1" x14ac:dyDescent="0.35">
      <c r="B32" s="2"/>
      <c r="C32" s="6" t="s">
        <v>8</v>
      </c>
      <c r="D32" s="30">
        <f>SUM(D13:D31)</f>
        <v>52104.102000000006</v>
      </c>
      <c r="E32" s="86">
        <f>+D32*100/$D$32</f>
        <v>99.999999999999986</v>
      </c>
      <c r="F32" s="49"/>
    </row>
    <row r="33" spans="2:6" x14ac:dyDescent="0.3">
      <c r="B33" s="2"/>
      <c r="C33" s="8"/>
      <c r="D33" s="13"/>
      <c r="E33" s="13"/>
      <c r="F33" s="9"/>
    </row>
    <row r="34" spans="2:6" ht="21.75" customHeight="1" x14ac:dyDescent="0.3">
      <c r="B34" s="2"/>
      <c r="C34" s="164" t="s">
        <v>117</v>
      </c>
      <c r="D34" s="162"/>
      <c r="E34" s="162"/>
      <c r="F34" s="9"/>
    </row>
    <row r="35" spans="2:6" ht="35.25" customHeight="1" x14ac:dyDescent="0.3">
      <c r="B35" s="2"/>
      <c r="C35" s="164" t="s">
        <v>9</v>
      </c>
      <c r="D35" s="165"/>
      <c r="E35" s="165"/>
      <c r="F35" s="10"/>
    </row>
    <row r="36" spans="2:6" ht="26.25" customHeight="1" x14ac:dyDescent="0.3">
      <c r="B36" s="2"/>
      <c r="C36" s="164" t="s">
        <v>85</v>
      </c>
      <c r="D36" s="165"/>
      <c r="E36" s="165"/>
      <c r="F36" s="10"/>
    </row>
    <row r="37" spans="2:6" ht="44.25" customHeight="1" x14ac:dyDescent="0.3">
      <c r="B37" s="2"/>
      <c r="C37" s="215" t="s">
        <v>184</v>
      </c>
      <c r="D37" s="216"/>
      <c r="E37" s="216"/>
      <c r="F37" s="10"/>
    </row>
    <row r="38" spans="2:6" ht="43.5" customHeight="1" thickBot="1" x14ac:dyDescent="0.35">
      <c r="B38" s="7"/>
      <c r="C38" s="211" t="s">
        <v>98</v>
      </c>
      <c r="D38" s="211"/>
      <c r="E38" s="211"/>
      <c r="F38" s="11"/>
    </row>
    <row r="39" spans="2:6" ht="15.75" customHeight="1" x14ac:dyDescent="0.3"/>
    <row r="40" spans="2:6" ht="15" x14ac:dyDescent="0.3">
      <c r="C40" s="71"/>
    </row>
    <row r="41" spans="2:6" ht="15" x14ac:dyDescent="0.3">
      <c r="C41" s="71"/>
    </row>
    <row r="42" spans="2:6" ht="15" x14ac:dyDescent="0.3">
      <c r="C42" s="71"/>
    </row>
    <row r="43" spans="2:6" ht="15" x14ac:dyDescent="0.3">
      <c r="C43" s="71"/>
    </row>
    <row r="44" spans="2:6" ht="15" x14ac:dyDescent="0.3">
      <c r="C44" s="71"/>
    </row>
    <row r="45" spans="2:6" ht="15" x14ac:dyDescent="0.3">
      <c r="C45" s="71"/>
    </row>
    <row r="46" spans="2:6" ht="15" x14ac:dyDescent="0.3">
      <c r="C46" s="71"/>
    </row>
    <row r="47" spans="2:6" ht="15" x14ac:dyDescent="0.3">
      <c r="C47" s="71"/>
    </row>
    <row r="48" spans="2:6" ht="15.6" x14ac:dyDescent="0.3">
      <c r="C48" s="72"/>
    </row>
    <row r="49" spans="3:3" ht="15.6" x14ac:dyDescent="0.3">
      <c r="C49" s="72"/>
    </row>
    <row r="50" spans="3:3" x14ac:dyDescent="0.3">
      <c r="C50" s="73"/>
    </row>
  </sheetData>
  <mergeCells count="8">
    <mergeCell ref="C4:F4"/>
    <mergeCell ref="C5:F5"/>
    <mergeCell ref="C37:E37"/>
    <mergeCell ref="C38:E38"/>
    <mergeCell ref="E10:E11"/>
    <mergeCell ref="C7:F7"/>
    <mergeCell ref="C8:F8"/>
    <mergeCell ref="C9:F9"/>
  </mergeCells>
  <pageMargins left="0.70866141732283472" right="0.70866141732283472" top="0.74803149606299213" bottom="0.74803149606299213" header="0.31496062992125984" footer="0.31496062992125984"/>
  <pageSetup paperSize="9" scale="60"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H45"/>
  <sheetViews>
    <sheetView view="pageBreakPreview" topLeftCell="A15" zoomScale="90" zoomScaleNormal="90" zoomScaleSheetLayoutView="90" workbookViewId="0">
      <selection activeCell="F21" sqref="F21"/>
    </sheetView>
  </sheetViews>
  <sheetFormatPr defaultColWidth="11.5546875" defaultRowHeight="14.4" x14ac:dyDescent="0.3"/>
  <cols>
    <col min="1" max="1" width="4.44140625" customWidth="1"/>
    <col min="2" max="2" width="5.5546875" customWidth="1"/>
    <col min="3" max="3" width="32.33203125" customWidth="1"/>
    <col min="4" max="4" width="18.44140625" customWidth="1"/>
    <col min="5" max="5" width="18" customWidth="1"/>
    <col min="6" max="6" width="65.6640625" customWidth="1"/>
    <col min="7" max="7" width="5" customWidth="1"/>
  </cols>
  <sheetData>
    <row r="1" spans="2:8" ht="15" thickBot="1" x14ac:dyDescent="0.35"/>
    <row r="2" spans="2:8" ht="33" customHeight="1" x14ac:dyDescent="0.3">
      <c r="B2" s="1"/>
      <c r="C2" s="197" t="s">
        <v>89</v>
      </c>
      <c r="D2" s="197"/>
      <c r="E2" s="197"/>
      <c r="F2" s="198"/>
    </row>
    <row r="3" spans="2:8" ht="15.6" x14ac:dyDescent="0.3">
      <c r="B3" s="2"/>
      <c r="C3" s="213" t="s">
        <v>114</v>
      </c>
      <c r="D3" s="213"/>
      <c r="E3" s="213"/>
      <c r="F3" s="214"/>
    </row>
    <row r="4" spans="2:8" ht="16.2" thickBot="1" x14ac:dyDescent="0.35">
      <c r="B4" s="2"/>
      <c r="C4" s="3"/>
      <c r="D4" s="8"/>
      <c r="E4" s="8"/>
      <c r="F4" s="9"/>
    </row>
    <row r="5" spans="2:8" ht="15.6" x14ac:dyDescent="0.3">
      <c r="B5" s="2"/>
      <c r="C5" s="4"/>
      <c r="D5" s="15" t="s">
        <v>95</v>
      </c>
      <c r="E5" s="219" t="s">
        <v>15</v>
      </c>
      <c r="F5" s="38" t="s">
        <v>10</v>
      </c>
    </row>
    <row r="6" spans="2:8" ht="16.2" thickBot="1" x14ac:dyDescent="0.35">
      <c r="B6" s="2"/>
      <c r="C6" s="8"/>
      <c r="D6" s="17" t="s">
        <v>0</v>
      </c>
      <c r="E6" s="220"/>
      <c r="F6" s="32"/>
    </row>
    <row r="7" spans="2:8" x14ac:dyDescent="0.3">
      <c r="B7" s="5" t="s">
        <v>1</v>
      </c>
      <c r="C7" s="4" t="s">
        <v>2</v>
      </c>
      <c r="D7" s="19"/>
      <c r="E7" s="87"/>
      <c r="F7" s="33"/>
    </row>
    <row r="8" spans="2:8" ht="33.75" customHeight="1" x14ac:dyDescent="0.3">
      <c r="B8" s="2"/>
      <c r="C8" s="14" t="s">
        <v>28</v>
      </c>
      <c r="D8" s="21">
        <v>1389</v>
      </c>
      <c r="E8" s="88">
        <f>+D8*100/D27</f>
        <v>2.8471282745049811</v>
      </c>
      <c r="F8" s="34" t="s">
        <v>29</v>
      </c>
    </row>
    <row r="9" spans="2:8" ht="29.25" customHeight="1" x14ac:dyDescent="0.3">
      <c r="B9" s="2"/>
      <c r="C9" s="14" t="s">
        <v>30</v>
      </c>
      <c r="D9" s="21">
        <v>11200</v>
      </c>
      <c r="E9" s="88">
        <f>+D9*100/$D$27</f>
        <v>22.957405813143115</v>
      </c>
      <c r="F9" s="39" t="s">
        <v>69</v>
      </c>
    </row>
    <row r="10" spans="2:8" ht="29.25" customHeight="1" x14ac:dyDescent="0.3">
      <c r="B10" s="2"/>
      <c r="C10" s="14" t="s">
        <v>31</v>
      </c>
      <c r="D10" s="21">
        <v>330</v>
      </c>
      <c r="E10" s="88">
        <f>+D10*100/$D$27</f>
        <v>0.67642356413725246</v>
      </c>
      <c r="F10" s="34" t="s">
        <v>70</v>
      </c>
    </row>
    <row r="11" spans="2:8" ht="31.5" customHeight="1" x14ac:dyDescent="0.3">
      <c r="B11" s="2"/>
      <c r="C11" s="14" t="s">
        <v>33</v>
      </c>
      <c r="D11" s="21">
        <v>1743</v>
      </c>
      <c r="E11" s="88">
        <f>+D11*100/$D$27</f>
        <v>3.572746279670397</v>
      </c>
      <c r="F11" s="35" t="s">
        <v>34</v>
      </c>
    </row>
    <row r="12" spans="2:8" ht="31.5" customHeight="1" x14ac:dyDescent="0.3">
      <c r="B12" s="2"/>
      <c r="C12" s="14" t="s">
        <v>92</v>
      </c>
      <c r="D12" s="21">
        <v>1000</v>
      </c>
      <c r="E12" s="88">
        <f t="shared" ref="E12:E25" si="0">+D12*100/$D$27</f>
        <v>2.0497683761734926</v>
      </c>
      <c r="F12" s="35"/>
    </row>
    <row r="13" spans="2:8" x14ac:dyDescent="0.3">
      <c r="B13" s="2"/>
      <c r="C13" s="8"/>
      <c r="D13" s="24"/>
      <c r="E13" s="88"/>
      <c r="F13" s="36"/>
    </row>
    <row r="14" spans="2:8" x14ac:dyDescent="0.3">
      <c r="B14" s="5" t="s">
        <v>3</v>
      </c>
      <c r="C14" s="4" t="s">
        <v>4</v>
      </c>
      <c r="D14" s="25"/>
      <c r="E14" s="88"/>
      <c r="F14" s="36"/>
    </row>
    <row r="15" spans="2:8" ht="52.5" customHeight="1" x14ac:dyDescent="0.3">
      <c r="B15" s="2"/>
      <c r="C15" s="14" t="s">
        <v>35</v>
      </c>
      <c r="D15" s="21">
        <v>2500</v>
      </c>
      <c r="E15" s="88">
        <f t="shared" si="0"/>
        <v>5.1244209404337306</v>
      </c>
      <c r="F15" s="35" t="s">
        <v>184</v>
      </c>
      <c r="G15" s="190"/>
      <c r="H15" s="190"/>
    </row>
    <row r="16" spans="2:8" ht="32.25" customHeight="1" x14ac:dyDescent="0.3">
      <c r="B16" s="2"/>
      <c r="C16" s="81" t="s">
        <v>19</v>
      </c>
      <c r="D16" s="21">
        <v>20000</v>
      </c>
      <c r="E16" s="88">
        <f t="shared" si="0"/>
        <v>40.995367523469845</v>
      </c>
      <c r="F16" s="34" t="s">
        <v>94</v>
      </c>
    </row>
    <row r="17" spans="2:8" ht="29.25" customHeight="1" x14ac:dyDescent="0.3">
      <c r="B17" s="2"/>
      <c r="C17" s="14" t="s">
        <v>14</v>
      </c>
      <c r="D17" s="21">
        <v>2920</v>
      </c>
      <c r="E17" s="88">
        <f t="shared" si="0"/>
        <v>5.9853236584265979</v>
      </c>
      <c r="F17" s="34" t="s">
        <v>88</v>
      </c>
    </row>
    <row r="18" spans="2:8" ht="37.5" customHeight="1" x14ac:dyDescent="0.3">
      <c r="B18" s="2"/>
      <c r="C18" s="14" t="s">
        <v>37</v>
      </c>
      <c r="D18" s="21">
        <v>1250</v>
      </c>
      <c r="E18" s="88">
        <f t="shared" si="0"/>
        <v>2.5622104702168653</v>
      </c>
      <c r="F18" s="83" t="s">
        <v>38</v>
      </c>
    </row>
    <row r="19" spans="2:8" ht="30" customHeight="1" x14ac:dyDescent="0.3">
      <c r="B19" s="2"/>
      <c r="C19" s="14" t="s">
        <v>13</v>
      </c>
      <c r="D19" s="21">
        <v>1141</v>
      </c>
      <c r="E19" s="88">
        <f t="shared" si="0"/>
        <v>2.338785717213955</v>
      </c>
      <c r="F19" s="34" t="s">
        <v>39</v>
      </c>
    </row>
    <row r="20" spans="2:8" ht="25.5" customHeight="1" x14ac:dyDescent="0.3">
      <c r="B20" s="2"/>
      <c r="C20" s="14" t="s">
        <v>12</v>
      </c>
      <c r="D20" s="26">
        <v>28</v>
      </c>
      <c r="E20" s="88">
        <f t="shared" si="0"/>
        <v>5.7393514532857785E-2</v>
      </c>
      <c r="F20" s="34" t="s">
        <v>40</v>
      </c>
      <c r="H20" s="75"/>
    </row>
    <row r="21" spans="2:8" ht="24" customHeight="1" x14ac:dyDescent="0.3">
      <c r="B21" s="2"/>
      <c r="C21" s="8" t="s">
        <v>41</v>
      </c>
      <c r="D21" s="27">
        <v>120</v>
      </c>
      <c r="E21" s="88">
        <f t="shared" si="0"/>
        <v>0.24597220514081908</v>
      </c>
      <c r="F21" s="34" t="s">
        <v>42</v>
      </c>
    </row>
    <row r="22" spans="2:8" ht="24" customHeight="1" x14ac:dyDescent="0.3">
      <c r="B22" s="2"/>
      <c r="C22" s="8" t="s">
        <v>87</v>
      </c>
      <c r="D22" s="27">
        <v>700</v>
      </c>
      <c r="E22" s="88">
        <f t="shared" si="0"/>
        <v>1.4348378633214447</v>
      </c>
      <c r="F22" s="34"/>
    </row>
    <row r="23" spans="2:8" ht="24" customHeight="1" x14ac:dyDescent="0.3">
      <c r="B23" s="2"/>
      <c r="C23" s="8" t="s">
        <v>54</v>
      </c>
      <c r="D23" s="27">
        <v>3265</v>
      </c>
      <c r="E23" s="88">
        <f t="shared" si="0"/>
        <v>6.692493748206453</v>
      </c>
      <c r="F23" s="34" t="s">
        <v>75</v>
      </c>
    </row>
    <row r="24" spans="2:8" ht="25.5" customHeight="1" x14ac:dyDescent="0.3">
      <c r="B24" s="5" t="s">
        <v>5</v>
      </c>
      <c r="C24" s="4" t="s">
        <v>6</v>
      </c>
      <c r="D24" s="28"/>
      <c r="E24" s="88"/>
      <c r="F24" s="37"/>
    </row>
    <row r="25" spans="2:8" ht="57" customHeight="1" x14ac:dyDescent="0.3">
      <c r="B25" s="2"/>
      <c r="C25" s="14" t="s">
        <v>7</v>
      </c>
      <c r="D25" s="21">
        <v>1200</v>
      </c>
      <c r="E25" s="88">
        <f t="shared" si="0"/>
        <v>2.4597220514081908</v>
      </c>
      <c r="F25" s="35" t="s">
        <v>53</v>
      </c>
    </row>
    <row r="26" spans="2:8" ht="15" thickBot="1" x14ac:dyDescent="0.35">
      <c r="B26" s="2"/>
      <c r="C26" s="8"/>
      <c r="D26" s="29"/>
      <c r="E26" s="88"/>
      <c r="F26" s="37"/>
    </row>
    <row r="27" spans="2:8" ht="16.2" thickBot="1" x14ac:dyDescent="0.35">
      <c r="B27" s="2"/>
      <c r="C27" s="6" t="s">
        <v>8</v>
      </c>
      <c r="D27" s="30">
        <f>SUM(D8:D25)</f>
        <v>48786</v>
      </c>
      <c r="E27" s="89">
        <f>+D27*100/$D$27</f>
        <v>100</v>
      </c>
      <c r="F27" s="49"/>
    </row>
    <row r="28" spans="2:8" x14ac:dyDescent="0.3">
      <c r="B28" s="2"/>
      <c r="C28" s="8"/>
      <c r="D28" s="13"/>
      <c r="E28" s="13"/>
      <c r="F28" s="9"/>
    </row>
    <row r="29" spans="2:8" ht="21.75" customHeight="1" x14ac:dyDescent="0.3">
      <c r="B29" s="2"/>
      <c r="C29" s="164" t="s">
        <v>117</v>
      </c>
      <c r="D29" s="162"/>
      <c r="E29" s="162"/>
      <c r="F29" s="9"/>
    </row>
    <row r="30" spans="2:8" ht="35.25" customHeight="1" x14ac:dyDescent="0.3">
      <c r="B30" s="2"/>
      <c r="C30" s="164" t="s">
        <v>9</v>
      </c>
      <c r="D30" s="165"/>
      <c r="E30" s="165"/>
      <c r="F30" s="10"/>
    </row>
    <row r="31" spans="2:8" ht="26.25" customHeight="1" x14ac:dyDescent="0.3">
      <c r="B31" s="2"/>
      <c r="C31" s="164" t="s">
        <v>85</v>
      </c>
      <c r="D31" s="165"/>
      <c r="E31" s="165"/>
      <c r="F31" s="10"/>
    </row>
    <row r="32" spans="2:8" ht="48" customHeight="1" x14ac:dyDescent="0.3">
      <c r="B32" s="2"/>
      <c r="C32" s="215" t="s">
        <v>184</v>
      </c>
      <c r="D32" s="216"/>
      <c r="E32" s="216"/>
      <c r="F32" s="10"/>
    </row>
    <row r="33" spans="2:6" ht="65.25" customHeight="1" thickBot="1" x14ac:dyDescent="0.35">
      <c r="B33" s="7"/>
      <c r="C33" s="211" t="s">
        <v>98</v>
      </c>
      <c r="D33" s="211"/>
      <c r="E33" s="211"/>
      <c r="F33" s="11"/>
    </row>
    <row r="34" spans="2:6" ht="15" customHeight="1" x14ac:dyDescent="0.3"/>
    <row r="35" spans="2:6" ht="15" x14ac:dyDescent="0.3">
      <c r="C35" s="71"/>
    </row>
    <row r="36" spans="2:6" ht="15" x14ac:dyDescent="0.3">
      <c r="C36" s="71"/>
    </row>
    <row r="37" spans="2:6" ht="15" x14ac:dyDescent="0.3">
      <c r="C37" s="71"/>
    </row>
    <row r="38" spans="2:6" ht="15" x14ac:dyDescent="0.3">
      <c r="C38" s="71"/>
    </row>
    <row r="39" spans="2:6" ht="15" x14ac:dyDescent="0.3">
      <c r="C39" s="71"/>
    </row>
    <row r="40" spans="2:6" ht="15" x14ac:dyDescent="0.3">
      <c r="C40" s="71"/>
    </row>
    <row r="41" spans="2:6" ht="15" x14ac:dyDescent="0.3">
      <c r="C41" s="71"/>
    </row>
    <row r="42" spans="2:6" ht="15" x14ac:dyDescent="0.3">
      <c r="C42" s="71"/>
    </row>
    <row r="43" spans="2:6" ht="15.6" x14ac:dyDescent="0.3">
      <c r="C43" s="72"/>
    </row>
    <row r="44" spans="2:6" ht="15.6" x14ac:dyDescent="0.3">
      <c r="C44" s="72"/>
    </row>
    <row r="45" spans="2:6" x14ac:dyDescent="0.3">
      <c r="C45" s="73"/>
    </row>
  </sheetData>
  <mergeCells count="5">
    <mergeCell ref="C2:F2"/>
    <mergeCell ref="C3:F3"/>
    <mergeCell ref="C32:E32"/>
    <mergeCell ref="C33:E33"/>
    <mergeCell ref="E5:E6"/>
  </mergeCells>
  <pageMargins left="0.7" right="0.7" top="0.75" bottom="0.75" header="0.3" footer="0.3"/>
  <pageSetup scale="56"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83300-FBBF-40D5-ADF4-C0376576892D}">
  <sheetPr>
    <tabColor rgb="FF92D050"/>
    <pageSetUpPr fitToPage="1"/>
  </sheetPr>
  <dimension ref="B1:F47"/>
  <sheetViews>
    <sheetView view="pageBreakPreview" topLeftCell="A6" zoomScale="95" zoomScaleNormal="100" zoomScaleSheetLayoutView="95" workbookViewId="0">
      <selection activeCell="F33" sqref="F33"/>
    </sheetView>
  </sheetViews>
  <sheetFormatPr defaultColWidth="11.5546875" defaultRowHeight="14.4" x14ac:dyDescent="0.3"/>
  <cols>
    <col min="1" max="1" width="4.44140625" customWidth="1"/>
    <col min="2" max="2" width="5.5546875" customWidth="1"/>
    <col min="3" max="3" width="32.33203125" customWidth="1"/>
    <col min="4" max="4" width="18.44140625" customWidth="1"/>
    <col min="5" max="5" width="18" customWidth="1"/>
    <col min="6" max="6" width="59.88671875" customWidth="1"/>
    <col min="7" max="7" width="5" customWidth="1"/>
  </cols>
  <sheetData>
    <row r="1" spans="2:6" ht="15" thickBot="1" x14ac:dyDescent="0.35"/>
    <row r="2" spans="2:6" ht="17.399999999999999" x14ac:dyDescent="0.3">
      <c r="B2" s="1"/>
      <c r="C2" s="197" t="s">
        <v>177</v>
      </c>
      <c r="D2" s="197"/>
      <c r="E2" s="197"/>
      <c r="F2" s="198"/>
    </row>
    <row r="3" spans="2:6" ht="15.6" x14ac:dyDescent="0.3">
      <c r="B3" s="2"/>
      <c r="C3" s="213" t="s">
        <v>168</v>
      </c>
      <c r="D3" s="213"/>
      <c r="E3" s="213"/>
      <c r="F3" s="214"/>
    </row>
    <row r="4" spans="2:6" ht="16.2" thickBot="1" x14ac:dyDescent="0.35">
      <c r="B4" s="2"/>
      <c r="C4" s="3"/>
      <c r="D4" s="8"/>
      <c r="E4" s="8"/>
      <c r="F4" s="9"/>
    </row>
    <row r="5" spans="2:6" ht="15.6" x14ac:dyDescent="0.3">
      <c r="B5" s="2"/>
      <c r="C5" s="4"/>
      <c r="D5" s="15" t="s">
        <v>95</v>
      </c>
      <c r="E5" s="217" t="s">
        <v>15</v>
      </c>
      <c r="F5" s="38" t="s">
        <v>10</v>
      </c>
    </row>
    <row r="6" spans="2:6" ht="16.2" thickBot="1" x14ac:dyDescent="0.35">
      <c r="B6" s="2"/>
      <c r="C6" s="8"/>
      <c r="D6" s="17" t="s">
        <v>0</v>
      </c>
      <c r="E6" s="218"/>
      <c r="F6" s="32"/>
    </row>
    <row r="7" spans="2:6" x14ac:dyDescent="0.3">
      <c r="B7" s="5" t="s">
        <v>1</v>
      </c>
      <c r="C7" s="4" t="s">
        <v>2</v>
      </c>
      <c r="D7" s="19"/>
      <c r="E7" s="84"/>
      <c r="F7" s="33"/>
    </row>
    <row r="8" spans="2:6" ht="33.75" customHeight="1" x14ac:dyDescent="0.3">
      <c r="B8" s="2"/>
      <c r="C8" s="14" t="s">
        <v>28</v>
      </c>
      <c r="D8" s="21">
        <f>1388.62+420</f>
        <v>1808.62</v>
      </c>
      <c r="E8" s="85">
        <f>+D8*100/D28</f>
        <v>3.1101221439417261</v>
      </c>
      <c r="F8" s="34" t="s">
        <v>29</v>
      </c>
    </row>
    <row r="9" spans="2:6" ht="28.2" x14ac:dyDescent="0.3">
      <c r="B9" s="2"/>
      <c r="C9" s="14" t="s">
        <v>30</v>
      </c>
      <c r="D9" s="21">
        <v>11200</v>
      </c>
      <c r="E9" s="85">
        <f>+D9*100/$D$28</f>
        <v>19.259638847379399</v>
      </c>
      <c r="F9" s="39" t="s">
        <v>195</v>
      </c>
    </row>
    <row r="10" spans="2:6" ht="29.25" customHeight="1" x14ac:dyDescent="0.3">
      <c r="B10" s="2"/>
      <c r="C10" s="14" t="s">
        <v>31</v>
      </c>
      <c r="D10" s="21">
        <v>330</v>
      </c>
      <c r="E10" s="85">
        <f>+D10*100/$D$28</f>
        <v>0.56747150175314309</v>
      </c>
      <c r="F10" s="34" t="s">
        <v>170</v>
      </c>
    </row>
    <row r="11" spans="2:6" x14ac:dyDescent="0.3">
      <c r="B11" s="2"/>
      <c r="C11" s="14" t="s">
        <v>33</v>
      </c>
      <c r="D11" s="21">
        <v>1602</v>
      </c>
      <c r="E11" s="85">
        <f>+D11*100/$D$28</f>
        <v>2.7548161994198037</v>
      </c>
      <c r="F11" s="35" t="s">
        <v>171</v>
      </c>
    </row>
    <row r="12" spans="2:6" ht="31.5" customHeight="1" x14ac:dyDescent="0.3">
      <c r="B12" s="2"/>
      <c r="C12" s="14" t="s">
        <v>92</v>
      </c>
      <c r="D12" s="21">
        <v>1000</v>
      </c>
      <c r="E12" s="85">
        <f>+D12*100/$D$28</f>
        <v>1.7196106113731608</v>
      </c>
      <c r="F12" s="35"/>
    </row>
    <row r="13" spans="2:6" x14ac:dyDescent="0.3">
      <c r="B13" s="2"/>
      <c r="C13" s="8"/>
      <c r="D13" s="24"/>
      <c r="E13" s="85"/>
      <c r="F13" s="36"/>
    </row>
    <row r="14" spans="2:6" x14ac:dyDescent="0.3">
      <c r="B14" s="5" t="s">
        <v>3</v>
      </c>
      <c r="C14" s="4" t="s">
        <v>4</v>
      </c>
      <c r="D14" s="25"/>
      <c r="E14" s="85"/>
      <c r="F14" s="36"/>
    </row>
    <row r="15" spans="2:6" ht="55.5" customHeight="1" x14ac:dyDescent="0.3">
      <c r="B15" s="2"/>
      <c r="C15" s="14" t="s">
        <v>35</v>
      </c>
      <c r="D15" s="21">
        <v>2500</v>
      </c>
      <c r="E15" s="85">
        <f t="shared" ref="E15:E26" si="0">+D15*100/$D$28</f>
        <v>4.2990265284329015</v>
      </c>
      <c r="F15" s="35" t="s">
        <v>184</v>
      </c>
    </row>
    <row r="16" spans="2:6" ht="29.25" customHeight="1" x14ac:dyDescent="0.3">
      <c r="B16" s="2"/>
      <c r="C16" s="14" t="s">
        <v>14</v>
      </c>
      <c r="D16" s="21">
        <f>420+1800+550</f>
        <v>2770</v>
      </c>
      <c r="E16" s="85">
        <f t="shared" si="0"/>
        <v>4.7633213935036549</v>
      </c>
      <c r="F16" s="34" t="s">
        <v>36</v>
      </c>
    </row>
    <row r="17" spans="2:6" ht="29.25" customHeight="1" x14ac:dyDescent="0.3">
      <c r="B17" s="2"/>
      <c r="C17" s="81" t="s">
        <v>19</v>
      </c>
      <c r="D17" s="21">
        <f>+(5.72*158.8)* 30</f>
        <v>27250.080000000002</v>
      </c>
      <c r="E17" s="85">
        <f t="shared" si="0"/>
        <v>46.859526728767541</v>
      </c>
      <c r="F17" s="34" t="s">
        <v>185</v>
      </c>
    </row>
    <row r="18" spans="2:6" ht="28.2" x14ac:dyDescent="0.3">
      <c r="B18" s="2"/>
      <c r="C18" s="14" t="s">
        <v>37</v>
      </c>
      <c r="D18" s="21">
        <v>400</v>
      </c>
      <c r="E18" s="85">
        <f t="shared" si="0"/>
        <v>0.68784424454926429</v>
      </c>
      <c r="F18" s="39" t="s">
        <v>38</v>
      </c>
    </row>
    <row r="19" spans="2:6" ht="30" customHeight="1" x14ac:dyDescent="0.3">
      <c r="B19" s="2"/>
      <c r="C19" s="14" t="s">
        <v>13</v>
      </c>
      <c r="D19" s="21">
        <v>1191</v>
      </c>
      <c r="E19" s="85">
        <f t="shared" si="0"/>
        <v>2.0480562381454344</v>
      </c>
      <c r="F19" s="34" t="s">
        <v>172</v>
      </c>
    </row>
    <row r="20" spans="2:6" ht="25.5" customHeight="1" x14ac:dyDescent="0.3">
      <c r="B20" s="2"/>
      <c r="C20" s="14" t="s">
        <v>12</v>
      </c>
      <c r="D20" s="26">
        <v>28</v>
      </c>
      <c r="E20" s="85">
        <f t="shared" si="0"/>
        <v>4.8149097118448503E-2</v>
      </c>
      <c r="F20" s="34" t="s">
        <v>40</v>
      </c>
    </row>
    <row r="21" spans="2:6" ht="24" customHeight="1" x14ac:dyDescent="0.3">
      <c r="B21" s="2"/>
      <c r="C21" s="8" t="s">
        <v>41</v>
      </c>
      <c r="D21" s="27">
        <v>300</v>
      </c>
      <c r="E21" s="85">
        <f t="shared" si="0"/>
        <v>0.51588318341194828</v>
      </c>
      <c r="F21" s="34" t="s">
        <v>42</v>
      </c>
    </row>
    <row r="22" spans="2:6" ht="24" customHeight="1" x14ac:dyDescent="0.3">
      <c r="B22" s="2"/>
      <c r="C22" s="8" t="s">
        <v>86</v>
      </c>
      <c r="D22" s="27">
        <v>650</v>
      </c>
      <c r="E22" s="85">
        <f t="shared" si="0"/>
        <v>1.1177468973925544</v>
      </c>
      <c r="F22" s="34" t="s">
        <v>173</v>
      </c>
    </row>
    <row r="23" spans="2:6" ht="24" customHeight="1" x14ac:dyDescent="0.3">
      <c r="B23" s="2"/>
      <c r="C23" s="8" t="s">
        <v>54</v>
      </c>
      <c r="D23" s="27">
        <v>2923</v>
      </c>
      <c r="E23" s="85">
        <f t="shared" si="0"/>
        <v>5.0264218170437491</v>
      </c>
      <c r="F23" s="34" t="s">
        <v>173</v>
      </c>
    </row>
    <row r="24" spans="2:6" ht="25.5" customHeight="1" x14ac:dyDescent="0.3">
      <c r="B24" s="5" t="s">
        <v>5</v>
      </c>
      <c r="C24" s="4" t="s">
        <v>6</v>
      </c>
      <c r="D24" s="28"/>
      <c r="E24" s="85">
        <f t="shared" si="0"/>
        <v>0</v>
      </c>
      <c r="F24" s="37"/>
    </row>
    <row r="25" spans="2:6" x14ac:dyDescent="0.3">
      <c r="B25" s="2"/>
      <c r="C25" s="14" t="s">
        <v>7</v>
      </c>
      <c r="D25" s="21">
        <v>1200</v>
      </c>
      <c r="E25" s="85">
        <f t="shared" si="0"/>
        <v>2.0635327336477931</v>
      </c>
      <c r="F25" s="35" t="s">
        <v>53</v>
      </c>
    </row>
    <row r="26" spans="2:6" ht="38.25" customHeight="1" x14ac:dyDescent="0.3">
      <c r="B26" s="2"/>
      <c r="C26" s="196" t="s">
        <v>186</v>
      </c>
      <c r="D26" s="21">
        <v>3000</v>
      </c>
      <c r="E26" s="85">
        <f t="shared" si="0"/>
        <v>5.1588318341194821</v>
      </c>
      <c r="F26" s="35" t="s">
        <v>187</v>
      </c>
    </row>
    <row r="27" spans="2:6" ht="15" thickBot="1" x14ac:dyDescent="0.35">
      <c r="B27" s="2"/>
      <c r="C27" s="8"/>
      <c r="D27" s="29"/>
      <c r="E27" s="85"/>
      <c r="F27" s="37"/>
    </row>
    <row r="28" spans="2:6" ht="16.2" thickBot="1" x14ac:dyDescent="0.35">
      <c r="B28" s="2"/>
      <c r="C28" s="6" t="s">
        <v>8</v>
      </c>
      <c r="D28" s="30">
        <f>SUM(D8:D27)</f>
        <v>58152.7</v>
      </c>
      <c r="E28" s="86">
        <f>+D28*100/$D$28</f>
        <v>100</v>
      </c>
      <c r="F28" s="49"/>
    </row>
    <row r="29" spans="2:6" x14ac:dyDescent="0.3">
      <c r="B29" s="2"/>
      <c r="C29" s="8"/>
      <c r="D29" s="13"/>
      <c r="E29" s="13"/>
      <c r="F29" s="9"/>
    </row>
    <row r="30" spans="2:6" ht="21.75" customHeight="1" x14ac:dyDescent="0.3">
      <c r="B30" s="2"/>
      <c r="C30" s="164" t="s">
        <v>174</v>
      </c>
      <c r="D30" s="162"/>
      <c r="E30" s="162"/>
      <c r="F30" s="9"/>
    </row>
    <row r="31" spans="2:6" ht="35.25" customHeight="1" x14ac:dyDescent="0.3">
      <c r="B31" s="2"/>
      <c r="C31" s="164" t="s">
        <v>9</v>
      </c>
      <c r="D31" s="165"/>
      <c r="E31" s="165"/>
      <c r="F31" s="10"/>
    </row>
    <row r="32" spans="2:6" ht="26.25" customHeight="1" x14ac:dyDescent="0.3">
      <c r="B32" s="2"/>
      <c r="C32" s="164" t="s">
        <v>85</v>
      </c>
      <c r="D32" s="165"/>
      <c r="E32" s="165"/>
      <c r="F32" s="10"/>
    </row>
    <row r="33" spans="2:6" ht="44.25" customHeight="1" x14ac:dyDescent="0.3">
      <c r="B33" s="2"/>
      <c r="C33" s="215" t="s">
        <v>184</v>
      </c>
      <c r="D33" s="216"/>
      <c r="E33" s="216"/>
      <c r="F33" s="10"/>
    </row>
    <row r="34" spans="2:6" ht="15" customHeight="1" x14ac:dyDescent="0.3">
      <c r="B34" s="2"/>
      <c r="C34" s="221" t="s">
        <v>98</v>
      </c>
      <c r="D34" s="221"/>
      <c r="E34" s="221"/>
      <c r="F34" s="10"/>
    </row>
    <row r="35" spans="2:6" ht="15" thickBot="1" x14ac:dyDescent="0.35">
      <c r="B35" s="7"/>
      <c r="C35" s="211" t="s">
        <v>175</v>
      </c>
      <c r="D35" s="211"/>
      <c r="E35" s="211"/>
      <c r="F35" s="11"/>
    </row>
    <row r="36" spans="2:6" ht="15.75" customHeight="1" x14ac:dyDescent="0.3"/>
    <row r="37" spans="2:6" ht="15" x14ac:dyDescent="0.3">
      <c r="C37" s="71"/>
    </row>
    <row r="38" spans="2:6" ht="15" x14ac:dyDescent="0.3">
      <c r="C38" s="71"/>
    </row>
    <row r="39" spans="2:6" ht="15" x14ac:dyDescent="0.3">
      <c r="C39" s="71"/>
    </row>
    <row r="40" spans="2:6" ht="15" x14ac:dyDescent="0.3">
      <c r="C40" s="71"/>
    </row>
    <row r="41" spans="2:6" ht="15" x14ac:dyDescent="0.3">
      <c r="C41" s="71"/>
    </row>
    <row r="42" spans="2:6" ht="15" x14ac:dyDescent="0.3">
      <c r="C42" s="71"/>
    </row>
    <row r="43" spans="2:6" ht="15" x14ac:dyDescent="0.3">
      <c r="C43" s="71"/>
    </row>
    <row r="44" spans="2:6" ht="15" x14ac:dyDescent="0.3">
      <c r="C44" s="71"/>
    </row>
    <row r="45" spans="2:6" ht="15.6" x14ac:dyDescent="0.3">
      <c r="C45" s="72"/>
    </row>
    <row r="46" spans="2:6" ht="15.6" x14ac:dyDescent="0.3">
      <c r="C46" s="72"/>
    </row>
    <row r="47" spans="2:6" x14ac:dyDescent="0.3">
      <c r="C47" s="73"/>
    </row>
  </sheetData>
  <mergeCells count="6">
    <mergeCell ref="C35:E35"/>
    <mergeCell ref="C2:F2"/>
    <mergeCell ref="C3:F3"/>
    <mergeCell ref="E5:E6"/>
    <mergeCell ref="C33:E33"/>
    <mergeCell ref="C34:E34"/>
  </mergeCells>
  <pageMargins left="0.70866141732283472" right="0.70866141732283472" top="0.74803149606299213" bottom="0.74803149606299213" header="0.31496062992125984" footer="0.31496062992125984"/>
  <pageSetup paperSize="9" scale="60"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B3:F41"/>
  <sheetViews>
    <sheetView tabSelected="1" view="pageBreakPreview" topLeftCell="A17" zoomScale="90" zoomScaleNormal="100" zoomScaleSheetLayoutView="90" workbookViewId="0">
      <selection activeCell="Q20" sqref="Q20"/>
    </sheetView>
  </sheetViews>
  <sheetFormatPr defaultColWidth="11.5546875" defaultRowHeight="14.4" x14ac:dyDescent="0.3"/>
  <cols>
    <col min="1" max="1" width="7" customWidth="1"/>
    <col min="2" max="2" width="5.5546875" customWidth="1"/>
    <col min="3" max="3" width="32.33203125" customWidth="1"/>
    <col min="4" max="5" width="18.44140625" customWidth="1"/>
    <col min="6" max="6" width="68.109375" customWidth="1"/>
  </cols>
  <sheetData>
    <row r="3" spans="2:6" ht="15" thickBot="1" x14ac:dyDescent="0.35"/>
    <row r="4" spans="2:6" ht="33" customHeight="1" x14ac:dyDescent="0.3">
      <c r="B4" s="1"/>
      <c r="C4" s="197" t="s">
        <v>169</v>
      </c>
      <c r="D4" s="197"/>
      <c r="E4" s="197"/>
      <c r="F4" s="198"/>
    </row>
    <row r="5" spans="2:6" ht="17.399999999999999" x14ac:dyDescent="0.3">
      <c r="B5" s="2"/>
      <c r="C5" s="199" t="s">
        <v>115</v>
      </c>
      <c r="D5" s="199"/>
      <c r="E5" s="199"/>
      <c r="F5" s="200"/>
    </row>
    <row r="6" spans="2:6" ht="16.2" thickBot="1" x14ac:dyDescent="0.35">
      <c r="B6" s="2"/>
      <c r="C6" s="3"/>
      <c r="D6" s="8"/>
      <c r="E6" s="8"/>
      <c r="F6" s="9"/>
    </row>
    <row r="7" spans="2:6" ht="15.6" x14ac:dyDescent="0.3">
      <c r="B7" s="2"/>
      <c r="C7" s="4"/>
      <c r="D7" s="15" t="s">
        <v>95</v>
      </c>
      <c r="E7" s="222" t="s">
        <v>15</v>
      </c>
      <c r="F7" s="38" t="s">
        <v>10</v>
      </c>
    </row>
    <row r="8" spans="2:6" ht="16.2" thickBot="1" x14ac:dyDescent="0.35">
      <c r="B8" s="2"/>
      <c r="C8" s="8"/>
      <c r="D8" s="17" t="s">
        <v>0</v>
      </c>
      <c r="E8" s="223"/>
      <c r="F8" s="32"/>
    </row>
    <row r="9" spans="2:6" x14ac:dyDescent="0.3">
      <c r="B9" s="5" t="s">
        <v>1</v>
      </c>
      <c r="C9" s="4" t="s">
        <v>2</v>
      </c>
      <c r="D9" s="50"/>
      <c r="E9" s="90"/>
      <c r="F9" s="33"/>
    </row>
    <row r="10" spans="2:6" ht="33.75" customHeight="1" x14ac:dyDescent="0.3">
      <c r="B10" s="2"/>
      <c r="C10" s="14" t="s">
        <v>28</v>
      </c>
      <c r="D10" s="21">
        <f>1353+450</f>
        <v>1803</v>
      </c>
      <c r="E10" s="88">
        <f>+D10*100/D29</f>
        <v>2.0786832930586043</v>
      </c>
      <c r="F10" s="34" t="s">
        <v>29</v>
      </c>
    </row>
    <row r="11" spans="2:6" ht="29.25" customHeight="1" x14ac:dyDescent="0.3">
      <c r="B11" s="2"/>
      <c r="C11" s="14" t="s">
        <v>30</v>
      </c>
      <c r="D11" s="21">
        <f>26000+5960+6500</f>
        <v>38460</v>
      </c>
      <c r="E11" s="88">
        <f>+D11*100/$D$29</f>
        <v>44.340631975060411</v>
      </c>
      <c r="F11" s="34" t="s">
        <v>74</v>
      </c>
    </row>
    <row r="12" spans="2:6" ht="29.25" customHeight="1" x14ac:dyDescent="0.3">
      <c r="B12" s="2"/>
      <c r="C12" s="14" t="s">
        <v>31</v>
      </c>
      <c r="D12" s="21">
        <v>330</v>
      </c>
      <c r="E12" s="88">
        <f>+D12*100/$D$29</f>
        <v>0.38045784065964472</v>
      </c>
      <c r="F12" s="34" t="s">
        <v>32</v>
      </c>
    </row>
    <row r="13" spans="2:6" ht="31.5" customHeight="1" x14ac:dyDescent="0.3">
      <c r="B13" s="2"/>
      <c r="C13" s="14" t="s">
        <v>33</v>
      </c>
      <c r="D13" s="21">
        <v>2350</v>
      </c>
      <c r="E13" s="88">
        <f t="shared" ref="E13:E28" si="0">+D13*100/$D$29</f>
        <v>2.7093209865156518</v>
      </c>
      <c r="F13" s="35" t="s">
        <v>43</v>
      </c>
    </row>
    <row r="14" spans="2:6" x14ac:dyDescent="0.3">
      <c r="B14" s="2"/>
      <c r="C14" s="8" t="s">
        <v>199</v>
      </c>
      <c r="D14" s="24">
        <v>1000</v>
      </c>
      <c r="E14" s="88">
        <f t="shared" si="0"/>
        <v>1.1529025474534689</v>
      </c>
      <c r="F14" s="36"/>
    </row>
    <row r="15" spans="2:6" x14ac:dyDescent="0.3">
      <c r="B15" s="5" t="s">
        <v>3</v>
      </c>
      <c r="C15" s="4" t="s">
        <v>4</v>
      </c>
      <c r="D15" s="51"/>
      <c r="E15" s="88">
        <f t="shared" si="0"/>
        <v>0</v>
      </c>
      <c r="F15" s="36"/>
    </row>
    <row r="16" spans="2:6" ht="32.25" customHeight="1" x14ac:dyDescent="0.3">
      <c r="B16" s="2"/>
      <c r="C16" s="14" t="s">
        <v>35</v>
      </c>
      <c r="D16" s="21">
        <v>2500</v>
      </c>
      <c r="E16" s="88">
        <f t="shared" si="0"/>
        <v>2.882256368633672</v>
      </c>
      <c r="F16" s="34" t="s">
        <v>188</v>
      </c>
    </row>
    <row r="17" spans="2:6" ht="32.25" customHeight="1" x14ac:dyDescent="0.3">
      <c r="B17" s="2"/>
      <c r="C17" s="81" t="s">
        <v>19</v>
      </c>
      <c r="D17" s="21">
        <f>71.92*32</f>
        <v>2301.44</v>
      </c>
      <c r="E17" s="88">
        <f t="shared" si="0"/>
        <v>2.653336038811311</v>
      </c>
      <c r="F17" s="34" t="s">
        <v>198</v>
      </c>
    </row>
    <row r="18" spans="2:6" ht="29.25" customHeight="1" x14ac:dyDescent="0.3">
      <c r="B18" s="2"/>
      <c r="C18" s="14" t="s">
        <v>73</v>
      </c>
      <c r="D18" s="21">
        <f>2800+1440+2763.16+430</f>
        <v>7433.16</v>
      </c>
      <c r="E18" s="88">
        <f t="shared" si="0"/>
        <v>8.5697090996292253</v>
      </c>
      <c r="F18" s="34" t="s">
        <v>44</v>
      </c>
    </row>
    <row r="19" spans="2:6" ht="37.5" customHeight="1" x14ac:dyDescent="0.3">
      <c r="B19" s="2"/>
      <c r="C19" s="14" t="s">
        <v>37</v>
      </c>
      <c r="D19" s="21">
        <v>760</v>
      </c>
      <c r="E19" s="88">
        <f t="shared" si="0"/>
        <v>0.87620593606463626</v>
      </c>
      <c r="F19" s="35" t="s">
        <v>84</v>
      </c>
    </row>
    <row r="20" spans="2:6" ht="30" customHeight="1" x14ac:dyDescent="0.3">
      <c r="B20" s="2"/>
      <c r="C20" s="14" t="s">
        <v>71</v>
      </c>
      <c r="D20" s="21">
        <v>18000</v>
      </c>
      <c r="E20" s="88">
        <f t="shared" si="0"/>
        <v>20.752245854162439</v>
      </c>
      <c r="F20" s="34" t="s">
        <v>72</v>
      </c>
    </row>
    <row r="21" spans="2:6" ht="25.5" customHeight="1" x14ac:dyDescent="0.3">
      <c r="B21" s="2"/>
      <c r="C21" s="14" t="s">
        <v>12</v>
      </c>
      <c r="D21" s="26">
        <v>20</v>
      </c>
      <c r="E21" s="88">
        <f t="shared" si="0"/>
        <v>2.3058050949069375E-2</v>
      </c>
      <c r="F21" s="34" t="s">
        <v>40</v>
      </c>
    </row>
    <row r="22" spans="2:6" ht="24" customHeight="1" x14ac:dyDescent="0.3">
      <c r="B22" s="2"/>
      <c r="C22" s="8" t="s">
        <v>41</v>
      </c>
      <c r="D22" s="27">
        <v>130</v>
      </c>
      <c r="E22" s="88">
        <f t="shared" si="0"/>
        <v>0.14987733116895094</v>
      </c>
      <c r="F22" s="34" t="s">
        <v>11</v>
      </c>
    </row>
    <row r="23" spans="2:6" ht="24" customHeight="1" x14ac:dyDescent="0.3">
      <c r="B23" s="2"/>
      <c r="C23" s="8" t="s">
        <v>45</v>
      </c>
      <c r="D23" s="27">
        <v>2000</v>
      </c>
      <c r="E23" s="88">
        <f t="shared" si="0"/>
        <v>2.3058050949069377</v>
      </c>
      <c r="F23" s="34" t="s">
        <v>46</v>
      </c>
    </row>
    <row r="24" spans="2:6" ht="24" customHeight="1" x14ac:dyDescent="0.3">
      <c r="B24" s="2"/>
      <c r="C24" s="8" t="s">
        <v>118</v>
      </c>
      <c r="D24" s="27">
        <v>6000</v>
      </c>
      <c r="E24" s="88">
        <f t="shared" si="0"/>
        <v>6.9174152847208124</v>
      </c>
      <c r="F24" s="34" t="s">
        <v>119</v>
      </c>
    </row>
    <row r="25" spans="2:6" ht="25.5" customHeight="1" x14ac:dyDescent="0.3">
      <c r="B25" s="5" t="s">
        <v>5</v>
      </c>
      <c r="C25" s="4" t="s">
        <v>6</v>
      </c>
      <c r="D25" s="47"/>
      <c r="E25" s="88">
        <f t="shared" si="0"/>
        <v>0</v>
      </c>
      <c r="F25" s="37"/>
    </row>
    <row r="26" spans="2:6" ht="25.5" customHeight="1" x14ac:dyDescent="0.3">
      <c r="B26" s="5"/>
      <c r="C26" s="186" t="s">
        <v>54</v>
      </c>
      <c r="D26" s="47">
        <v>2450</v>
      </c>
      <c r="E26" s="88">
        <f t="shared" si="0"/>
        <v>2.8246112412609987</v>
      </c>
      <c r="F26" s="36" t="s">
        <v>29</v>
      </c>
    </row>
    <row r="27" spans="2:6" ht="27.75" customHeight="1" x14ac:dyDescent="0.3">
      <c r="B27" s="2"/>
      <c r="C27" s="14" t="s">
        <v>7</v>
      </c>
      <c r="D27" s="21">
        <v>1200</v>
      </c>
      <c r="E27" s="88">
        <f t="shared" si="0"/>
        <v>1.3834830569441625</v>
      </c>
      <c r="F27" s="35" t="s">
        <v>52</v>
      </c>
    </row>
    <row r="28" spans="2:6" ht="15" thickBot="1" x14ac:dyDescent="0.35">
      <c r="B28" s="2"/>
      <c r="C28" s="8"/>
      <c r="D28" s="29"/>
      <c r="E28" s="88">
        <f t="shared" si="0"/>
        <v>0</v>
      </c>
      <c r="F28" s="37"/>
    </row>
    <row r="29" spans="2:6" ht="16.2" thickBot="1" x14ac:dyDescent="0.35">
      <c r="B29" s="2"/>
      <c r="C29" s="6" t="s">
        <v>8</v>
      </c>
      <c r="D29" s="52">
        <f>SUM(D10:D28)</f>
        <v>86737.600000000006</v>
      </c>
      <c r="E29" s="89">
        <f>+D29*100/$D$29</f>
        <v>100</v>
      </c>
      <c r="F29" s="49"/>
    </row>
    <row r="30" spans="2:6" x14ac:dyDescent="0.3">
      <c r="B30" s="2"/>
      <c r="C30" s="8"/>
      <c r="D30" s="13"/>
      <c r="E30" s="13"/>
      <c r="F30" s="9"/>
    </row>
    <row r="31" spans="2:6" ht="21.75" customHeight="1" x14ac:dyDescent="0.3">
      <c r="B31" s="2"/>
      <c r="C31" s="8"/>
      <c r="D31" s="13"/>
      <c r="E31" s="13"/>
      <c r="F31" s="9"/>
    </row>
    <row r="32" spans="2:6" ht="35.25" customHeight="1" x14ac:dyDescent="0.3">
      <c r="B32" s="2"/>
      <c r="C32" s="164" t="s">
        <v>174</v>
      </c>
      <c r="D32" s="162"/>
      <c r="E32" s="162"/>
      <c r="F32" s="178"/>
    </row>
    <row r="33" spans="2:6" ht="26.25" customHeight="1" x14ac:dyDescent="0.3">
      <c r="B33" s="2"/>
      <c r="C33" s="164" t="s">
        <v>9</v>
      </c>
      <c r="D33" s="165"/>
      <c r="E33" s="165"/>
      <c r="F33" s="178"/>
    </row>
    <row r="34" spans="2:6" ht="26.25" customHeight="1" x14ac:dyDescent="0.3">
      <c r="B34" s="2"/>
      <c r="C34" s="164" t="s">
        <v>85</v>
      </c>
      <c r="D34" s="165"/>
      <c r="E34" s="165"/>
      <c r="F34" s="178"/>
    </row>
    <row r="35" spans="2:6" ht="39" customHeight="1" x14ac:dyDescent="0.3">
      <c r="B35" s="2"/>
      <c r="C35" s="215" t="s">
        <v>184</v>
      </c>
      <c r="D35" s="216"/>
      <c r="E35" s="216"/>
      <c r="F35" s="178"/>
    </row>
    <row r="36" spans="2:6" ht="39.75" customHeight="1" x14ac:dyDescent="0.3">
      <c r="B36" s="2"/>
      <c r="C36" s="221" t="s">
        <v>98</v>
      </c>
      <c r="D36" s="221"/>
      <c r="E36" s="221"/>
      <c r="F36" s="178"/>
    </row>
    <row r="37" spans="2:6" ht="26.25" customHeight="1" thickBot="1" x14ac:dyDescent="0.35">
      <c r="B37" s="7"/>
      <c r="C37" s="211" t="s">
        <v>175</v>
      </c>
      <c r="D37" s="211"/>
      <c r="E37" s="211"/>
      <c r="F37" s="179"/>
    </row>
    <row r="38" spans="2:6" ht="15" customHeight="1" x14ac:dyDescent="0.3">
      <c r="F38" s="93"/>
    </row>
    <row r="39" spans="2:6" x14ac:dyDescent="0.3">
      <c r="F39" s="93"/>
    </row>
    <row r="40" spans="2:6" x14ac:dyDescent="0.3">
      <c r="F40" s="93"/>
    </row>
    <row r="41" spans="2:6" x14ac:dyDescent="0.3">
      <c r="F41" s="93"/>
    </row>
  </sheetData>
  <mergeCells count="6">
    <mergeCell ref="C37:E37"/>
    <mergeCell ref="C4:F4"/>
    <mergeCell ref="C5:F5"/>
    <mergeCell ref="C35:E35"/>
    <mergeCell ref="E7:E8"/>
    <mergeCell ref="C36:E36"/>
  </mergeCells>
  <pageMargins left="0.51181102362204722" right="0.31496062992125984" top="0.74803149606299213" bottom="0.74803149606299213" header="0.31496062992125984" footer="0.31496062992125984"/>
  <pageSetup paperSize="9" scale="58"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69CCC4-ABD6-49FB-B6E0-40164C9645B9}">
  <sheetPr>
    <tabColor theme="5" tint="0.79998168889431442"/>
  </sheetPr>
  <dimension ref="A1:G31"/>
  <sheetViews>
    <sheetView view="pageBreakPreview" zoomScale="70" zoomScaleNormal="80" zoomScaleSheetLayoutView="70" workbookViewId="0">
      <selection activeCell="D14" sqref="D14"/>
    </sheetView>
  </sheetViews>
  <sheetFormatPr defaultColWidth="11.5546875" defaultRowHeight="14.4" x14ac:dyDescent="0.3"/>
  <cols>
    <col min="2" max="2" width="30.5546875" customWidth="1"/>
    <col min="3" max="3" width="31.33203125" customWidth="1"/>
    <col min="4" max="4" width="37.5546875" customWidth="1"/>
    <col min="5" max="5" width="27.6640625" customWidth="1"/>
    <col min="6" max="6" width="24.5546875" customWidth="1"/>
  </cols>
  <sheetData>
    <row r="1" spans="1:7" x14ac:dyDescent="0.3">
      <c r="A1" s="75"/>
      <c r="B1" s="75"/>
      <c r="C1" s="75"/>
      <c r="D1" s="75"/>
      <c r="E1" s="75"/>
      <c r="F1" s="75"/>
      <c r="G1" s="75"/>
    </row>
    <row r="2" spans="1:7" ht="45" customHeight="1" x14ac:dyDescent="0.3">
      <c r="A2" s="75"/>
      <c r="B2" s="75"/>
      <c r="C2" s="75"/>
      <c r="D2" s="75"/>
      <c r="E2" s="75"/>
      <c r="F2" s="75"/>
      <c r="G2" s="75"/>
    </row>
    <row r="3" spans="1:7" ht="25.8" x14ac:dyDescent="0.5">
      <c r="A3" s="75"/>
      <c r="B3" s="77" t="s">
        <v>120</v>
      </c>
      <c r="C3" s="77"/>
      <c r="D3" s="77"/>
      <c r="E3" s="75"/>
      <c r="F3" s="75"/>
      <c r="G3" s="75"/>
    </row>
    <row r="4" spans="1:7" ht="21.6" thickBot="1" x14ac:dyDescent="0.45">
      <c r="A4" s="75"/>
      <c r="B4" s="76"/>
      <c r="C4" s="74"/>
      <c r="D4" s="74"/>
      <c r="E4" s="75"/>
      <c r="F4" s="75"/>
      <c r="G4" s="75"/>
    </row>
    <row r="5" spans="1:7" ht="46.8" x14ac:dyDescent="0.3">
      <c r="A5" s="75"/>
      <c r="B5" s="227" t="s">
        <v>97</v>
      </c>
      <c r="C5" s="229"/>
      <c r="D5" s="82" t="s">
        <v>124</v>
      </c>
      <c r="E5" s="82" t="s">
        <v>125</v>
      </c>
      <c r="F5" s="82" t="s">
        <v>61</v>
      </c>
      <c r="G5" s="75"/>
    </row>
    <row r="6" spans="1:7" ht="23.4" x14ac:dyDescent="0.3">
      <c r="A6" s="75"/>
      <c r="B6" s="228" t="s">
        <v>78</v>
      </c>
      <c r="C6" s="230"/>
      <c r="D6" s="92" t="s">
        <v>91</v>
      </c>
      <c r="E6" s="92" t="s">
        <v>91</v>
      </c>
      <c r="F6" s="91"/>
      <c r="G6" s="75"/>
    </row>
    <row r="7" spans="1:7" ht="24" thickBot="1" x14ac:dyDescent="0.35">
      <c r="A7" s="75"/>
      <c r="B7" s="237" t="s">
        <v>58</v>
      </c>
      <c r="C7" s="238"/>
      <c r="D7" s="103" t="s">
        <v>57</v>
      </c>
      <c r="E7" s="103" t="s">
        <v>57</v>
      </c>
      <c r="F7" s="103" t="s">
        <v>57</v>
      </c>
      <c r="G7" s="75"/>
    </row>
    <row r="8" spans="1:7" ht="53.25" customHeight="1" x14ac:dyDescent="0.3">
      <c r="A8" s="75"/>
      <c r="B8" s="239" t="s">
        <v>126</v>
      </c>
      <c r="C8" s="240"/>
      <c r="D8" s="105">
        <v>5800</v>
      </c>
      <c r="E8" s="108">
        <v>6000</v>
      </c>
      <c r="F8" s="105">
        <v>15268</v>
      </c>
      <c r="G8" s="75"/>
    </row>
    <row r="9" spans="1:7" ht="46.5" customHeight="1" x14ac:dyDescent="0.3">
      <c r="A9" s="75"/>
      <c r="B9" s="224" t="s">
        <v>59</v>
      </c>
      <c r="C9" s="232"/>
      <c r="D9" s="106">
        <v>3000</v>
      </c>
      <c r="E9" s="104"/>
      <c r="F9" s="106">
        <v>20000</v>
      </c>
      <c r="G9" s="75"/>
    </row>
    <row r="10" spans="1:7" ht="48.75" customHeight="1" x14ac:dyDescent="0.3">
      <c r="A10" s="75"/>
      <c r="B10" s="224" t="s">
        <v>80</v>
      </c>
      <c r="C10" s="232"/>
      <c r="D10" s="106">
        <v>4685.54</v>
      </c>
      <c r="E10" s="104"/>
      <c r="F10" s="106"/>
      <c r="G10" s="75"/>
    </row>
    <row r="11" spans="1:7" ht="45.75" customHeight="1" x14ac:dyDescent="0.3">
      <c r="A11" s="75"/>
      <c r="B11" s="224" t="s">
        <v>60</v>
      </c>
      <c r="C11" s="232"/>
      <c r="D11" s="106">
        <v>5946</v>
      </c>
      <c r="E11" s="104"/>
      <c r="F11" s="106">
        <v>9200</v>
      </c>
      <c r="G11" s="75"/>
    </row>
    <row r="12" spans="1:7" ht="51" customHeight="1" x14ac:dyDescent="0.3">
      <c r="A12" s="75"/>
      <c r="B12" s="226" t="s">
        <v>67</v>
      </c>
      <c r="C12" s="233"/>
      <c r="D12" s="106">
        <v>1436.5</v>
      </c>
      <c r="E12" s="104"/>
      <c r="F12" s="111"/>
      <c r="G12" s="75"/>
    </row>
    <row r="13" spans="1:7" ht="24" thickBot="1" x14ac:dyDescent="0.35">
      <c r="A13" s="75"/>
      <c r="B13" s="234"/>
      <c r="C13" s="235"/>
      <c r="D13" s="107"/>
      <c r="E13" s="109"/>
      <c r="F13" s="112"/>
      <c r="G13" s="75"/>
    </row>
    <row r="14" spans="1:7" ht="24" thickBot="1" x14ac:dyDescent="0.4">
      <c r="A14" s="75"/>
      <c r="B14" s="225" t="s">
        <v>121</v>
      </c>
      <c r="C14" s="236"/>
      <c r="D14" s="97">
        <f>SUM(D8:D12)</f>
        <v>20868.04</v>
      </c>
      <c r="E14" s="110">
        <f>SUM(E8:E12)</f>
        <v>6000</v>
      </c>
      <c r="F14" s="113">
        <v>24468</v>
      </c>
      <c r="G14" s="75"/>
    </row>
    <row r="15" spans="1:7" ht="25.8" x14ac:dyDescent="0.5">
      <c r="A15" s="75"/>
      <c r="B15" s="75"/>
      <c r="C15" s="75"/>
      <c r="D15" s="75"/>
      <c r="E15" s="75"/>
      <c r="F15" s="96"/>
      <c r="G15" s="75"/>
    </row>
    <row r="16" spans="1:7" ht="16.5" customHeight="1" x14ac:dyDescent="0.3">
      <c r="A16" s="75"/>
      <c r="B16" s="75"/>
      <c r="C16" s="75"/>
      <c r="D16" s="75"/>
      <c r="E16" s="75"/>
      <c r="F16" s="75"/>
      <c r="G16" s="75"/>
    </row>
    <row r="17" spans="1:7" x14ac:dyDescent="0.3">
      <c r="A17" s="75"/>
      <c r="B17" s="98" t="s">
        <v>130</v>
      </c>
      <c r="C17" s="99"/>
      <c r="D17" s="75"/>
      <c r="E17" s="75"/>
      <c r="F17" s="75"/>
      <c r="G17" s="75"/>
    </row>
    <row r="18" spans="1:7" x14ac:dyDescent="0.3">
      <c r="A18" s="75"/>
      <c r="B18" s="100" t="s">
        <v>129</v>
      </c>
      <c r="C18" s="99"/>
      <c r="D18" s="75"/>
      <c r="E18" s="75"/>
      <c r="F18" s="75"/>
      <c r="G18" s="75"/>
    </row>
    <row r="19" spans="1:7" x14ac:dyDescent="0.3">
      <c r="A19" s="75"/>
      <c r="B19" s="231" t="s">
        <v>127</v>
      </c>
      <c r="C19" s="231"/>
      <c r="D19" s="75"/>
      <c r="E19" s="75"/>
      <c r="F19" s="75"/>
      <c r="G19" s="75"/>
    </row>
    <row r="20" spans="1:7" x14ac:dyDescent="0.3">
      <c r="A20" s="75"/>
      <c r="B20" s="231" t="s">
        <v>128</v>
      </c>
      <c r="C20" s="231"/>
      <c r="D20" s="75"/>
      <c r="E20" s="75"/>
      <c r="F20" s="75"/>
      <c r="G20" s="75"/>
    </row>
    <row r="21" spans="1:7" x14ac:dyDescent="0.3">
      <c r="A21" s="75"/>
      <c r="B21" s="75"/>
      <c r="C21" s="75"/>
      <c r="D21" s="75"/>
      <c r="E21" s="75"/>
      <c r="F21" s="75"/>
      <c r="G21" s="75"/>
    </row>
    <row r="22" spans="1:7" x14ac:dyDescent="0.3">
      <c r="A22" s="75"/>
      <c r="B22" s="101" t="s">
        <v>123</v>
      </c>
      <c r="C22" s="75"/>
      <c r="D22" s="75"/>
      <c r="E22" s="75"/>
      <c r="F22" s="75"/>
      <c r="G22" s="75"/>
    </row>
    <row r="23" spans="1:7" x14ac:dyDescent="0.3">
      <c r="A23" s="75"/>
      <c r="B23" s="102" t="s">
        <v>122</v>
      </c>
      <c r="C23" s="75"/>
      <c r="D23" s="75"/>
      <c r="E23" s="75"/>
      <c r="F23" s="75"/>
      <c r="G23" s="75"/>
    </row>
    <row r="24" spans="1:7" x14ac:dyDescent="0.3">
      <c r="A24" s="75"/>
      <c r="B24" s="75"/>
      <c r="C24" s="75"/>
      <c r="D24" s="75"/>
      <c r="E24" s="75"/>
      <c r="F24" s="75"/>
      <c r="G24" s="75"/>
    </row>
    <row r="25" spans="1:7" x14ac:dyDescent="0.3">
      <c r="A25" s="75"/>
      <c r="B25" s="75"/>
      <c r="C25" s="75"/>
      <c r="D25" s="75"/>
      <c r="E25" s="75"/>
      <c r="F25" s="75"/>
      <c r="G25" s="75"/>
    </row>
    <row r="26" spans="1:7" x14ac:dyDescent="0.3">
      <c r="A26" s="75"/>
      <c r="B26" s="75"/>
      <c r="C26" s="75"/>
      <c r="D26" s="75"/>
      <c r="E26" s="75"/>
      <c r="F26" s="75"/>
      <c r="G26" s="75"/>
    </row>
    <row r="29" spans="1:7" ht="23.25" customHeight="1" x14ac:dyDescent="0.3"/>
    <row r="31" spans="1:7" ht="23.25" customHeight="1" x14ac:dyDescent="0.3"/>
  </sheetData>
  <mergeCells count="12">
    <mergeCell ref="B5:C5"/>
    <mergeCell ref="B6:C6"/>
    <mergeCell ref="B7:C7"/>
    <mergeCell ref="B8:C8"/>
    <mergeCell ref="B19:C19"/>
    <mergeCell ref="B20:C20"/>
    <mergeCell ref="B9:C9"/>
    <mergeCell ref="B10:C10"/>
    <mergeCell ref="B11:C11"/>
    <mergeCell ref="B12:C12"/>
    <mergeCell ref="B13:C13"/>
    <mergeCell ref="B14:C14"/>
  </mergeCells>
  <pageMargins left="0.7" right="0.7" top="0.75" bottom="0.75" header="0.3" footer="0.3"/>
  <pageSetup scale="51" orientation="portrait" horizontalDpi="300" verticalDpi="3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ACB159-0C8E-4087-A994-5B88975AE6FF}">
  <sheetPr>
    <pageSetUpPr fitToPage="1"/>
  </sheetPr>
  <dimension ref="A1:G28"/>
  <sheetViews>
    <sheetView view="pageBreakPreview" zoomScale="60" zoomScaleNormal="70" workbookViewId="0">
      <selection activeCell="E17" sqref="E17"/>
    </sheetView>
  </sheetViews>
  <sheetFormatPr defaultColWidth="11.5546875" defaultRowHeight="14.4" x14ac:dyDescent="0.3"/>
  <cols>
    <col min="1" max="1" width="101.5546875" customWidth="1"/>
    <col min="2" max="2" width="2.6640625" customWidth="1"/>
    <col min="3" max="4" width="19.6640625" bestFit="1" customWidth="1"/>
    <col min="5" max="5" width="24.33203125" customWidth="1"/>
    <col min="6" max="6" width="19.6640625" bestFit="1" customWidth="1"/>
  </cols>
  <sheetData>
    <row r="1" spans="1:7" ht="24.6" x14ac:dyDescent="0.4">
      <c r="A1" s="114" t="s">
        <v>144</v>
      </c>
      <c r="B1" s="74"/>
      <c r="C1" s="74"/>
      <c r="D1" s="74"/>
      <c r="E1" s="74"/>
      <c r="F1" s="75"/>
      <c r="G1" s="75"/>
    </row>
    <row r="2" spans="1:7" ht="15.6" x14ac:dyDescent="0.3">
      <c r="A2" s="115" t="s">
        <v>145</v>
      </c>
      <c r="B2" s="75"/>
      <c r="C2" s="75"/>
      <c r="D2" s="75"/>
      <c r="E2" s="75"/>
      <c r="F2" s="75"/>
      <c r="G2" s="75"/>
    </row>
    <row r="3" spans="1:7" x14ac:dyDescent="0.3">
      <c r="A3" s="116" t="s">
        <v>134</v>
      </c>
      <c r="B3" s="75"/>
      <c r="C3" s="75"/>
      <c r="D3" s="75"/>
      <c r="E3" s="75"/>
      <c r="F3" s="75"/>
      <c r="G3" s="75"/>
    </row>
    <row r="4" spans="1:7" ht="15" thickBot="1" x14ac:dyDescent="0.35">
      <c r="A4" s="117"/>
      <c r="B4" s="75"/>
      <c r="C4" s="75"/>
      <c r="D4" s="75"/>
      <c r="E4" s="75"/>
      <c r="F4" s="75"/>
      <c r="G4" s="75"/>
    </row>
    <row r="5" spans="1:7" ht="24" thickBot="1" x14ac:dyDescent="0.35">
      <c r="A5" s="247" t="s">
        <v>135</v>
      </c>
      <c r="B5" s="248"/>
      <c r="C5" s="118" t="s">
        <v>61</v>
      </c>
      <c r="D5" s="118" t="s">
        <v>61</v>
      </c>
      <c r="E5" s="119" t="s">
        <v>61</v>
      </c>
      <c r="F5" s="119" t="s">
        <v>61</v>
      </c>
      <c r="G5" s="75"/>
    </row>
    <row r="6" spans="1:7" ht="23.4" x14ac:dyDescent="0.3">
      <c r="A6" s="249" t="s">
        <v>77</v>
      </c>
      <c r="B6" s="250"/>
      <c r="C6" s="120">
        <v>2021</v>
      </c>
      <c r="D6" s="120">
        <v>2022</v>
      </c>
      <c r="E6" s="121">
        <v>2023</v>
      </c>
      <c r="F6" s="121">
        <v>2024</v>
      </c>
      <c r="G6" s="75"/>
    </row>
    <row r="7" spans="1:7" ht="23.4" x14ac:dyDescent="0.3">
      <c r="A7" s="251" t="s">
        <v>58</v>
      </c>
      <c r="B7" s="252"/>
      <c r="C7" s="122" t="s">
        <v>57</v>
      </c>
      <c r="D7" s="122" t="s">
        <v>57</v>
      </c>
      <c r="E7" s="123" t="s">
        <v>57</v>
      </c>
      <c r="F7" s="123" t="s">
        <v>57</v>
      </c>
      <c r="G7" s="75"/>
    </row>
    <row r="8" spans="1:7" ht="51" customHeight="1" x14ac:dyDescent="0.3">
      <c r="A8" s="149" t="s">
        <v>136</v>
      </c>
      <c r="B8" s="150"/>
      <c r="C8" s="124">
        <v>12800</v>
      </c>
      <c r="D8" s="125">
        <v>13200</v>
      </c>
      <c r="E8" s="126">
        <v>14600</v>
      </c>
      <c r="F8" s="126">
        <v>15550</v>
      </c>
      <c r="G8" s="75"/>
    </row>
    <row r="9" spans="1:7" ht="23.4" x14ac:dyDescent="0.3">
      <c r="A9" s="241" t="s">
        <v>76</v>
      </c>
      <c r="B9" s="242"/>
      <c r="C9" s="124">
        <v>20000</v>
      </c>
      <c r="D9" s="125">
        <v>20000</v>
      </c>
      <c r="E9" s="126">
        <v>20000</v>
      </c>
      <c r="F9" s="126">
        <v>20000</v>
      </c>
      <c r="G9" s="75"/>
    </row>
    <row r="10" spans="1:7" ht="24" thickBot="1" x14ac:dyDescent="0.35">
      <c r="A10" s="241" t="s">
        <v>137</v>
      </c>
      <c r="B10" s="242"/>
      <c r="C10" s="127">
        <v>7600</v>
      </c>
      <c r="D10" s="127">
        <v>9200</v>
      </c>
      <c r="E10" s="128">
        <v>10000</v>
      </c>
      <c r="F10" s="128">
        <v>10400</v>
      </c>
      <c r="G10" s="75"/>
    </row>
    <row r="11" spans="1:7" ht="24" thickBot="1" x14ac:dyDescent="0.5">
      <c r="A11" s="243" t="s">
        <v>81</v>
      </c>
      <c r="B11" s="244"/>
      <c r="C11" s="129">
        <f>SUM(C8:C10)</f>
        <v>40400</v>
      </c>
      <c r="D11" s="129">
        <f>SUM(D8:D10)</f>
        <v>42400</v>
      </c>
      <c r="E11" s="130">
        <f>SUM(E8:E10)</f>
        <v>44600</v>
      </c>
      <c r="F11" s="130">
        <f>SUM(F8:F10)</f>
        <v>45950</v>
      </c>
      <c r="G11" s="75"/>
    </row>
    <row r="12" spans="1:7" x14ac:dyDescent="0.3">
      <c r="A12" s="131"/>
      <c r="B12" s="75"/>
      <c r="C12" s="75"/>
      <c r="D12" s="75"/>
      <c r="E12" s="132"/>
      <c r="F12" s="132"/>
      <c r="G12" s="75"/>
    </row>
    <row r="13" spans="1:7" ht="15" thickBot="1" x14ac:dyDescent="0.35">
      <c r="A13" s="131"/>
      <c r="B13" s="75"/>
      <c r="C13" s="75"/>
      <c r="D13" s="75"/>
      <c r="E13" s="132"/>
      <c r="F13" s="132"/>
      <c r="G13" s="75"/>
    </row>
    <row r="14" spans="1:7" ht="25.8" x14ac:dyDescent="0.5">
      <c r="A14" s="245" t="s">
        <v>138</v>
      </c>
      <c r="B14" s="245"/>
      <c r="C14" s="133">
        <f>+C11-C9</f>
        <v>20400</v>
      </c>
      <c r="D14" s="133">
        <f>+D11-D9</f>
        <v>22400</v>
      </c>
      <c r="E14" s="134">
        <f>+E11-E9</f>
        <v>24600</v>
      </c>
      <c r="F14" s="134">
        <f>+F11-F9</f>
        <v>25950</v>
      </c>
      <c r="G14" s="75"/>
    </row>
    <row r="15" spans="1:7" ht="15" thickBot="1" x14ac:dyDescent="0.35">
      <c r="A15" s="75"/>
      <c r="B15" s="75"/>
      <c r="C15" s="75"/>
      <c r="D15" s="75"/>
      <c r="E15" s="75"/>
      <c r="F15" s="75"/>
      <c r="G15" s="75"/>
    </row>
    <row r="16" spans="1:7" ht="26.4" thickBot="1" x14ac:dyDescent="0.55000000000000004">
      <c r="A16" s="135"/>
      <c r="B16" s="136" t="s">
        <v>139</v>
      </c>
      <c r="C16" s="137"/>
      <c r="D16" s="137">
        <f>+D14-C14</f>
        <v>2000</v>
      </c>
      <c r="E16" s="138">
        <f>+E14-D14</f>
        <v>2200</v>
      </c>
      <c r="F16" s="139">
        <f>+F14-E14</f>
        <v>1350</v>
      </c>
      <c r="G16" s="75"/>
    </row>
    <row r="17" spans="1:7" x14ac:dyDescent="0.3">
      <c r="A17" s="75"/>
      <c r="B17" s="75"/>
      <c r="C17" s="75"/>
      <c r="D17" s="75"/>
      <c r="E17" s="75"/>
      <c r="F17" s="75"/>
      <c r="G17" s="75"/>
    </row>
    <row r="18" spans="1:7" ht="15" thickBot="1" x14ac:dyDescent="0.35">
      <c r="A18" s="75"/>
      <c r="B18" s="75"/>
      <c r="C18" s="75"/>
      <c r="D18" s="75"/>
      <c r="E18" s="75"/>
      <c r="F18" s="75"/>
      <c r="G18" s="75"/>
    </row>
    <row r="19" spans="1:7" ht="24" thickBot="1" x14ac:dyDescent="0.5">
      <c r="A19" s="140"/>
      <c r="B19" s="141" t="s">
        <v>140</v>
      </c>
      <c r="C19" s="143">
        <f t="shared" ref="C19:F19" si="0">+C16*1/C14</f>
        <v>0</v>
      </c>
      <c r="D19" s="142">
        <f t="shared" si="0"/>
        <v>8.9285714285714288E-2</v>
      </c>
      <c r="E19" s="142">
        <f t="shared" si="0"/>
        <v>8.943089430894309E-2</v>
      </c>
      <c r="F19" s="144">
        <f t="shared" si="0"/>
        <v>5.2023121387283239E-2</v>
      </c>
      <c r="G19" s="75"/>
    </row>
    <row r="20" spans="1:7" x14ac:dyDescent="0.3">
      <c r="A20" s="75"/>
      <c r="B20" s="75"/>
      <c r="C20" s="75"/>
      <c r="D20" s="75"/>
      <c r="E20" s="75"/>
      <c r="F20" s="75"/>
      <c r="G20" s="75"/>
    </row>
    <row r="21" spans="1:7" ht="18.75" customHeight="1" x14ac:dyDescent="0.3">
      <c r="A21" s="246" t="s">
        <v>147</v>
      </c>
      <c r="B21" s="246"/>
      <c r="C21" s="246"/>
      <c r="D21" s="246"/>
      <c r="E21" s="246"/>
      <c r="F21" s="246"/>
      <c r="G21" s="75"/>
    </row>
    <row r="22" spans="1:7" x14ac:dyDescent="0.3">
      <c r="A22" s="75"/>
      <c r="B22" s="75"/>
      <c r="C22" s="75"/>
      <c r="D22" s="75"/>
      <c r="E22" s="75"/>
      <c r="F22" s="75"/>
      <c r="G22" s="75"/>
    </row>
    <row r="23" spans="1:7" ht="15.6" x14ac:dyDescent="0.3">
      <c r="A23" s="145" t="s">
        <v>141</v>
      </c>
      <c r="B23" s="146"/>
      <c r="C23" s="146"/>
      <c r="D23" s="146"/>
      <c r="E23" s="146"/>
      <c r="F23" s="147"/>
      <c r="G23" s="147"/>
    </row>
    <row r="24" spans="1:7" ht="15.6" x14ac:dyDescent="0.3">
      <c r="A24" s="145" t="s">
        <v>142</v>
      </c>
      <c r="B24" s="146"/>
      <c r="C24" s="146"/>
      <c r="D24" s="146"/>
      <c r="E24" s="146"/>
      <c r="F24" s="147"/>
      <c r="G24" s="147"/>
    </row>
    <row r="25" spans="1:7" ht="15.6" x14ac:dyDescent="0.3">
      <c r="A25" s="145"/>
      <c r="B25" s="146"/>
      <c r="C25" s="146"/>
      <c r="D25" s="146"/>
      <c r="E25" s="146"/>
      <c r="F25" s="147"/>
      <c r="G25" s="147"/>
    </row>
    <row r="26" spans="1:7" x14ac:dyDescent="0.3">
      <c r="A26" s="4" t="s">
        <v>143</v>
      </c>
      <c r="B26" s="146"/>
      <c r="C26" s="146"/>
      <c r="D26" s="146"/>
      <c r="E26" s="146"/>
      <c r="F26" s="147"/>
      <c r="G26" s="147"/>
    </row>
    <row r="27" spans="1:7" x14ac:dyDescent="0.3">
      <c r="A27" s="148" t="s">
        <v>148</v>
      </c>
      <c r="B27" s="146"/>
      <c r="C27" s="146"/>
      <c r="D27" s="146"/>
      <c r="E27" s="146"/>
      <c r="F27" s="147"/>
      <c r="G27" s="147"/>
    </row>
    <row r="28" spans="1:7" x14ac:dyDescent="0.3">
      <c r="A28" s="146"/>
      <c r="B28" s="146"/>
      <c r="C28" s="146"/>
      <c r="D28" s="146"/>
      <c r="E28" s="146"/>
      <c r="F28" s="75"/>
      <c r="G28" s="75"/>
    </row>
  </sheetData>
  <mergeCells count="8">
    <mergeCell ref="A10:B10"/>
    <mergeCell ref="A11:B11"/>
    <mergeCell ref="A14:B14"/>
    <mergeCell ref="A21:F21"/>
    <mergeCell ref="A5:B5"/>
    <mergeCell ref="A6:B6"/>
    <mergeCell ref="A7:B7"/>
    <mergeCell ref="A9:B9"/>
  </mergeCells>
  <pageMargins left="1.299212598425197" right="0.70866141732283472" top="0.74803149606299213" bottom="0.74803149606299213" header="0.31496062992125984" footer="0.31496062992125984"/>
  <pageSetup paperSize="9" scale="62"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7A4476-B8C7-4198-8F2E-DE9F18F26A5B}">
  <sheetPr>
    <pageSetUpPr fitToPage="1"/>
  </sheetPr>
  <dimension ref="A1:H28"/>
  <sheetViews>
    <sheetView view="pageBreakPreview" zoomScale="80" zoomScaleNormal="100" zoomScaleSheetLayoutView="80" workbookViewId="0">
      <selection activeCell="H14" sqref="H14"/>
    </sheetView>
  </sheetViews>
  <sheetFormatPr defaultColWidth="11.5546875" defaultRowHeight="14.4" x14ac:dyDescent="0.3"/>
  <cols>
    <col min="1" max="1" width="34.88671875" customWidth="1"/>
    <col min="2" max="2" width="27.44140625" customWidth="1"/>
    <col min="3" max="3" width="24.44140625" customWidth="1"/>
    <col min="4" max="4" width="21.44140625" customWidth="1"/>
    <col min="5" max="8" width="19.6640625" bestFit="1" customWidth="1"/>
  </cols>
  <sheetData>
    <row r="1" spans="1:8" ht="24.6" x14ac:dyDescent="0.4">
      <c r="A1" s="114" t="s">
        <v>144</v>
      </c>
      <c r="B1" s="74"/>
      <c r="C1" s="74"/>
      <c r="D1" s="74"/>
      <c r="E1" s="74"/>
      <c r="F1" s="75"/>
      <c r="G1" s="75"/>
    </row>
    <row r="2" spans="1:8" ht="15.6" x14ac:dyDescent="0.3">
      <c r="A2" s="115" t="s">
        <v>145</v>
      </c>
      <c r="B2" s="75"/>
      <c r="C2" s="75"/>
      <c r="D2" s="75"/>
      <c r="E2" s="75"/>
      <c r="F2" s="75"/>
      <c r="G2" s="75"/>
    </row>
    <row r="3" spans="1:8" x14ac:dyDescent="0.3">
      <c r="A3" s="116" t="s">
        <v>134</v>
      </c>
      <c r="B3" s="75"/>
      <c r="C3" s="75"/>
      <c r="D3" s="75"/>
      <c r="E3" s="75"/>
      <c r="F3" s="75"/>
      <c r="G3" s="75"/>
    </row>
    <row r="4" spans="1:8" ht="15" thickBot="1" x14ac:dyDescent="0.35">
      <c r="A4" s="117"/>
      <c r="B4" s="75"/>
      <c r="C4" s="75"/>
      <c r="D4" s="75"/>
      <c r="E4" s="75"/>
      <c r="F4" s="75"/>
      <c r="G4" s="75"/>
    </row>
    <row r="5" spans="1:8" ht="24" thickBot="1" x14ac:dyDescent="0.35">
      <c r="A5" s="247" t="s">
        <v>135</v>
      </c>
      <c r="B5" s="248"/>
      <c r="C5" s="118" t="s">
        <v>16</v>
      </c>
      <c r="D5" s="118" t="s">
        <v>16</v>
      </c>
      <c r="E5" s="118" t="s">
        <v>16</v>
      </c>
      <c r="F5" s="118" t="s">
        <v>16</v>
      </c>
      <c r="G5" s="118" t="s">
        <v>16</v>
      </c>
      <c r="H5" s="118" t="s">
        <v>16</v>
      </c>
    </row>
    <row r="6" spans="1:8" ht="23.4" x14ac:dyDescent="0.3">
      <c r="A6" s="249" t="s">
        <v>77</v>
      </c>
      <c r="B6" s="250"/>
      <c r="C6" s="120">
        <v>2021</v>
      </c>
      <c r="D6" s="120">
        <v>2022</v>
      </c>
      <c r="E6" s="121">
        <v>2023</v>
      </c>
      <c r="F6" s="121">
        <v>2024</v>
      </c>
      <c r="G6" s="121">
        <v>2025</v>
      </c>
      <c r="H6" s="121">
        <v>2026</v>
      </c>
    </row>
    <row r="7" spans="1:8" ht="23.4" x14ac:dyDescent="0.3">
      <c r="A7" s="251" t="s">
        <v>58</v>
      </c>
      <c r="B7" s="252"/>
      <c r="C7" s="122" t="s">
        <v>57</v>
      </c>
      <c r="D7" s="122" t="s">
        <v>57</v>
      </c>
      <c r="E7" s="123" t="s">
        <v>57</v>
      </c>
      <c r="F7" s="123" t="s">
        <v>57</v>
      </c>
      <c r="G7" s="123" t="s">
        <v>57</v>
      </c>
      <c r="H7" s="123" t="s">
        <v>57</v>
      </c>
    </row>
    <row r="8" spans="1:8" ht="23.4" x14ac:dyDescent="0.3">
      <c r="A8" s="224" t="s">
        <v>79</v>
      </c>
      <c r="B8" s="255"/>
      <c r="C8" s="153">
        <v>5000</v>
      </c>
      <c r="D8" s="153">
        <v>5500</v>
      </c>
      <c r="E8" s="153">
        <v>6200</v>
      </c>
      <c r="F8" s="153">
        <v>6864</v>
      </c>
      <c r="G8" s="153">
        <v>6864</v>
      </c>
      <c r="H8" s="153">
        <v>6864</v>
      </c>
    </row>
    <row r="9" spans="1:8" ht="23.4" x14ac:dyDescent="0.3">
      <c r="A9" s="224" t="s">
        <v>59</v>
      </c>
      <c r="B9" s="255"/>
      <c r="C9" s="153">
        <v>3000</v>
      </c>
      <c r="D9" s="153">
        <v>3000</v>
      </c>
      <c r="E9" s="153">
        <v>3000</v>
      </c>
      <c r="F9" s="153">
        <v>3000</v>
      </c>
      <c r="G9" s="153">
        <v>3000</v>
      </c>
      <c r="H9" s="153">
        <v>3000</v>
      </c>
    </row>
    <row r="10" spans="1:8" ht="23.4" x14ac:dyDescent="0.3">
      <c r="A10" s="224" t="s">
        <v>80</v>
      </c>
      <c r="B10" s="255"/>
      <c r="C10" s="153">
        <v>4850</v>
      </c>
      <c r="D10" s="153">
        <v>4850</v>
      </c>
      <c r="E10" s="153">
        <v>4850</v>
      </c>
      <c r="F10" s="153">
        <v>4500</v>
      </c>
      <c r="G10" s="153">
        <v>4500</v>
      </c>
      <c r="H10" s="153">
        <v>4500</v>
      </c>
    </row>
    <row r="11" spans="1:8" ht="33.75" customHeight="1" x14ac:dyDescent="0.3">
      <c r="A11" s="224" t="s">
        <v>60</v>
      </c>
      <c r="B11" s="255"/>
      <c r="C11" s="154">
        <v>5500</v>
      </c>
      <c r="D11" s="154">
        <v>5500</v>
      </c>
      <c r="E11" s="154">
        <v>5500</v>
      </c>
      <c r="F11" s="154">
        <v>5200</v>
      </c>
      <c r="G11" s="154">
        <v>5200</v>
      </c>
      <c r="H11" s="154">
        <v>5200</v>
      </c>
    </row>
    <row r="12" spans="1:8" ht="23.25" customHeight="1" x14ac:dyDescent="0.3">
      <c r="A12" s="226" t="s">
        <v>67</v>
      </c>
      <c r="B12" s="256"/>
      <c r="C12" s="154">
        <v>1125</v>
      </c>
      <c r="D12" s="154">
        <v>1125</v>
      </c>
      <c r="E12" s="154">
        <v>1125</v>
      </c>
      <c r="F12" s="154">
        <v>1436</v>
      </c>
      <c r="G12" s="154">
        <v>1436</v>
      </c>
      <c r="H12" s="154">
        <v>1436</v>
      </c>
    </row>
    <row r="13" spans="1:8" ht="24" customHeight="1" thickBot="1" x14ac:dyDescent="0.35">
      <c r="A13" s="257"/>
      <c r="B13" s="258"/>
      <c r="C13" s="151"/>
      <c r="D13" s="151"/>
      <c r="E13" s="155"/>
      <c r="F13" s="152"/>
      <c r="G13" s="152"/>
      <c r="H13" s="152"/>
    </row>
    <row r="14" spans="1:8" ht="24" thickBot="1" x14ac:dyDescent="0.5">
      <c r="A14" s="243" t="s">
        <v>81</v>
      </c>
      <c r="B14" s="244"/>
      <c r="C14" s="129">
        <f>SUM(C8:C12)</f>
        <v>19475</v>
      </c>
      <c r="D14" s="129">
        <f t="shared" ref="D14:E14" si="0">SUM(D8:D12)</f>
        <v>19975</v>
      </c>
      <c r="E14" s="129">
        <f t="shared" si="0"/>
        <v>20675</v>
      </c>
      <c r="F14" s="130">
        <f>SUM(F8:F13)</f>
        <v>21000</v>
      </c>
      <c r="G14" s="130">
        <f t="shared" ref="G14:H14" si="1">SUM(G8:G13)</f>
        <v>21000</v>
      </c>
      <c r="H14" s="130">
        <f t="shared" si="1"/>
        <v>21000</v>
      </c>
    </row>
    <row r="15" spans="1:8" x14ac:dyDescent="0.3">
      <c r="A15" s="131"/>
      <c r="B15" s="75"/>
      <c r="C15" s="75"/>
      <c r="D15" s="75"/>
      <c r="E15" s="132"/>
      <c r="F15" s="132"/>
      <c r="G15" s="132"/>
      <c r="H15" s="132"/>
    </row>
    <row r="16" spans="1:8" ht="15" thickBot="1" x14ac:dyDescent="0.35">
      <c r="A16" s="131"/>
      <c r="B16" s="75"/>
      <c r="C16" s="75"/>
      <c r="D16" s="75"/>
      <c r="E16" s="132"/>
      <c r="F16" s="132"/>
      <c r="G16" s="132"/>
      <c r="H16" s="132"/>
    </row>
    <row r="17" spans="1:8" ht="25.8" x14ac:dyDescent="0.5">
      <c r="A17" s="253" t="s">
        <v>138</v>
      </c>
      <c r="B17" s="254"/>
      <c r="C17" s="133">
        <f>+C14</f>
        <v>19475</v>
      </c>
      <c r="D17" s="133">
        <f t="shared" ref="D17:E17" si="2">+D14</f>
        <v>19975</v>
      </c>
      <c r="E17" s="133">
        <f t="shared" si="2"/>
        <v>20675</v>
      </c>
      <c r="F17" s="134">
        <f>+F14</f>
        <v>21000</v>
      </c>
      <c r="G17" s="134">
        <f t="shared" ref="G17:H17" si="3">+G14</f>
        <v>21000</v>
      </c>
      <c r="H17" s="134">
        <f t="shared" si="3"/>
        <v>21000</v>
      </c>
    </row>
    <row r="18" spans="1:8" ht="15" thickBot="1" x14ac:dyDescent="0.35">
      <c r="A18" s="75"/>
      <c r="B18" s="75"/>
      <c r="C18" s="75"/>
      <c r="D18" s="75"/>
      <c r="E18" s="75"/>
      <c r="F18" s="75"/>
      <c r="G18" s="75"/>
      <c r="H18" s="75"/>
    </row>
    <row r="19" spans="1:8" ht="26.4" thickBot="1" x14ac:dyDescent="0.55000000000000004">
      <c r="A19" s="135"/>
      <c r="B19" s="136" t="s">
        <v>139</v>
      </c>
      <c r="C19" s="137"/>
      <c r="D19" s="137">
        <f>+D17-C17</f>
        <v>500</v>
      </c>
      <c r="E19" s="138">
        <f>+E17-D17</f>
        <v>700</v>
      </c>
      <c r="F19" s="139">
        <f>+F17-E17</f>
        <v>325</v>
      </c>
      <c r="G19" s="139">
        <f t="shared" ref="G19:H19" si="4">+G17-F17</f>
        <v>0</v>
      </c>
      <c r="H19" s="139">
        <f t="shared" si="4"/>
        <v>0</v>
      </c>
    </row>
    <row r="20" spans="1:8" ht="13.5" customHeight="1" x14ac:dyDescent="0.3">
      <c r="A20" s="75"/>
      <c r="B20" s="75"/>
      <c r="C20" s="75"/>
      <c r="D20" s="75"/>
      <c r="E20" s="75"/>
      <c r="F20" s="75"/>
      <c r="G20" s="75"/>
      <c r="H20" s="75"/>
    </row>
    <row r="21" spans="1:8" ht="15" thickBot="1" x14ac:dyDescent="0.35">
      <c r="A21" s="75"/>
      <c r="B21" s="75"/>
      <c r="C21" s="75"/>
      <c r="D21" s="75"/>
      <c r="E21" s="75"/>
      <c r="F21" s="75"/>
      <c r="G21" s="75"/>
      <c r="H21" s="75"/>
    </row>
    <row r="22" spans="1:8" ht="24" thickBot="1" x14ac:dyDescent="0.5">
      <c r="A22" s="140"/>
      <c r="B22" s="141" t="s">
        <v>140</v>
      </c>
      <c r="C22" s="143">
        <f>+C19*1/C17</f>
        <v>0</v>
      </c>
      <c r="D22" s="142">
        <f>+D19*1/D17</f>
        <v>2.5031289111389236E-2</v>
      </c>
      <c r="E22" s="142">
        <f>+E19*1/E17</f>
        <v>3.3857315598548973E-2</v>
      </c>
      <c r="F22" s="144">
        <f>+F19*1/F17</f>
        <v>1.5476190476190477E-2</v>
      </c>
      <c r="G22" s="144">
        <f t="shared" ref="G22:H22" si="5">+G19*1/G17</f>
        <v>0</v>
      </c>
      <c r="H22" s="144">
        <f t="shared" si="5"/>
        <v>0</v>
      </c>
    </row>
    <row r="23" spans="1:8" x14ac:dyDescent="0.3">
      <c r="A23" s="75"/>
      <c r="B23" s="75"/>
      <c r="C23" s="75"/>
      <c r="D23" s="75"/>
      <c r="E23" s="75"/>
      <c r="F23" s="75"/>
      <c r="G23" s="75"/>
    </row>
    <row r="24" spans="1:8" ht="15.6" x14ac:dyDescent="0.3">
      <c r="A24" s="145" t="s">
        <v>146</v>
      </c>
      <c r="B24" s="146"/>
      <c r="C24" s="146"/>
      <c r="D24" s="146"/>
      <c r="E24" s="146"/>
      <c r="F24" s="147"/>
      <c r="G24" s="147"/>
    </row>
    <row r="25" spans="1:8" ht="15.6" x14ac:dyDescent="0.3">
      <c r="A25" s="145"/>
      <c r="B25" s="146"/>
      <c r="C25" s="146"/>
      <c r="D25" s="146"/>
      <c r="E25" s="146"/>
      <c r="F25" s="147"/>
      <c r="G25" s="147"/>
    </row>
    <row r="26" spans="1:8" x14ac:dyDescent="0.3">
      <c r="A26" s="4" t="s">
        <v>143</v>
      </c>
      <c r="B26" s="146"/>
      <c r="C26" s="146"/>
      <c r="D26" s="146"/>
      <c r="E26" s="146"/>
      <c r="F26" s="147"/>
      <c r="G26" s="147"/>
    </row>
    <row r="27" spans="1:8" x14ac:dyDescent="0.3">
      <c r="A27" s="148" t="s">
        <v>148</v>
      </c>
      <c r="B27" s="146"/>
      <c r="C27" s="146"/>
      <c r="D27" s="146"/>
      <c r="E27" s="146"/>
      <c r="F27" s="147"/>
      <c r="G27" s="147"/>
    </row>
    <row r="28" spans="1:8" x14ac:dyDescent="0.3">
      <c r="A28" s="146"/>
      <c r="B28" s="146"/>
      <c r="C28" s="146"/>
      <c r="D28" s="146"/>
      <c r="E28" s="146"/>
      <c r="F28" s="75"/>
      <c r="G28" s="75"/>
    </row>
  </sheetData>
  <mergeCells count="11">
    <mergeCell ref="A17:B17"/>
    <mergeCell ref="A11:B11"/>
    <mergeCell ref="A14:B14"/>
    <mergeCell ref="A5:B5"/>
    <mergeCell ref="A6:B6"/>
    <mergeCell ref="A7:B7"/>
    <mergeCell ref="A12:B12"/>
    <mergeCell ref="A13:B13"/>
    <mergeCell ref="A8:B8"/>
    <mergeCell ref="A9:B9"/>
    <mergeCell ref="A10:B10"/>
  </mergeCells>
  <pageMargins left="0.70866141732283472" right="0.70866141732283472" top="0.74803149606299213" bottom="0.74803149606299213" header="0.31496062992125984" footer="0.31496062992125984"/>
  <pageSetup paperSize="9" scale="56"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11</vt:i4>
      </vt:variant>
    </vt:vector>
  </HeadingPairs>
  <TitlesOfParts>
    <vt:vector size="23" baseType="lpstr">
      <vt:lpstr>ILO</vt:lpstr>
      <vt:lpstr>ILO PATIO PUERTO</vt:lpstr>
      <vt:lpstr>MATARANI</vt:lpstr>
      <vt:lpstr>MARCONA</vt:lpstr>
      <vt:lpstr>CALLAO</vt:lpstr>
      <vt:lpstr>MEJILLONES.A</vt:lpstr>
      <vt:lpstr>MEJILLONES INTERACID</vt:lpstr>
      <vt:lpstr>MEJILLONES.TERQUIM</vt:lpstr>
      <vt:lpstr>BARQUITO</vt:lpstr>
      <vt:lpstr>Viaje con Bunkering</vt:lpstr>
      <vt:lpstr> PORT COST% CHILE</vt:lpstr>
      <vt:lpstr>PORT COST % ILO</vt:lpstr>
      <vt:lpstr>BARQUITO!Print_Area</vt:lpstr>
      <vt:lpstr>CALLAO!Print_Area</vt:lpstr>
      <vt:lpstr>ILO!Print_Area</vt:lpstr>
      <vt:lpstr>'ILO PATIO PUERTO'!Print_Area</vt:lpstr>
      <vt:lpstr>MARCONA!Print_Area</vt:lpstr>
      <vt:lpstr>MATARANI!Print_Area</vt:lpstr>
      <vt:lpstr>'MEJILLONES INTERACID'!Print_Area</vt:lpstr>
      <vt:lpstr>MEJILLONES.A!Print_Area</vt:lpstr>
      <vt:lpstr>MEJILLONES.TERQUIM!Print_Area</vt:lpstr>
      <vt:lpstr>'PORT COST % ILO'!Print_Area</vt:lpstr>
      <vt:lpstr>'Viaje con Bunkering'!Print_Area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 de Windows</dc:creator>
  <cp:lastModifiedBy>Richard Gutierrez</cp:lastModifiedBy>
  <cp:lastPrinted>2026-06-15T21:56:32Z</cp:lastPrinted>
  <dcterms:created xsi:type="dcterms:W3CDTF">2018-10-23T17:50:03Z</dcterms:created>
  <dcterms:modified xsi:type="dcterms:W3CDTF">2026-07-02T15:33:16Z</dcterms:modified>
</cp:coreProperties>
</file>
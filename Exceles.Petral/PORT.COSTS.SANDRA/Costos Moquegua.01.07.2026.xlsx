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rguti\PETRAL.SMART.DASHBOARD\Exceles.Petral\PORT.COSTS.SANDRA\"/>
    </mc:Choice>
  </mc:AlternateContent>
  <xr:revisionPtr revIDLastSave="0" documentId="13_ncr:1_{0A5CF573-9B5C-44ED-B344-BEA3A3E55048}" xr6:coauthVersionLast="47" xr6:coauthVersionMax="47" xr10:uidLastSave="{00000000-0000-0000-0000-000000000000}"/>
  <bookViews>
    <workbookView xWindow="-23148" yWindow="-108" windowWidth="23256" windowHeight="12576" activeTab="8" xr2:uid="{00000000-000D-0000-FFFF-FFFF00000000}"/>
  </bookViews>
  <sheets>
    <sheet name="ILO" sheetId="4" r:id="rId1"/>
    <sheet name="ilo patio puerto" sheetId="18" state="hidden" r:id="rId2"/>
    <sheet name="MATARANI" sheetId="7" r:id="rId3"/>
    <sheet name="MARCONA" sheetId="9" r:id="rId4"/>
    <sheet name="CALLAO" sheetId="8" r:id="rId5"/>
    <sheet name="MEJILLONES.A" sheetId="5" r:id="rId6"/>
    <sheet name="MEJILLONES.INTERACID" sheetId="12" r:id="rId7"/>
    <sheet name="MEJILLONES.TERQUIM" sheetId="16" r:id="rId8"/>
    <sheet name="BARQUITO" sheetId="6" r:id="rId9"/>
    <sheet name="Hoja2" sheetId="15" state="hidden" r:id="rId10"/>
    <sheet name="Hoja1" sheetId="17" state="hidden" r:id="rId11"/>
    <sheet name="BOMAR PORT COST 2021-2024" sheetId="14" state="hidden" r:id="rId12"/>
  </sheets>
  <definedNames>
    <definedName name="_xlnm.Print_Area" localSheetId="8">BARQUITO!$A$1:$G$44</definedName>
    <definedName name="_xlnm.Print_Area" localSheetId="4">CALLAO!$A$1:$G$36</definedName>
    <definedName name="_xlnm.Print_Area" localSheetId="9">Hoja2!$A$1:$G$15</definedName>
    <definedName name="_xlnm.Print_Area" localSheetId="0">ILO!$A$1:$G$38</definedName>
    <definedName name="_xlnm.Print_Area" localSheetId="3">MARCONA!$A$1:$G$40</definedName>
    <definedName name="_xlnm.Print_Area" localSheetId="2">MATARANI!$A$1:$G$41</definedName>
    <definedName name="_xlnm.Print_Area" localSheetId="5">MEJILLONES.A!$A$1:$G$37</definedName>
    <definedName name="_xlnm.Print_Area" localSheetId="7">MEJILLONES.TERQUIM!$A$1:$G$40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6" l="1"/>
  <c r="E33" i="6" s="1"/>
  <c r="D19" i="8"/>
  <c r="D19" i="5"/>
  <c r="D24" i="18"/>
  <c r="D27" i="18"/>
  <c r="D14" i="16"/>
  <c r="D12" i="5"/>
  <c r="D23" i="16"/>
  <c r="D22" i="16"/>
  <c r="D15" i="16"/>
  <c r="D14" i="12"/>
  <c r="D13" i="5"/>
  <c r="E26" i="4" l="1"/>
  <c r="E24" i="18" l="1"/>
  <c r="E20" i="18"/>
  <c r="E17" i="18"/>
  <c r="E15" i="18"/>
  <c r="E23" i="18"/>
  <c r="E18" i="18"/>
  <c r="E16" i="18"/>
  <c r="E14" i="18"/>
  <c r="E12" i="18"/>
  <c r="E10" i="18"/>
  <c r="E22" i="18"/>
  <c r="E21" i="18"/>
  <c r="E19" i="18"/>
  <c r="E13" i="18"/>
  <c r="E11" i="18"/>
  <c r="D32" i="7"/>
  <c r="D29" i="5"/>
  <c r="E29" i="5" l="1"/>
  <c r="E14" i="5"/>
  <c r="E13" i="5"/>
  <c r="E27" i="5"/>
  <c r="E25" i="5"/>
  <c r="E24" i="5"/>
  <c r="E22" i="5"/>
  <c r="E21" i="5"/>
  <c r="E20" i="5"/>
  <c r="E19" i="5"/>
  <c r="E18" i="5"/>
  <c r="E15" i="5"/>
  <c r="E23" i="5"/>
  <c r="E12" i="5"/>
  <c r="D18" i="17"/>
  <c r="E17" i="17" s="1"/>
  <c r="D32" i="16"/>
  <c r="D13" i="14"/>
  <c r="E21" i="16" l="1"/>
  <c r="E24" i="16"/>
  <c r="E25" i="16"/>
  <c r="E26" i="16"/>
  <c r="E27" i="16"/>
  <c r="E30" i="16"/>
  <c r="E31" i="16"/>
  <c r="E18" i="16"/>
  <c r="E28" i="16"/>
  <c r="E22" i="16"/>
  <c r="E23" i="16"/>
  <c r="E18" i="17"/>
  <c r="E13" i="17"/>
  <c r="E14" i="17"/>
  <c r="E16" i="17"/>
  <c r="E10" i="17"/>
  <c r="E32" i="16"/>
  <c r="E15" i="16"/>
  <c r="E17" i="16"/>
  <c r="E16" i="16"/>
  <c r="E14" i="16"/>
  <c r="F8" i="14"/>
  <c r="F13" i="14" s="1"/>
  <c r="F16" i="14" s="1"/>
  <c r="G13" i="14"/>
  <c r="G16" i="14" s="1"/>
  <c r="E13" i="14"/>
  <c r="E16" i="14" s="1"/>
  <c r="D16" i="14"/>
  <c r="E18" i="14" l="1"/>
  <c r="E21" i="14" s="1"/>
  <c r="G18" i="14"/>
  <c r="G21" i="14" s="1"/>
  <c r="F18" i="14"/>
  <c r="F21" i="14" s="1"/>
  <c r="D21" i="14"/>
  <c r="F6" i="15" l="1"/>
  <c r="F7" i="15"/>
  <c r="F8" i="15"/>
  <c r="F9" i="15"/>
  <c r="F5" i="15"/>
  <c r="R3" i="15" l="1"/>
  <c r="M3" i="15" l="1"/>
  <c r="F10" i="15"/>
  <c r="E10" i="15"/>
  <c r="D10" i="15"/>
  <c r="D31" i="12" l="1"/>
  <c r="E30" i="7"/>
  <c r="E21" i="12" l="1"/>
  <c r="E14" i="12"/>
  <c r="E26" i="12"/>
  <c r="E16" i="12"/>
  <c r="E24" i="12"/>
  <c r="E29" i="12"/>
  <c r="E15" i="12"/>
  <c r="E31" i="12"/>
  <c r="E17" i="12"/>
  <c r="E22" i="12"/>
  <c r="E20" i="12"/>
  <c r="E23" i="12"/>
  <c r="E25" i="12"/>
  <c r="E27" i="12"/>
  <c r="E27" i="7"/>
  <c r="E32" i="7"/>
  <c r="D32" i="4"/>
  <c r="E16" i="4" l="1"/>
  <c r="E18" i="4"/>
  <c r="E19" i="4"/>
  <c r="E21" i="4"/>
  <c r="E30" i="4"/>
  <c r="E22" i="4"/>
  <c r="E23" i="4"/>
  <c r="E25" i="4"/>
  <c r="E28" i="4"/>
  <c r="E29" i="4"/>
  <c r="E31" i="4"/>
  <c r="E24" i="4"/>
  <c r="E17" i="4"/>
  <c r="E32" i="4"/>
  <c r="E28" i="6" l="1"/>
  <c r="E30" i="6"/>
  <c r="E21" i="6"/>
  <c r="D32" i="9" l="1"/>
  <c r="E32" i="9" s="1"/>
  <c r="D27" i="8"/>
  <c r="E27" i="8" s="1"/>
  <c r="E15" i="9" l="1"/>
  <c r="E21" i="9"/>
  <c r="E16" i="9"/>
  <c r="E14" i="9"/>
  <c r="E29" i="9"/>
  <c r="E24" i="9"/>
  <c r="E22" i="9"/>
  <c r="E20" i="9"/>
  <c r="E26" i="9"/>
  <c r="E23" i="9"/>
  <c r="E30" i="9"/>
  <c r="E27" i="9"/>
  <c r="E25" i="9"/>
  <c r="E18" i="8"/>
  <c r="E22" i="8"/>
  <c r="E20" i="8"/>
  <c r="E24" i="8"/>
  <c r="E14" i="8"/>
  <c r="E15" i="8"/>
  <c r="E19" i="8"/>
  <c r="E21" i="8"/>
  <c r="E25" i="8"/>
  <c r="E16" i="7" l="1"/>
  <c r="E17" i="7"/>
  <c r="E21" i="7"/>
  <c r="E25" i="7"/>
  <c r="E29" i="7"/>
  <c r="E15" i="7"/>
  <c r="E18" i="7"/>
  <c r="E24" i="7"/>
  <c r="E26" i="7"/>
  <c r="E22" i="7"/>
  <c r="E23" i="7"/>
  <c r="E20" i="6"/>
  <c r="E22" i="6" l="1"/>
  <c r="E17" i="6"/>
  <c r="E31" i="6"/>
  <c r="E16" i="6"/>
  <c r="E27" i="6"/>
  <c r="E26" i="6"/>
  <c r="E25" i="6"/>
  <c r="E14" i="6"/>
  <c r="E24" i="6"/>
  <c r="E23" i="6"/>
  <c r="E15" i="6"/>
  <c r="E15" i="4" l="1"/>
</calcChain>
</file>

<file path=xl/sharedStrings.xml><?xml version="1.0" encoding="utf-8"?>
<sst xmlns="http://schemas.openxmlformats.org/spreadsheetml/2006/main" count="504" uniqueCount="202">
  <si>
    <t>US$</t>
  </si>
  <si>
    <t>A)</t>
  </si>
  <si>
    <t>Shifting Expenses</t>
  </si>
  <si>
    <t>B)</t>
  </si>
  <si>
    <t>General Port Expenses</t>
  </si>
  <si>
    <t>C)</t>
  </si>
  <si>
    <t>Agency Expenses</t>
  </si>
  <si>
    <t>Agency Fee</t>
  </si>
  <si>
    <t>T O T A L</t>
  </si>
  <si>
    <t>OBSERVACIONES :</t>
  </si>
  <si>
    <t>OBSERVACIONES</t>
  </si>
  <si>
    <t>Tarifa fija según Sanidad maritima.</t>
  </si>
  <si>
    <t>Immigration Authorities.</t>
  </si>
  <si>
    <t>ISPS Fee.</t>
  </si>
  <si>
    <t>Launch Hire.</t>
  </si>
  <si>
    <t>COMPARATIVO DE COSTOS B/T MOQUEGUA</t>
  </si>
  <si>
    <t>%</t>
  </si>
  <si>
    <t>ILO</t>
  </si>
  <si>
    <t>Private &amp; Dangerous cargo Watchmen</t>
  </si>
  <si>
    <t>Tarifa Direccion de Hidrografia y navegacion</t>
  </si>
  <si>
    <t>Tarifa APN.</t>
  </si>
  <si>
    <t>Practicaje</t>
  </si>
  <si>
    <t>Dockage /Muellaje</t>
  </si>
  <si>
    <t>Transtotal. Tarifa Fija por Nave.</t>
  </si>
  <si>
    <t xml:space="preserve">Region Moquegua. Tarifa </t>
  </si>
  <si>
    <t>Tarifa fija. Transtotal por Agenciamiento de Nave.</t>
  </si>
  <si>
    <t>Tarifa fija. Transtotal por Nave.</t>
  </si>
  <si>
    <t>Tarifa Port Opeartions $ 1,500 por maniobra.</t>
  </si>
  <si>
    <t>Remolcaje</t>
  </si>
  <si>
    <t>SPCC, Tarifa deAmarre y desamarre $ 300.00 , y  Muelle SPCC $ 0.05 x Trb x dia.</t>
  </si>
  <si>
    <t>*NO INCLUYE IGV.</t>
  </si>
  <si>
    <t xml:space="preserve">MEJILLONES </t>
  </si>
  <si>
    <t>Pilotage.</t>
  </si>
  <si>
    <t>Tarifa fija  según Autoridad  Maritima.</t>
  </si>
  <si>
    <t>Towage.</t>
  </si>
  <si>
    <t>Pilot Insurance.</t>
  </si>
  <si>
    <t>Tarifa Fija por 2 seguros de practico $80.00 c/u.</t>
  </si>
  <si>
    <t>Linesmen.</t>
  </si>
  <si>
    <t>Tarifa fija según Puerto Mejillones amarradores en tierra.</t>
  </si>
  <si>
    <t>Ligth  Dues.</t>
  </si>
  <si>
    <t>T.Fija.Mooring /unmooring  por maniobra/por lancha.</t>
  </si>
  <si>
    <t>Pilot /Authorities Transport.</t>
  </si>
  <si>
    <t>Transporte en lancha de Piloto  $ 70.00  c/u y Autoridades $ 220.00  .</t>
  </si>
  <si>
    <t>Tarifa fija según Puerto Mejillones.</t>
  </si>
  <si>
    <t>Tarifa fija según Policia de Investigacion de Chile.</t>
  </si>
  <si>
    <t>Health authorities.</t>
  </si>
  <si>
    <t>Tarifa fija según Sanidad Maritima.</t>
  </si>
  <si>
    <t>* ADELANTOS  POR  CADA VIAJES MENSUALES  $ 18,000.00 para B&amp;M.</t>
  </si>
  <si>
    <t>BARQUITO</t>
  </si>
  <si>
    <t>Tarifa fija según SMPs amarradores en tierra.</t>
  </si>
  <si>
    <t>T.Fija.Mooring /unmooring  por maniobra/por lancha .Atlantic service.</t>
  </si>
  <si>
    <t>Other port services.</t>
  </si>
  <si>
    <t>Arriendo &amp; Handling de Espias segun necesidad.</t>
  </si>
  <si>
    <t>MATARANI</t>
  </si>
  <si>
    <t>Tarifa de servicio integral-Tramarsa . Incluye Remolcaje , Practicaje , Lancha</t>
  </si>
  <si>
    <t xml:space="preserve">Acceso </t>
  </si>
  <si>
    <t>Tarifa de servicio integral-Tramarsa . Acceso $ 70.00 + IGV</t>
  </si>
  <si>
    <t>Recargos</t>
  </si>
  <si>
    <t>Tarifa Direccion de Hidrografia y Navegacion.</t>
  </si>
  <si>
    <t>Tarifa de Transtotal.Fija.Mooring /unmooring  por maniobra/por lancha.</t>
  </si>
  <si>
    <t>Tarifa de Transtotal.Fija.</t>
  </si>
  <si>
    <t>Tarifa Region Moquegua.</t>
  </si>
  <si>
    <t xml:space="preserve">Tarifa fija Transtotal por Agenciamiento de Nave.         </t>
  </si>
  <si>
    <t xml:space="preserve">*INCLUYE MUELLAJE. </t>
  </si>
  <si>
    <t xml:space="preserve">Tarifa fija.B&amp;M por Agenciamiento de Nave.        </t>
  </si>
  <si>
    <t xml:space="preserve">Tarifa fija.B&amp;M por Agenciamiento de Nave.                </t>
  </si>
  <si>
    <t xml:space="preserve">*NO INCLUYE MUELLAJE </t>
  </si>
  <si>
    <t>Loading Master</t>
  </si>
  <si>
    <t>CALLAO</t>
  </si>
  <si>
    <t>MARCONA</t>
  </si>
  <si>
    <t>Tarifa PSA MARINE ($4,980*Mnver + 18%vat) por maniobra.</t>
  </si>
  <si>
    <t xml:space="preserve"> Linesmen /amarre y desamarre</t>
  </si>
  <si>
    <t>Towage /Remolcaje</t>
  </si>
  <si>
    <t>Linesmen /amarre y desamarre</t>
  </si>
  <si>
    <t>Coordinator</t>
  </si>
  <si>
    <t>$ 200 per day +18%</t>
  </si>
  <si>
    <t>Launch  for Authorities</t>
  </si>
  <si>
    <t>$ 250 * maneuver +18%</t>
  </si>
  <si>
    <t xml:space="preserve">*NO INCLUYE MUELLAJE. </t>
  </si>
  <si>
    <t>USD</t>
  </si>
  <si>
    <t>TOTAL  USD</t>
  </si>
  <si>
    <t>*</t>
  </si>
  <si>
    <t>MEJILLONES</t>
  </si>
  <si>
    <t>Tarifa PSA MARINE ( $18,000*Mnver + 18%vat) por maniobra 2.</t>
  </si>
  <si>
    <t>Practicaje.</t>
  </si>
  <si>
    <t>Aún no consideran una tarifa por el Uso de Amarradero o si se requerirá de una Lancha de Permanencia para los operativos,</t>
  </si>
  <si>
    <t>Tarifa PSA MARINE ($4,250*Launchboat + 18%vat) .(incluye 2 lanchas  y gavieras )</t>
  </si>
  <si>
    <t>* NO APLICA RECARGOS.</t>
  </si>
  <si>
    <t xml:space="preserve">Sanitary Inspection (Reception/Dispatch) </t>
  </si>
  <si>
    <t>Clearance Expenses (In/Out)</t>
  </si>
  <si>
    <t>Tarifa Direccion de Hidrografia y navegacion($0.03*GT coming from a national port)</t>
  </si>
  <si>
    <t>Las tarifas resaltadas corresponden a servicios licitados por Marcobre, para el cual la empresa ganadora fue PSA Marine; dichas tarifas se encuentran confirmadas.
Servicio de Remolcaje Stand By  a partir de 60 horas aplica  USD  3,000.00 diario por cada remolcador por dia y fraccion.
Aún no se ha confirmado por el lado del terminal si estarán considerando una tarifa por el Uso de Amarradero o si se requerirá de una Lancha de Permanencia para los operativos, lo cual incrementaría los costos de la proforma en caso se confirmen.
Se está considerando que la nave procede de un Puerto Nacional y será despachada a un Puerto Nacional.</t>
  </si>
  <si>
    <t>$40X HORA aproximado de  40 horas (Tarifa PSA Marine SA)</t>
  </si>
  <si>
    <t>Transportation</t>
  </si>
  <si>
    <t>Clearance (In/Out)</t>
  </si>
  <si>
    <t xml:space="preserve">Coordinator on board     </t>
  </si>
  <si>
    <t>Remolcaje Stand by.</t>
  </si>
  <si>
    <t>$ 3,000.00  * a partir de 60 horas.</t>
  </si>
  <si>
    <t>2do Remolcador</t>
  </si>
  <si>
    <t>1er Remolcador</t>
  </si>
  <si>
    <t xml:space="preserve">Lighthouse Dues                 </t>
  </si>
  <si>
    <t xml:space="preserve">Tarifa fija Transtotal </t>
  </si>
  <si>
    <t xml:space="preserve">  *RECARGOS: PSA MARINE</t>
  </si>
  <si>
    <t xml:space="preserve"> 25%  ENTRE 18 Y 24 HRS. LUN-SAB</t>
  </si>
  <si>
    <t xml:space="preserve"> 50%  ENTRE 00 Y 07 HRS. LUN-SAB</t>
  </si>
  <si>
    <t xml:space="preserve"> 50%  DOMINGOS Y FERIADOS</t>
  </si>
  <si>
    <t>Tarifa de servicio integral-Tramarsa  min .25% max 50%</t>
  </si>
  <si>
    <t>Tarifa Fija Puerto Mejillones.</t>
  </si>
  <si>
    <t>Tugboat stand by</t>
  </si>
  <si>
    <t>Launch Hire./Lanchas</t>
  </si>
  <si>
    <t>Tarifa Ultratug.(Tarifario Publico )</t>
  </si>
  <si>
    <t>Tarifa fija según Puerto Mejillones. $ 62 x th 36 H</t>
  </si>
  <si>
    <t>Tarifa fija según Puerto Mejillones.por nominacion usd 2401.90</t>
  </si>
  <si>
    <t>B&amp;M /Remolcaje Stand by ULTRATUG</t>
  </si>
  <si>
    <t xml:space="preserve">B&amp;M / Dockage-Muellaje </t>
  </si>
  <si>
    <t>B&amp;M AGENTES MARITIMOS</t>
  </si>
  <si>
    <t>*TOTAL  USD</t>
  </si>
  <si>
    <t xml:space="preserve">*CARGA DE 13,500 TM -SUA </t>
  </si>
  <si>
    <t xml:space="preserve">H/P Naviera Petral </t>
  </si>
  <si>
    <t xml:space="preserve">TRANSTOTAL </t>
  </si>
  <si>
    <t xml:space="preserve">B&amp;M </t>
  </si>
  <si>
    <t>TRANSTOTAL</t>
  </si>
  <si>
    <t>Petranso Remolcadores   Tarifa minima   $ 800 por maniobra (2)   2 in 2 out</t>
  </si>
  <si>
    <t>Transportation/comunication</t>
  </si>
  <si>
    <t xml:space="preserve">*LIGHT DUES CHILE = USD 3.74 /GRT POR AÑO : USD 30,888.66
</t>
  </si>
  <si>
    <t>Tisur Tarifa  $0.57 X Hora  (24 )X Eslora (134.16)</t>
  </si>
  <si>
    <t>USD$150* por dia + 18% IGV</t>
  </si>
  <si>
    <t>Launchboats Costs</t>
  </si>
  <si>
    <t>2nd tug navigation/10hrs rountrip.</t>
  </si>
  <si>
    <r>
      <t xml:space="preserve">A. Detalle de servicios. </t>
    </r>
    <r>
      <rPr>
        <b/>
        <i/>
        <sz val="11"/>
        <color theme="1"/>
        <rFont val="Calibri"/>
        <family val="2"/>
        <scheme val="minor"/>
      </rPr>
      <t>USD 1,800</t>
    </r>
  </si>
  <si>
    <t>2 lanchas para Amarra</t>
  </si>
  <si>
    <t>1 lancha para desamarra</t>
  </si>
  <si>
    <t>1 recepción</t>
  </si>
  <si>
    <t xml:space="preserve">1 despacho </t>
  </si>
  <si>
    <t xml:space="preserve">B. Servicios adicionales </t>
  </si>
  <si>
    <t xml:space="preserve">Adicional horario normal (hábil) </t>
  </si>
  <si>
    <t>Fondeo                : USD 340 X HR</t>
  </si>
  <si>
    <t>Viajes                   : USD 150 X HR</t>
  </si>
  <si>
    <t>Adicional horario nocturno y festivos</t>
  </si>
  <si>
    <t>Fondeo                : USD 510 X HR</t>
  </si>
  <si>
    <t>Viajes                   : USD 225 X HR.</t>
  </si>
  <si>
    <t xml:space="preserve"> Serv.Transporte Maritimo Atlantic Service.</t>
  </si>
  <si>
    <t>2017-2023</t>
  </si>
  <si>
    <t>Servicio de lanchas marre, desamarre, recepcion , despacho</t>
  </si>
  <si>
    <t>Recargos adicionales  fondeo / feriados y horas nocturnas/ por hora</t>
  </si>
  <si>
    <t>Recargos adicionales por  viajes / feriados y horas nocturnas/ por hora</t>
  </si>
  <si>
    <t>Recargos adicionales  viajes /horario normal / por hora</t>
  </si>
  <si>
    <t>Recargos adicionales  fondeo/horario normal / por hora</t>
  </si>
  <si>
    <t>INCREMENTO</t>
  </si>
  <si>
    <t>Enero 2024.</t>
  </si>
  <si>
    <t xml:space="preserve">Tarifa-PSA  $ 0.16 x  Trb.8,259 . </t>
  </si>
  <si>
    <t>Transportation/Comunication</t>
  </si>
  <si>
    <t>Tarifa de Transtotal.Fija.Mooring /unmooring  por maniobra/por lanch USD .80.00 xh.</t>
  </si>
  <si>
    <t>Mtons 13,500.00</t>
  </si>
  <si>
    <t>PUERTO DE DESTINO</t>
  </si>
  <si>
    <t>B&amp;M Agencia Maritima/Puerto Mejillones /Autoridad Maritima/Lanchas/Faros y Balizas/Pilot/Loading Master/Salud.</t>
  </si>
  <si>
    <t xml:space="preserve">B&amp;M /Lancha Stand by </t>
  </si>
  <si>
    <t>B&amp;M/Remolcaje ULTRATUG *</t>
  </si>
  <si>
    <t>TOTAL  USD  SIN MUELLAJE</t>
  </si>
  <si>
    <t>DIFERENCIAL POR AÑO USD</t>
  </si>
  <si>
    <t>DIFERENCIAL POR AÑO  %</t>
  </si>
  <si>
    <t>Nota: El incremento de tarifa en los costos  se origina principalmente  por  el incremento de tarifa de Remolcaje con Ultratug.</t>
  </si>
  <si>
    <t>*Incluye cargo de remolcadores  correspondiente a regulacion local, con tarifa correspondiente  acuerdo con Ultratug vigente desde el mes de Agosto 2023 hasta Agosto 2024.</t>
  </si>
  <si>
    <t>** De acuerdo a proformas de Agentes Maritimos B&amp;M .</t>
  </si>
  <si>
    <t>BOMAR LYNX</t>
  </si>
  <si>
    <t>COSTOS PORTUARIOS  2021-2024</t>
  </si>
  <si>
    <t>640 *TH /36 H</t>
  </si>
  <si>
    <t>TERQUIM</t>
  </si>
  <si>
    <t>USD 3.74 /GRT por año./3 viajes.</t>
  </si>
  <si>
    <t>Tarifa Fija. 2024  $ 5,200  por maniobra mooring/unmooring- Remolcadores Ultratug Ltd.</t>
  </si>
  <si>
    <t>Hose conection</t>
  </si>
  <si>
    <t>Tarifa Ultratug.( Concepto exigido por Autoridad Martima) $675 por hora.</t>
  </si>
  <si>
    <t xml:space="preserve">Hose conection/Portalon  </t>
  </si>
  <si>
    <t>Transtotal.Fija.Mooring /unmooring  por maniobra/por lancha.$ 90.00</t>
  </si>
  <si>
    <t>Launch autoridades.</t>
  </si>
  <si>
    <t>Lanchas de por transporte de Autoridades.</t>
  </si>
  <si>
    <t>Tarifa fija según Sanidad maritima. S/1,284.00</t>
  </si>
  <si>
    <t>ILO PATIO PUERTO</t>
  </si>
  <si>
    <t>Transtotal.Fija.Mooring /unmooring ,pilot,posicionamiento por maniobra/por lancha.</t>
  </si>
  <si>
    <t>*NO INCLUYE  RECARGOS PSA MARINE/PETRANSO</t>
  </si>
  <si>
    <t>Time in port (hrs) 30 -Carga de 13,500.00TN SUA.</t>
  </si>
  <si>
    <t>Tarifa Fija. 2024  $ 2,800 * 3  por maniobra mooring/unmooring- Remolcadores Ultratug Ltd.</t>
  </si>
  <si>
    <t>5.72*LOA*TH /30 H Puerto Mejillones terquim</t>
  </si>
  <si>
    <t>Tarifa Fija. 2026 $ 2,800. maniobra mooring/unmooring- Remolcadores Ultratug Ltd.</t>
  </si>
  <si>
    <t xml:space="preserve">* INCLUYE MUELLAJE </t>
  </si>
  <si>
    <t>Carga de 13,500.00TN SUA.</t>
  </si>
  <si>
    <t xml:space="preserve">*LIGHT DUES CHILE = USD 4.07 /GRT POR AÑO : USD 33,614.13( 0.11 incremento 2026  USD  4.07 en USD 1,250.15)
</t>
  </si>
  <si>
    <t>* ADELANTOS  POR  CADA VIAJE MENSUALES  $ 18,000.00 para B&amp;M.</t>
  </si>
  <si>
    <t>*LIGHT DUES CHILE = USD 4.07 /GRT POR AÑO : USD 33,614.13 /15 viajes aprox</t>
  </si>
  <si>
    <t>3.99 *loa*36 h</t>
  </si>
  <si>
    <t xml:space="preserve">USD71.92 por hora (28 H) </t>
  </si>
  <si>
    <t>Tarifa-PSA Marine  $ 0.16 x  Trb.8259</t>
  </si>
  <si>
    <t>Tarifa APM $1.50 por hora o fraccion.</t>
  </si>
  <si>
    <t>Petranso Remolcadores   Tarifa $ 0.18 x Trb 8,259, sujeta a 10% descuentos, posicionamiento $ 1400</t>
  </si>
  <si>
    <t>Petranso Remolcadores   Tarifa $ 0.1785 x Trb 8259 sujeta a 10% descuentos, posicionamiento $ 1400</t>
  </si>
  <si>
    <t>Tarifa fija.B&amp;M .</t>
  </si>
  <si>
    <t>En base a 30 horas de operación.</t>
  </si>
  <si>
    <t>Eslora        :          134.16 mtrs.</t>
  </si>
  <si>
    <t>DW            :          14,298.00 mtons.</t>
  </si>
  <si>
    <t>GRT           :          8,259.00 mtons.</t>
  </si>
  <si>
    <t>*DE ACUERDO A PROFORMA ENVIADA POR  B&amp;M .</t>
  </si>
  <si>
    <t>*DE ACUERDO A PROFORMA ENVIADA POR  B&amp;M.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</si>
</sst>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409]#,##0.00"/>
    <numFmt numFmtId="166" formatCode="[$$-540A]#,##0.00"/>
  </numFmts>
  <fonts count="69" x14ac:knownFonts="1">
    <font>
      <sz val="11"/>
      <color theme="1"/>
      <name val="Calibri"/>
      <family val="2"/>
      <scheme val="minor"/>
    </font>
    <font>
      <b/>
      <i/>
      <sz val="10"/>
      <name val="Arial"/>
      <family val="2"/>
    </font>
    <font>
      <b/>
      <i/>
      <sz val="12"/>
      <name val="Arial"/>
      <family val="2"/>
    </font>
    <font>
      <b/>
      <i/>
      <u/>
      <sz val="10"/>
      <name val="Arial"/>
      <family val="2"/>
    </font>
    <font>
      <sz val="10"/>
      <name val="Arial"/>
      <family val="2"/>
    </font>
    <font>
      <b/>
      <i/>
      <u/>
      <sz val="14"/>
      <name val="Arial"/>
      <family val="2"/>
    </font>
    <font>
      <b/>
      <i/>
      <u/>
      <sz val="12"/>
      <name val="Arial"/>
      <family val="2"/>
    </font>
    <font>
      <b/>
      <i/>
      <sz val="10"/>
      <color rgb="FFC00000"/>
      <name val="Arial"/>
      <family val="2"/>
    </font>
    <font>
      <b/>
      <sz val="10"/>
      <name val="Arial"/>
      <family val="2"/>
    </font>
    <font>
      <sz val="11"/>
      <color theme="1"/>
      <name val="Arial"/>
      <family val="2"/>
    </font>
    <font>
      <sz val="10"/>
      <color theme="1"/>
      <name val="Arial"/>
      <family val="2"/>
    </font>
    <font>
      <b/>
      <i/>
      <sz val="10"/>
      <color rgb="FFFF0000"/>
      <name val="Arial"/>
      <family val="2"/>
    </font>
    <font>
      <b/>
      <sz val="10"/>
      <color theme="1"/>
      <name val="Arial"/>
      <family val="2"/>
    </font>
    <font>
      <b/>
      <u/>
      <sz val="12"/>
      <name val="Arial"/>
      <family val="2"/>
    </font>
    <font>
      <b/>
      <sz val="12"/>
      <name val="Arial"/>
      <family val="2"/>
    </font>
    <font>
      <b/>
      <sz val="10"/>
      <color rgb="FFC00000"/>
      <name val="Arial"/>
      <family val="2"/>
    </font>
    <font>
      <sz val="12"/>
      <color rgb="FF201F1E"/>
      <name val="Arial"/>
      <family val="2"/>
    </font>
    <font>
      <sz val="12"/>
      <color rgb="FF201F1E"/>
      <name val="Calibri"/>
      <family val="2"/>
    </font>
    <font>
      <sz val="11"/>
      <color rgb="FF1F497D"/>
      <name val="Calibri"/>
      <family val="2"/>
    </font>
    <font>
      <sz val="11"/>
      <color theme="1"/>
      <name val="Calibri"/>
      <family val="2"/>
      <scheme val="minor"/>
    </font>
    <font>
      <b/>
      <sz val="16"/>
      <color theme="1"/>
      <name val="Calibri"/>
      <family val="2"/>
      <scheme val="minor"/>
    </font>
    <font>
      <b/>
      <i/>
      <sz val="16"/>
      <color theme="1"/>
      <name val="Calibri"/>
      <family val="2"/>
      <scheme val="minor"/>
    </font>
    <font>
      <b/>
      <i/>
      <sz val="18"/>
      <color theme="1"/>
      <name val="Calibri"/>
      <family val="2"/>
      <scheme val="minor"/>
    </font>
    <font>
      <b/>
      <i/>
      <sz val="18"/>
      <name val="Calibri"/>
      <family val="2"/>
      <scheme val="minor"/>
    </font>
    <font>
      <sz val="11"/>
      <name val="Arial"/>
      <family val="2"/>
    </font>
    <font>
      <b/>
      <i/>
      <sz val="10"/>
      <color theme="8" tint="-0.499984740745262"/>
      <name val="Arial"/>
      <family val="2"/>
    </font>
    <font>
      <b/>
      <sz val="10"/>
      <color theme="8" tint="-0.499984740745262"/>
      <name val="Arial"/>
      <family val="2"/>
    </font>
    <font>
      <b/>
      <sz val="10"/>
      <color rgb="FF002060"/>
      <name val="Arial"/>
      <family val="2"/>
    </font>
    <font>
      <b/>
      <u/>
      <sz val="12"/>
      <color rgb="FF002060"/>
      <name val="Arial"/>
      <family val="2"/>
    </font>
    <font>
      <b/>
      <sz val="12"/>
      <color rgb="FF002060"/>
      <name val="Arial"/>
      <family val="2"/>
    </font>
    <font>
      <b/>
      <i/>
      <sz val="12"/>
      <color rgb="FF002060"/>
      <name val="Arial"/>
      <family val="2"/>
    </font>
    <font>
      <b/>
      <i/>
      <sz val="14"/>
      <color theme="1"/>
      <name val="Arial"/>
      <family val="2"/>
    </font>
    <font>
      <b/>
      <i/>
      <sz val="14"/>
      <name val="Arial"/>
      <family val="2"/>
    </font>
    <font>
      <i/>
      <sz val="11"/>
      <color theme="1"/>
      <name val="Calibri"/>
      <family val="2"/>
      <scheme val="minor"/>
    </font>
    <font>
      <b/>
      <i/>
      <sz val="20"/>
      <color theme="1"/>
      <name val="Calibri"/>
      <family val="2"/>
      <scheme val="minor"/>
    </font>
    <font>
      <b/>
      <i/>
      <sz val="11"/>
      <color theme="1"/>
      <name val="Calibri"/>
      <family val="2"/>
      <scheme val="minor"/>
    </font>
    <font>
      <b/>
      <sz val="10"/>
      <color theme="4" tint="-0.499984740745262"/>
      <name val="Arial"/>
      <family val="2"/>
    </font>
    <font>
      <sz val="11"/>
      <color rgb="FFC00000"/>
      <name val="Calibri"/>
      <family val="2"/>
      <scheme val="minor"/>
    </font>
    <font>
      <b/>
      <i/>
      <sz val="11"/>
      <name val="Arial"/>
      <family val="2"/>
    </font>
    <font>
      <sz val="11"/>
      <name val="Calibri"/>
      <family val="2"/>
      <scheme val="minor"/>
    </font>
    <font>
      <sz val="11"/>
      <color rgb="FF201F1E"/>
      <name val="Calibri"/>
      <family val="2"/>
      <scheme val="minor"/>
    </font>
    <font>
      <b/>
      <i/>
      <sz val="26"/>
      <color theme="4" tint="-0.499984740745262"/>
      <name val="Calibri"/>
      <family val="2"/>
      <scheme val="minor"/>
    </font>
    <font>
      <b/>
      <i/>
      <sz val="26"/>
      <color theme="1"/>
      <name val="Calibri"/>
      <family val="2"/>
      <scheme val="minor"/>
    </font>
    <font>
      <b/>
      <u/>
      <sz val="20"/>
      <color theme="1"/>
      <name val="Arial"/>
      <family val="2"/>
    </font>
    <font>
      <b/>
      <sz val="12"/>
      <color rgb="FF201F1E"/>
      <name val="Arial"/>
      <family val="2"/>
    </font>
    <font>
      <b/>
      <sz val="11"/>
      <color theme="1"/>
      <name val="Arial"/>
      <family val="2"/>
    </font>
    <font>
      <b/>
      <sz val="18"/>
      <color theme="1"/>
      <name val="Calibri"/>
      <family val="2"/>
      <scheme val="minor"/>
    </font>
    <font>
      <b/>
      <sz val="18"/>
      <color rgb="FF002060"/>
      <name val="Calibri"/>
      <family val="2"/>
      <scheme val="minor"/>
    </font>
    <font>
      <b/>
      <sz val="18"/>
      <name val="Calibri"/>
      <family val="2"/>
      <scheme val="minor"/>
    </font>
    <font>
      <b/>
      <sz val="14"/>
      <color theme="1"/>
      <name val="Arial"/>
      <family val="2"/>
    </font>
    <font>
      <b/>
      <sz val="20"/>
      <name val="Calibri"/>
      <family val="2"/>
      <scheme val="minor"/>
    </font>
    <font>
      <b/>
      <sz val="20"/>
      <color theme="1"/>
      <name val="Calibri"/>
      <family val="2"/>
      <scheme val="minor"/>
    </font>
    <font>
      <b/>
      <sz val="14"/>
      <color theme="4" tint="-0.499984740745262"/>
      <name val="Calibri"/>
      <family val="2"/>
      <scheme val="minor"/>
    </font>
    <font>
      <b/>
      <sz val="18"/>
      <color theme="4" tint="-0.499984740745262"/>
      <name val="Calibri"/>
      <family val="2"/>
      <scheme val="minor"/>
    </font>
    <font>
      <b/>
      <sz val="20"/>
      <color theme="4" tint="-0.499984740745262"/>
      <name val="Calibri"/>
      <family val="2"/>
      <scheme val="minor"/>
    </font>
    <font>
      <b/>
      <sz val="18"/>
      <color theme="4" tint="-0.499984740745262"/>
      <name val="Arial"/>
      <family val="2"/>
    </font>
    <font>
      <sz val="11"/>
      <color rgb="FF002060"/>
      <name val="Calibri"/>
      <family val="2"/>
      <scheme val="minor"/>
    </font>
    <font>
      <b/>
      <i/>
      <sz val="10"/>
      <color theme="5" tint="-0.499984740745262"/>
      <name val="Arial"/>
      <family val="2"/>
    </font>
    <font>
      <i/>
      <sz val="10"/>
      <name val="Arial"/>
      <family val="2"/>
    </font>
    <font>
      <b/>
      <sz val="10"/>
      <color theme="3" tint="-0.249977111117893"/>
      <name val="Arial"/>
      <family val="2"/>
    </font>
    <font>
      <b/>
      <sz val="12"/>
      <color theme="1"/>
      <name val="Times New Roman"/>
      <family val="1"/>
    </font>
    <font>
      <b/>
      <i/>
      <sz val="12"/>
      <color theme="1"/>
      <name val="Times New Roman"/>
      <family val="1"/>
    </font>
    <font>
      <i/>
      <sz val="11"/>
      <color theme="1"/>
      <name val="Arial"/>
      <family val="2"/>
    </font>
    <font>
      <i/>
      <sz val="11"/>
      <color theme="5" tint="-0.499984740745262"/>
      <name val="Arial"/>
      <family val="2"/>
    </font>
    <font>
      <b/>
      <sz val="11"/>
      <name val="Arial"/>
      <family val="2"/>
    </font>
    <font>
      <i/>
      <sz val="11"/>
      <name val="Arial"/>
      <family val="2"/>
    </font>
    <font>
      <b/>
      <i/>
      <sz val="12"/>
      <name val="Times New Roman"/>
      <family val="1"/>
    </font>
    <font>
      <b/>
      <i/>
      <sz val="11"/>
      <name val="Times New Roman"/>
      <family val="1"/>
    </font>
    <font>
      <i/>
      <sz val="11"/>
      <name val="Times New Roman"/>
      <family val="1"/>
    </font>
  </fonts>
  <fills count="8">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9" tint="0.79998168889431442"/>
        <bgColor indexed="64"/>
      </patternFill>
    </fill>
  </fills>
  <borders count="38">
    <border>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s>
  <cellStyleXfs count="6">
    <xf numFmtId="0" fontId="0" fillId="0" borderId="0"/>
    <xf numFmtId="0" fontId="4" fillId="0" borderId="0"/>
    <xf numFmtId="0" fontId="4" fillId="0" borderId="0"/>
    <xf numFmtId="164" fontId="19" fillId="0" borderId="0" applyFont="0" applyFill="0" applyBorder="0" applyAlignment="0" applyProtection="0"/>
    <xf numFmtId="9" fontId="19" fillId="0" borderId="0" applyFont="0" applyFill="0" applyBorder="0" applyAlignment="0" applyProtection="0"/>
    <xf numFmtId="0" fontId="4" fillId="0" borderId="0"/>
  </cellStyleXfs>
  <cellXfs count="258">
    <xf numFmtId="0" fontId="0" fillId="0" borderId="0" xfId="0"/>
    <xf numFmtId="0" fontId="0" fillId="0" borderId="2" xfId="0" applyBorder="1"/>
    <xf numFmtId="0" fontId="0" fillId="0" borderId="5" xfId="0" applyBorder="1"/>
    <xf numFmtId="0" fontId="2" fillId="0" borderId="0" xfId="0" applyFont="1" applyAlignment="1">
      <alignment horizontal="center"/>
    </xf>
    <xf numFmtId="0" fontId="1" fillId="0" borderId="0" xfId="0" applyFont="1"/>
    <xf numFmtId="0" fontId="1" fillId="0" borderId="5" xfId="0" applyFont="1" applyBorder="1"/>
    <xf numFmtId="0" fontId="2" fillId="0" borderId="8" xfId="0" applyFont="1" applyBorder="1" applyAlignment="1">
      <alignment horizontal="left"/>
    </xf>
    <xf numFmtId="0" fontId="0" fillId="0" borderId="6" xfId="0" applyBorder="1"/>
    <xf numFmtId="0" fontId="9" fillId="0" borderId="0" xfId="0" applyFont="1"/>
    <xf numFmtId="0" fontId="9" fillId="0" borderId="1" xfId="0" applyFont="1" applyBorder="1"/>
    <xf numFmtId="0" fontId="11" fillId="0" borderId="0" xfId="0" applyFont="1" applyAlignment="1">
      <alignment vertical="center"/>
    </xf>
    <xf numFmtId="0" fontId="11" fillId="0" borderId="1" xfId="0" applyFont="1" applyBorder="1"/>
    <xf numFmtId="0" fontId="11" fillId="0" borderId="7" xfId="0" applyFont="1" applyBorder="1"/>
    <xf numFmtId="165" fontId="11" fillId="0" borderId="0" xfId="0" applyNumberFormat="1" applyFont="1"/>
    <xf numFmtId="165" fontId="9" fillId="0" borderId="0" xfId="0" applyNumberFormat="1" applyFont="1"/>
    <xf numFmtId="0" fontId="9" fillId="0" borderId="0" xfId="0" applyFont="1" applyAlignment="1">
      <alignment vertical="center"/>
    </xf>
    <xf numFmtId="0" fontId="6" fillId="2" borderId="12" xfId="1" applyFont="1" applyFill="1" applyBorder="1" applyAlignment="1">
      <alignment horizontal="center"/>
    </xf>
    <xf numFmtId="0" fontId="6" fillId="2" borderId="4" xfId="1" applyFont="1" applyFill="1" applyBorder="1" applyAlignment="1">
      <alignment horizontal="center"/>
    </xf>
    <xf numFmtId="0" fontId="2" fillId="2" borderId="13" xfId="1" applyFont="1" applyFill="1" applyBorder="1" applyAlignment="1">
      <alignment horizontal="center"/>
    </xf>
    <xf numFmtId="0" fontId="2" fillId="2" borderId="7" xfId="1" applyFont="1" applyFill="1" applyBorder="1" applyAlignment="1">
      <alignment horizontal="center"/>
    </xf>
    <xf numFmtId="0" fontId="1" fillId="2" borderId="14" xfId="1" applyFont="1" applyFill="1" applyBorder="1"/>
    <xf numFmtId="0" fontId="1" fillId="2" borderId="1" xfId="1" applyFont="1" applyFill="1" applyBorder="1"/>
    <xf numFmtId="4" fontId="8" fillId="2" borderId="14" xfId="1" applyNumberFormat="1" applyFont="1" applyFill="1" applyBorder="1" applyAlignment="1">
      <alignment horizontal="center" vertical="center"/>
    </xf>
    <xf numFmtId="4" fontId="8" fillId="2" borderId="1" xfId="1" applyNumberFormat="1" applyFont="1" applyFill="1" applyBorder="1" applyAlignment="1">
      <alignment horizontal="center" vertical="center"/>
    </xf>
    <xf numFmtId="4" fontId="8" fillId="2" borderId="14" xfId="1" applyNumberFormat="1" applyFont="1" applyFill="1" applyBorder="1" applyAlignment="1">
      <alignment horizontal="center"/>
    </xf>
    <xf numFmtId="4" fontId="7" fillId="2" borderId="14" xfId="1" quotePrefix="1" applyNumberFormat="1" applyFont="1" applyFill="1" applyBorder="1" applyAlignment="1">
      <alignment horizontal="center"/>
    </xf>
    <xf numFmtId="4" fontId="8" fillId="2" borderId="14" xfId="0" applyNumberFormat="1" applyFont="1" applyFill="1" applyBorder="1" applyAlignment="1">
      <alignment horizontal="center" vertical="center"/>
    </xf>
    <xf numFmtId="4" fontId="12" fillId="2" borderId="14" xfId="0" applyNumberFormat="1" applyFont="1" applyFill="1" applyBorder="1" applyAlignment="1">
      <alignment horizontal="center"/>
    </xf>
    <xf numFmtId="4" fontId="1" fillId="2" borderId="14" xfId="0" applyNumberFormat="1" applyFont="1" applyFill="1" applyBorder="1" applyAlignment="1">
      <alignment horizontal="center"/>
    </xf>
    <xf numFmtId="4" fontId="10" fillId="2" borderId="14" xfId="0" applyNumberFormat="1" applyFont="1" applyFill="1" applyBorder="1" applyAlignment="1">
      <alignment horizontal="center"/>
    </xf>
    <xf numFmtId="165" fontId="1" fillId="2" borderId="10" xfId="0" applyNumberFormat="1" applyFont="1" applyFill="1" applyBorder="1" applyAlignment="1">
      <alignment horizontal="center"/>
    </xf>
    <xf numFmtId="4" fontId="8" fillId="2" borderId="10" xfId="1" applyNumberFormat="1" applyFont="1" applyFill="1" applyBorder="1" applyAlignment="1">
      <alignment horizontal="center" vertical="center"/>
    </xf>
    <xf numFmtId="0" fontId="1" fillId="3" borderId="7"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horizontal="left"/>
    </xf>
    <xf numFmtId="0" fontId="9" fillId="3" borderId="1" xfId="0" applyFont="1" applyFill="1" applyBorder="1" applyAlignment="1">
      <alignment horizontal="center"/>
    </xf>
    <xf numFmtId="0" fontId="3" fillId="3" borderId="4" xfId="0" applyFont="1" applyFill="1" applyBorder="1" applyAlignment="1">
      <alignment horizontal="center"/>
    </xf>
    <xf numFmtId="0" fontId="9" fillId="3" borderId="1" xfId="0" applyFont="1" applyFill="1" applyBorder="1" applyAlignment="1">
      <alignment horizontal="left" wrapText="1"/>
    </xf>
    <xf numFmtId="0" fontId="3" fillId="0" borderId="4" xfId="0" applyFont="1" applyBorder="1" applyAlignment="1">
      <alignment horizontal="center"/>
    </xf>
    <xf numFmtId="0" fontId="1" fillId="0" borderId="7" xfId="0" applyFont="1" applyBorder="1" applyAlignment="1">
      <alignment horizontal="center"/>
    </xf>
    <xf numFmtId="0" fontId="9" fillId="0" borderId="1" xfId="0" applyFont="1" applyBorder="1" applyAlignment="1">
      <alignment horizontal="left" vertical="center"/>
    </xf>
    <xf numFmtId="0" fontId="9" fillId="0" borderId="1" xfId="0" applyFont="1" applyBorder="1" applyAlignment="1">
      <alignment horizontal="left"/>
    </xf>
    <xf numFmtId="0" fontId="9" fillId="0" borderId="1" xfId="0" applyFont="1" applyBorder="1" applyAlignment="1">
      <alignment horizontal="left" vertical="center" wrapText="1"/>
    </xf>
    <xf numFmtId="0" fontId="9" fillId="0" borderId="1" xfId="0" applyFont="1" applyBorder="1" applyAlignment="1">
      <alignment horizontal="center"/>
    </xf>
    <xf numFmtId="4" fontId="1" fillId="2" borderId="14" xfId="1" quotePrefix="1" applyNumberFormat="1" applyFont="1" applyFill="1" applyBorder="1" applyAlignment="1">
      <alignment horizontal="center"/>
    </xf>
    <xf numFmtId="4" fontId="8" fillId="2" borderId="14" xfId="0" applyNumberFormat="1" applyFont="1" applyFill="1" applyBorder="1" applyAlignment="1">
      <alignment horizontal="center"/>
    </xf>
    <xf numFmtId="4" fontId="4" fillId="2" borderId="14" xfId="0" applyNumberFormat="1" applyFont="1" applyFill="1" applyBorder="1" applyAlignment="1">
      <alignment horizontal="center"/>
    </xf>
    <xf numFmtId="0" fontId="9" fillId="2" borderId="11" xfId="0" applyFont="1" applyFill="1" applyBorder="1" applyAlignment="1">
      <alignment horizontal="center"/>
    </xf>
    <xf numFmtId="0" fontId="13" fillId="2" borderId="12" xfId="1" applyFont="1" applyFill="1" applyBorder="1" applyAlignment="1">
      <alignment horizontal="center"/>
    </xf>
    <xf numFmtId="0" fontId="14" fillId="2" borderId="13" xfId="1" applyFont="1" applyFill="1" applyBorder="1" applyAlignment="1">
      <alignment horizontal="center"/>
    </xf>
    <xf numFmtId="0" fontId="8" fillId="2" borderId="14" xfId="1" applyFont="1" applyFill="1" applyBorder="1"/>
    <xf numFmtId="4" fontId="15" fillId="2" borderId="14" xfId="1" quotePrefix="1" applyNumberFormat="1" applyFont="1" applyFill="1" applyBorder="1" applyAlignment="1">
      <alignment horizontal="center"/>
    </xf>
    <xf numFmtId="165" fontId="8" fillId="2" borderId="10" xfId="0" applyNumberFormat="1"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5"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1" fillId="2" borderId="14" xfId="1" applyFont="1" applyFill="1" applyBorder="1" applyAlignment="1">
      <alignment horizontal="center"/>
    </xf>
    <xf numFmtId="165" fontId="9" fillId="0" borderId="0" xfId="0" applyNumberFormat="1" applyFont="1" applyAlignment="1">
      <alignment horizontal="center"/>
    </xf>
    <xf numFmtId="165" fontId="11" fillId="0" borderId="0" xfId="0" applyNumberFormat="1" applyFont="1" applyAlignment="1">
      <alignment horizontal="center"/>
    </xf>
    <xf numFmtId="0" fontId="11" fillId="0" borderId="1" xfId="0" applyFont="1" applyBorder="1" applyAlignment="1">
      <alignment horizontal="center"/>
    </xf>
    <xf numFmtId="0" fontId="11" fillId="0" borderId="0" xfId="0" applyFont="1" applyAlignment="1">
      <alignment horizontal="center"/>
    </xf>
    <xf numFmtId="0" fontId="0" fillId="0" borderId="6" xfId="0" applyBorder="1" applyAlignment="1">
      <alignment horizontal="center"/>
    </xf>
    <xf numFmtId="0" fontId="11" fillId="0" borderId="9" xfId="0" applyFont="1" applyBorder="1" applyAlignment="1">
      <alignment horizontal="center" vertical="top" wrapText="1"/>
    </xf>
    <xf numFmtId="0" fontId="11" fillId="0" borderId="7" xfId="0" applyFont="1" applyBorder="1" applyAlignment="1">
      <alignment horizontal="center"/>
    </xf>
    <xf numFmtId="0" fontId="1" fillId="0" borderId="5" xfId="0" applyFont="1" applyBorder="1" applyAlignment="1">
      <alignment horizontal="left"/>
    </xf>
    <xf numFmtId="0" fontId="1" fillId="0" borderId="0" xfId="0" applyFont="1" applyAlignment="1">
      <alignment horizontal="left"/>
    </xf>
    <xf numFmtId="0" fontId="0" fillId="0" borderId="5" xfId="0" applyBorder="1" applyAlignment="1">
      <alignment horizontal="left"/>
    </xf>
    <xf numFmtId="0" fontId="9" fillId="0" borderId="0" xfId="0" applyFont="1" applyAlignment="1">
      <alignment horizontal="left" vertical="center"/>
    </xf>
    <xf numFmtId="0" fontId="9" fillId="0" borderId="0" xfId="0" applyFont="1" applyAlignment="1">
      <alignment horizontal="left"/>
    </xf>
    <xf numFmtId="0" fontId="11" fillId="0" borderId="9" xfId="0" applyFont="1" applyBorder="1" applyAlignment="1">
      <alignment horizontal="left" vertical="top" wrapText="1"/>
    </xf>
    <xf numFmtId="0" fontId="6" fillId="2" borderId="12" xfId="1" applyFont="1" applyFill="1" applyBorder="1" applyAlignment="1">
      <alignment horizontal="center" wrapText="1"/>
    </xf>
    <xf numFmtId="0" fontId="2" fillId="2" borderId="13" xfId="1" applyFont="1" applyFill="1" applyBorder="1" applyAlignment="1">
      <alignment horizontal="center" wrapText="1"/>
    </xf>
    <xf numFmtId="0" fontId="0" fillId="0" borderId="1" xfId="0" applyBorder="1"/>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20" fillId="3" borderId="0" xfId="0" applyFont="1" applyFill="1"/>
    <xf numFmtId="0" fontId="0" fillId="3" borderId="0" xfId="0" applyFill="1"/>
    <xf numFmtId="0" fontId="24" fillId="0" borderId="0" xfId="0" applyFont="1" applyAlignment="1">
      <alignment horizontal="left" vertical="center"/>
    </xf>
    <xf numFmtId="0" fontId="25" fillId="2" borderId="1" xfId="1" applyFont="1" applyFill="1" applyBorder="1" applyAlignment="1">
      <alignment horizontal="center"/>
    </xf>
    <xf numFmtId="4" fontId="26" fillId="2" borderId="1" xfId="1" applyNumberFormat="1" applyFont="1" applyFill="1" applyBorder="1" applyAlignment="1">
      <alignment horizontal="center" vertical="center"/>
    </xf>
    <xf numFmtId="4" fontId="26" fillId="2" borderId="10" xfId="1" applyNumberFormat="1" applyFont="1" applyFill="1" applyBorder="1" applyAlignment="1">
      <alignment horizontal="center" vertical="center"/>
    </xf>
    <xf numFmtId="0" fontId="3" fillId="4" borderId="4" xfId="0" applyFont="1" applyFill="1" applyBorder="1" applyAlignment="1">
      <alignment horizontal="center"/>
    </xf>
    <xf numFmtId="0" fontId="1" fillId="4" borderId="7" xfId="0" applyFont="1" applyFill="1" applyBorder="1" applyAlignment="1">
      <alignment horizontal="center"/>
    </xf>
    <xf numFmtId="4" fontId="12" fillId="2" borderId="14" xfId="0" applyNumberFormat="1" applyFont="1" applyFill="1" applyBorder="1" applyAlignment="1">
      <alignment horizontal="center" vertical="center"/>
    </xf>
    <xf numFmtId="0" fontId="9" fillId="3" borderId="0" xfId="0" applyFont="1" applyFill="1" applyAlignment="1">
      <alignment vertical="center"/>
    </xf>
    <xf numFmtId="4" fontId="27" fillId="2" borderId="1" xfId="1" applyNumberFormat="1" applyFont="1" applyFill="1" applyBorder="1" applyAlignment="1">
      <alignment horizontal="center" vertical="center"/>
    </xf>
    <xf numFmtId="4" fontId="27" fillId="2" borderId="10" xfId="1" applyNumberFormat="1" applyFont="1" applyFill="1" applyBorder="1" applyAlignment="1">
      <alignment horizontal="center" vertical="center"/>
    </xf>
    <xf numFmtId="0" fontId="28" fillId="2" borderId="4" xfId="1" applyFont="1" applyFill="1" applyBorder="1" applyAlignment="1">
      <alignment horizontal="center"/>
    </xf>
    <xf numFmtId="0" fontId="29" fillId="2" borderId="7" xfId="1" applyFont="1" applyFill="1" applyBorder="1" applyAlignment="1">
      <alignment horizontal="center"/>
    </xf>
    <xf numFmtId="0" fontId="27" fillId="2" borderId="1" xfId="1" applyFont="1" applyFill="1" applyBorder="1"/>
    <xf numFmtId="0" fontId="5" fillId="0" borderId="0" xfId="0" applyFont="1" applyAlignment="1">
      <alignment horizontal="center"/>
    </xf>
    <xf numFmtId="0" fontId="5" fillId="0" borderId="1" xfId="0" applyFont="1" applyBorder="1" applyAlignment="1">
      <alignment horizontal="center"/>
    </xf>
    <xf numFmtId="166" fontId="33" fillId="0" borderId="0" xfId="0" applyNumberFormat="1" applyFont="1"/>
    <xf numFmtId="166" fontId="31" fillId="0" borderId="16" xfId="3" applyNumberFormat="1" applyFont="1" applyBorder="1" applyAlignment="1">
      <alignment vertical="center"/>
    </xf>
    <xf numFmtId="166" fontId="31" fillId="0" borderId="17" xfId="3" applyNumberFormat="1" applyFont="1" applyBorder="1" applyAlignment="1">
      <alignment vertical="center"/>
    </xf>
    <xf numFmtId="166" fontId="32" fillId="3" borderId="22" xfId="0" applyNumberFormat="1" applyFont="1" applyFill="1" applyBorder="1" applyAlignment="1">
      <alignment vertical="center"/>
    </xf>
    <xf numFmtId="0" fontId="11" fillId="0" borderId="9" xfId="0" applyFont="1" applyBorder="1" applyAlignment="1">
      <alignment vertical="top" wrapText="1"/>
    </xf>
    <xf numFmtId="0" fontId="11" fillId="0" borderId="0" xfId="0" applyFont="1" applyAlignment="1">
      <alignment horizontal="left" vertical="top" wrapText="1"/>
    </xf>
    <xf numFmtId="4" fontId="36" fillId="2" borderId="1" xfId="1" applyNumberFormat="1" applyFont="1" applyFill="1" applyBorder="1" applyAlignment="1">
      <alignment horizontal="center" vertical="center"/>
    </xf>
    <xf numFmtId="4" fontId="36" fillId="2" borderId="10" xfId="1" applyNumberFormat="1" applyFont="1" applyFill="1" applyBorder="1" applyAlignment="1">
      <alignment horizontal="center" vertical="center"/>
    </xf>
    <xf numFmtId="0" fontId="37" fillId="0" borderId="0" xfId="0" applyFont="1" applyAlignment="1">
      <alignment horizontal="center"/>
    </xf>
    <xf numFmtId="0" fontId="30" fillId="2" borderId="7" xfId="1" applyFont="1" applyFill="1" applyBorder="1" applyAlignment="1">
      <alignment horizontal="center"/>
    </xf>
    <xf numFmtId="0" fontId="40" fillId="0" borderId="0" xfId="0" applyFont="1" applyAlignment="1">
      <alignment vertical="center" wrapText="1"/>
    </xf>
    <xf numFmtId="0" fontId="40" fillId="0" borderId="7" xfId="0" applyFont="1" applyBorder="1" applyAlignment="1">
      <alignment vertical="center" wrapText="1"/>
    </xf>
    <xf numFmtId="0" fontId="3" fillId="2" borderId="4" xfId="0" applyFont="1" applyFill="1" applyBorder="1" applyAlignment="1">
      <alignment horizontal="center"/>
    </xf>
    <xf numFmtId="0" fontId="1" fillId="2" borderId="7" xfId="0" applyFont="1" applyFill="1" applyBorder="1" applyAlignment="1">
      <alignment horizontal="center"/>
    </xf>
    <xf numFmtId="0" fontId="11" fillId="0" borderId="0" xfId="0" applyFont="1" applyAlignment="1">
      <alignment vertical="center" wrapText="1"/>
    </xf>
    <xf numFmtId="0" fontId="2" fillId="3" borderId="0" xfId="0" applyFont="1" applyFill="1" applyAlignment="1">
      <alignment vertical="center"/>
    </xf>
    <xf numFmtId="0" fontId="39" fillId="3" borderId="0" xfId="0" applyFont="1" applyFill="1"/>
    <xf numFmtId="0" fontId="33" fillId="0" borderId="0" xfId="0" applyFont="1" applyAlignment="1">
      <alignment horizontal="left" vertical="center" indent="1"/>
    </xf>
    <xf numFmtId="0" fontId="0" fillId="0" borderId="0" xfId="0" applyAlignment="1">
      <alignment vertical="center"/>
    </xf>
    <xf numFmtId="0" fontId="33" fillId="0" borderId="0" xfId="0" applyFont="1" applyAlignment="1">
      <alignment vertical="center"/>
    </xf>
    <xf numFmtId="0" fontId="33" fillId="0" borderId="0" xfId="0" applyFont="1" applyAlignment="1">
      <alignment horizontal="left" vertical="center" indent="5"/>
    </xf>
    <xf numFmtId="0" fontId="35" fillId="3" borderId="16" xfId="0" applyFont="1" applyFill="1" applyBorder="1" applyAlignment="1">
      <alignment horizontal="center" vertical="top"/>
    </xf>
    <xf numFmtId="0" fontId="35" fillId="3" borderId="22" xfId="0" applyFont="1" applyFill="1" applyBorder="1" applyAlignment="1">
      <alignment horizontal="center" vertical="top"/>
    </xf>
    <xf numFmtId="0" fontId="34" fillId="4" borderId="16" xfId="0" applyFont="1" applyFill="1" applyBorder="1" applyAlignment="1">
      <alignment horizontal="center" vertical="top"/>
    </xf>
    <xf numFmtId="0" fontId="34" fillId="4" borderId="22" xfId="0" applyFont="1" applyFill="1" applyBorder="1" applyAlignment="1">
      <alignment horizontal="center" vertical="top"/>
    </xf>
    <xf numFmtId="0" fontId="21" fillId="5" borderId="27" xfId="0" applyFont="1" applyFill="1" applyBorder="1" applyAlignment="1">
      <alignment horizontal="center" wrapText="1"/>
    </xf>
    <xf numFmtId="0" fontId="21" fillId="5" borderId="20" xfId="0" applyFont="1" applyFill="1" applyBorder="1" applyAlignment="1">
      <alignment horizontal="center" wrapText="1"/>
    </xf>
    <xf numFmtId="166" fontId="22" fillId="5" borderId="29" xfId="3" applyNumberFormat="1" applyFont="1" applyFill="1" applyBorder="1" applyAlignment="1"/>
    <xf numFmtId="166" fontId="22" fillId="5" borderId="30" xfId="3" applyNumberFormat="1" applyFont="1" applyFill="1" applyBorder="1" applyAlignment="1"/>
    <xf numFmtId="0" fontId="43" fillId="3" borderId="0" xfId="0" applyFont="1" applyFill="1"/>
    <xf numFmtId="4" fontId="44" fillId="3" borderId="0" xfId="0" applyNumberFormat="1" applyFont="1" applyFill="1"/>
    <xf numFmtId="0" fontId="45" fillId="3" borderId="0" xfId="0" applyFont="1" applyFill="1"/>
    <xf numFmtId="0" fontId="9" fillId="3" borderId="0" xfId="0" applyFont="1" applyFill="1"/>
    <xf numFmtId="0" fontId="46" fillId="4" borderId="19" xfId="0" applyFont="1" applyFill="1" applyBorder="1" applyAlignment="1">
      <alignment horizontal="center" vertical="center" wrapText="1"/>
    </xf>
    <xf numFmtId="0" fontId="46" fillId="4" borderId="24" xfId="0" applyFont="1" applyFill="1" applyBorder="1" applyAlignment="1">
      <alignment horizontal="center" vertical="center" wrapText="1"/>
    </xf>
    <xf numFmtId="0" fontId="46" fillId="6" borderId="33" xfId="0" applyFont="1" applyFill="1" applyBorder="1" applyAlignment="1">
      <alignment horizontal="center" vertical="center"/>
    </xf>
    <xf numFmtId="0" fontId="46" fillId="6" borderId="34" xfId="0" applyFont="1" applyFill="1" applyBorder="1" applyAlignment="1">
      <alignment horizontal="center" vertical="center"/>
    </xf>
    <xf numFmtId="0" fontId="20" fillId="4" borderId="16" xfId="0" applyFont="1" applyFill="1" applyBorder="1" applyAlignment="1">
      <alignment horizontal="center" vertical="top"/>
    </xf>
    <xf numFmtId="0" fontId="20" fillId="4" borderId="22" xfId="0" applyFont="1" applyFill="1" applyBorder="1" applyAlignment="1">
      <alignment horizontal="center" vertical="top"/>
    </xf>
    <xf numFmtId="166" fontId="49" fillId="0" borderId="16" xfId="3" applyNumberFormat="1" applyFont="1" applyBorder="1" applyAlignment="1">
      <alignment vertical="center"/>
    </xf>
    <xf numFmtId="166" fontId="49" fillId="0" borderId="16" xfId="3" applyNumberFormat="1" applyFont="1" applyBorder="1" applyAlignment="1">
      <alignment horizontal="right" vertical="center"/>
    </xf>
    <xf numFmtId="166" fontId="49" fillId="0" borderId="22" xfId="3" applyNumberFormat="1" applyFont="1" applyBorder="1" applyAlignment="1">
      <alignment vertical="center"/>
    </xf>
    <xf numFmtId="165" fontId="49" fillId="0" borderId="16" xfId="3" applyNumberFormat="1" applyFont="1" applyBorder="1" applyAlignment="1">
      <alignment horizontal="center" vertical="center"/>
    </xf>
    <xf numFmtId="165" fontId="49" fillId="0" borderId="16" xfId="3" applyNumberFormat="1" applyFont="1" applyBorder="1" applyAlignment="1">
      <alignment horizontal="right" vertical="center"/>
    </xf>
    <xf numFmtId="165" fontId="49" fillId="0" borderId="22" xfId="3" applyNumberFormat="1" applyFont="1" applyBorder="1" applyAlignment="1">
      <alignment horizontal="center" vertical="center"/>
    </xf>
    <xf numFmtId="165" fontId="49" fillId="0" borderId="22" xfId="3" applyNumberFormat="1" applyFont="1" applyBorder="1" applyAlignment="1">
      <alignment horizontal="right" vertical="center"/>
    </xf>
    <xf numFmtId="166" fontId="48" fillId="5" borderId="29" xfId="3" applyNumberFormat="1" applyFont="1" applyFill="1" applyBorder="1" applyAlignment="1" applyProtection="1">
      <alignment horizontal="right" vertical="center" wrapText="1"/>
      <protection locked="0"/>
    </xf>
    <xf numFmtId="165" fontId="46" fillId="5" borderId="30" xfId="3" applyNumberFormat="1" applyFont="1" applyFill="1" applyBorder="1" applyAlignment="1">
      <alignment horizontal="right"/>
    </xf>
    <xf numFmtId="0" fontId="0" fillId="3" borderId="35" xfId="0" applyFill="1" applyBorder="1"/>
    <xf numFmtId="165" fontId="0" fillId="3" borderId="36" xfId="0" applyNumberFormat="1" applyFill="1" applyBorder="1" applyAlignment="1">
      <alignment horizontal="center"/>
    </xf>
    <xf numFmtId="165" fontId="51" fillId="5" borderId="27" xfId="3" applyNumberFormat="1" applyFont="1" applyFill="1" applyBorder="1" applyAlignment="1">
      <alignment horizontal="right"/>
    </xf>
    <xf numFmtId="165" fontId="51" fillId="5" borderId="27" xfId="3" applyNumberFormat="1" applyFont="1" applyFill="1" applyBorder="1" applyAlignment="1">
      <alignment horizontal="center"/>
    </xf>
    <xf numFmtId="0" fontId="52" fillId="7" borderId="8" xfId="0" applyFont="1" applyFill="1" applyBorder="1"/>
    <xf numFmtId="0" fontId="53" fillId="7" borderId="37" xfId="0" applyFont="1" applyFill="1" applyBorder="1" applyAlignment="1">
      <alignment horizontal="right"/>
    </xf>
    <xf numFmtId="165" fontId="54" fillId="7" borderId="10" xfId="0" applyNumberFormat="1" applyFont="1" applyFill="1" applyBorder="1" applyAlignment="1">
      <alignment horizontal="right"/>
    </xf>
    <xf numFmtId="165" fontId="54" fillId="7" borderId="11" xfId="0" applyNumberFormat="1" applyFont="1" applyFill="1" applyBorder="1" applyAlignment="1">
      <alignment horizontal="right"/>
    </xf>
    <xf numFmtId="165" fontId="54" fillId="7" borderId="18" xfId="0" applyNumberFormat="1" applyFont="1" applyFill="1" applyBorder="1" applyAlignment="1">
      <alignment horizontal="right"/>
    </xf>
    <xf numFmtId="0" fontId="46" fillId="2" borderId="8" xfId="0" applyFont="1" applyFill="1" applyBorder="1" applyAlignment="1">
      <alignment horizontal="right"/>
    </xf>
    <xf numFmtId="0" fontId="53" fillId="2" borderId="37" xfId="0" applyFont="1" applyFill="1" applyBorder="1" applyAlignment="1">
      <alignment horizontal="right"/>
    </xf>
    <xf numFmtId="9" fontId="55" fillId="2" borderId="10" xfId="4" applyFont="1" applyFill="1" applyBorder="1" applyAlignment="1">
      <alignment horizontal="right" vertical="center"/>
    </xf>
    <xf numFmtId="9" fontId="55" fillId="2" borderId="37" xfId="4" applyFont="1" applyFill="1" applyBorder="1" applyAlignment="1">
      <alignment horizontal="right" vertical="center"/>
    </xf>
    <xf numFmtId="9" fontId="55" fillId="2" borderId="11" xfId="4" applyFont="1" applyFill="1" applyBorder="1" applyAlignment="1">
      <alignment horizontal="right" vertical="center"/>
    </xf>
    <xf numFmtId="0" fontId="56" fillId="3" borderId="0" xfId="0" applyFont="1" applyFill="1"/>
    <xf numFmtId="17" fontId="1" fillId="0" borderId="0" xfId="0" applyNumberFormat="1" applyFont="1" applyAlignment="1">
      <alignment horizontal="left"/>
    </xf>
    <xf numFmtId="4" fontId="36" fillId="2" borderId="1" xfId="1" applyNumberFormat="1" applyFont="1" applyFill="1" applyBorder="1" applyAlignment="1">
      <alignment vertical="center"/>
    </xf>
    <xf numFmtId="0" fontId="57" fillId="0" borderId="0" xfId="0" applyFont="1" applyAlignment="1">
      <alignment horizontal="left" vertical="center"/>
    </xf>
    <xf numFmtId="0" fontId="57" fillId="0" borderId="9" xfId="0" applyFont="1" applyBorder="1" applyAlignment="1">
      <alignment horizontal="left" vertical="center"/>
    </xf>
    <xf numFmtId="0" fontId="0" fillId="3" borderId="9" xfId="0" applyFill="1" applyBorder="1" applyAlignment="1">
      <alignment vertical="center"/>
    </xf>
    <xf numFmtId="4" fontId="11" fillId="2" borderId="14" xfId="0" applyNumberFormat="1" applyFont="1" applyFill="1" applyBorder="1" applyAlignment="1">
      <alignment horizontal="center"/>
    </xf>
    <xf numFmtId="0" fontId="57" fillId="0" borderId="0" xfId="0" applyFont="1" applyAlignment="1">
      <alignment vertical="center"/>
    </xf>
    <xf numFmtId="165" fontId="57" fillId="0" borderId="0" xfId="0" applyNumberFormat="1" applyFont="1"/>
    <xf numFmtId="0" fontId="0" fillId="0" borderId="0" xfId="0" applyAlignment="1">
      <alignment wrapText="1"/>
    </xf>
    <xf numFmtId="0" fontId="58" fillId="0" borderId="0" xfId="0" applyFont="1"/>
    <xf numFmtId="4" fontId="59" fillId="2" borderId="1" xfId="1" applyNumberFormat="1" applyFont="1" applyFill="1" applyBorder="1" applyAlignment="1">
      <alignment horizontal="center" vertical="center"/>
    </xf>
    <xf numFmtId="0" fontId="60" fillId="0" borderId="0" xfId="0" applyFont="1" applyAlignment="1">
      <alignment horizontal="left" vertical="center" indent="1"/>
    </xf>
    <xf numFmtId="0" fontId="62" fillId="0" borderId="1" xfId="0" applyFont="1" applyBorder="1"/>
    <xf numFmtId="165" fontId="63" fillId="0" borderId="0" xfId="0" applyNumberFormat="1" applyFont="1"/>
    <xf numFmtId="0" fontId="1" fillId="0" borderId="1" xfId="0" applyFont="1" applyBorder="1"/>
    <xf numFmtId="0" fontId="1" fillId="0" borderId="0" xfId="0" applyFont="1" applyAlignment="1">
      <alignment vertical="center"/>
    </xf>
    <xf numFmtId="165" fontId="64" fillId="0" borderId="0" xfId="0" applyNumberFormat="1" applyFont="1"/>
    <xf numFmtId="165" fontId="1" fillId="0" borderId="0" xfId="0" applyNumberFormat="1" applyFont="1"/>
    <xf numFmtId="0" fontId="58" fillId="0" borderId="0" xfId="0" applyFont="1" applyAlignment="1">
      <alignment vertical="center"/>
    </xf>
    <xf numFmtId="0" fontId="1" fillId="0" borderId="7" xfId="0" applyFont="1" applyBorder="1"/>
    <xf numFmtId="0" fontId="1" fillId="0" borderId="1" xfId="0" applyFont="1" applyBorder="1" applyAlignment="1">
      <alignment horizontal="left" vertical="center" indent="1"/>
    </xf>
    <xf numFmtId="165" fontId="65" fillId="0" borderId="0" xfId="0" applyNumberFormat="1" applyFont="1"/>
    <xf numFmtId="0" fontId="65" fillId="0" borderId="1" xfId="0" applyFont="1" applyBorder="1"/>
    <xf numFmtId="165" fontId="24" fillId="0" borderId="0" xfId="0" applyNumberFormat="1" applyFont="1"/>
    <xf numFmtId="0" fontId="24" fillId="0" borderId="1" xfId="0" applyFont="1" applyBorder="1"/>
    <xf numFmtId="0" fontId="66" fillId="0" borderId="1" xfId="0" applyFont="1" applyBorder="1" applyAlignment="1">
      <alignment horizontal="left" vertical="center" indent="1"/>
    </xf>
    <xf numFmtId="0" fontId="61" fillId="0" borderId="0" xfId="0" applyFont="1" applyAlignment="1">
      <alignment horizontal="left" vertical="center" indent="1"/>
    </xf>
    <xf numFmtId="0" fontId="38" fillId="0" borderId="0" xfId="0" applyFont="1" applyAlignment="1">
      <alignment vertical="center"/>
    </xf>
    <xf numFmtId="165" fontId="38" fillId="0" borderId="0" xfId="0" applyNumberFormat="1" applyFont="1"/>
    <xf numFmtId="0" fontId="67" fillId="0" borderId="0" xfId="0" applyFont="1" applyAlignment="1">
      <alignment horizontal="left" vertical="center" indent="1"/>
    </xf>
    <xf numFmtId="165" fontId="24" fillId="0" borderId="0" xfId="0" applyNumberFormat="1" applyFont="1" applyAlignment="1">
      <alignment horizontal="center"/>
    </xf>
    <xf numFmtId="0" fontId="24" fillId="0" borderId="1" xfId="0" applyFont="1" applyBorder="1" applyAlignment="1">
      <alignment horizontal="center"/>
    </xf>
    <xf numFmtId="0" fontId="58" fillId="0" borderId="0" xfId="0" applyFont="1" applyAlignment="1">
      <alignment horizontal="left" vertical="center"/>
    </xf>
    <xf numFmtId="0" fontId="58" fillId="0" borderId="9" xfId="0" applyFont="1" applyBorder="1" applyAlignment="1">
      <alignment horizontal="center" vertical="top" wrapText="1"/>
    </xf>
    <xf numFmtId="0" fontId="58" fillId="0" borderId="7" xfId="0" applyFont="1" applyBorder="1" applyAlignment="1">
      <alignment horizontal="center"/>
    </xf>
    <xf numFmtId="0" fontId="62" fillId="0" borderId="0" xfId="0" applyFont="1" applyAlignment="1">
      <alignment horizontal="center"/>
    </xf>
    <xf numFmtId="0" fontId="62" fillId="0" borderId="1" xfId="0" applyFont="1" applyBorder="1" applyAlignment="1">
      <alignment horizontal="center"/>
    </xf>
    <xf numFmtId="0" fontId="38" fillId="0" borderId="0" xfId="0" applyFont="1"/>
    <xf numFmtId="0" fontId="38" fillId="0" borderId="1" xfId="0" applyFont="1" applyBorder="1"/>
    <xf numFmtId="165" fontId="1" fillId="0" borderId="0" xfId="0" applyNumberFormat="1" applyFont="1" applyAlignment="1">
      <alignment vertical="center"/>
    </xf>
    <xf numFmtId="0" fontId="1" fillId="0" borderId="1" xfId="0" applyFont="1" applyBorder="1" applyAlignment="1">
      <alignment vertical="center"/>
    </xf>
    <xf numFmtId="165" fontId="64" fillId="0" borderId="0" xfId="0" applyNumberFormat="1" applyFont="1" applyAlignment="1">
      <alignment horizontal="center"/>
    </xf>
    <xf numFmtId="0" fontId="57" fillId="0" borderId="9" xfId="0" applyFont="1" applyBorder="1" applyAlignment="1">
      <alignment horizontal="left" vertical="top" wrapText="1"/>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left" vertical="top" wrapText="1"/>
    </xf>
    <xf numFmtId="0" fontId="68" fillId="0" borderId="0" xfId="0" applyFont="1" applyAlignment="1">
      <alignment horizontal="center" vertical="center"/>
    </xf>
    <xf numFmtId="0" fontId="68" fillId="0" borderId="1" xfId="0" applyFont="1" applyBorder="1" applyAlignment="1">
      <alignment horizontal="center" vertical="center"/>
    </xf>
    <xf numFmtId="0" fontId="62" fillId="0" borderId="0" xfId="0" applyFont="1" applyAlignment="1">
      <alignment horizontal="center"/>
    </xf>
    <xf numFmtId="0" fontId="62" fillId="0" borderId="1" xfId="0" applyFont="1" applyBorder="1" applyAlignment="1">
      <alignment horizontal="center"/>
    </xf>
    <xf numFmtId="0" fontId="1" fillId="0" borderId="9" xfId="0" applyFont="1" applyBorder="1" applyAlignment="1">
      <alignment vertical="center" wrapText="1"/>
    </xf>
    <xf numFmtId="0" fontId="2" fillId="2" borderId="12" xfId="1" applyFont="1" applyFill="1" applyBorder="1" applyAlignment="1">
      <alignment horizontal="center" vertical="center"/>
    </xf>
    <xf numFmtId="0" fontId="2" fillId="2" borderId="13" xfId="1" applyFont="1" applyFill="1" applyBorder="1" applyAlignment="1">
      <alignment horizontal="center" vertical="center"/>
    </xf>
    <xf numFmtId="0" fontId="1" fillId="0" borderId="9" xfId="0" applyFont="1" applyBorder="1" applyAlignment="1">
      <alignment horizontal="left" vertical="top" wrapText="1"/>
    </xf>
    <xf numFmtId="165" fontId="1" fillId="0" borderId="0" xfId="0" applyNumberFormat="1" applyFont="1" applyAlignment="1">
      <alignment horizontal="left" vertical="center"/>
    </xf>
    <xf numFmtId="165" fontId="1" fillId="0" borderId="1" xfId="0" applyNumberFormat="1" applyFont="1" applyBorder="1" applyAlignment="1">
      <alignment horizontal="left" vertical="center"/>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58" fillId="0" borderId="9" xfId="0" applyFont="1" applyBorder="1" applyAlignment="1">
      <alignment horizontal="left" vertical="top" wrapText="1"/>
    </xf>
    <xf numFmtId="165" fontId="58" fillId="0" borderId="0" xfId="0" applyNumberFormat="1" applyFont="1" applyAlignment="1">
      <alignment horizontal="left" wrapText="1"/>
    </xf>
    <xf numFmtId="165" fontId="58" fillId="0" borderId="1" xfId="0" applyNumberFormat="1" applyFont="1" applyBorder="1" applyAlignment="1">
      <alignment horizontal="left" wrapText="1"/>
    </xf>
    <xf numFmtId="0" fontId="11" fillId="0" borderId="9" xfId="0" applyFont="1" applyBorder="1" applyAlignment="1">
      <alignment horizontal="left" vertical="top" wrapText="1"/>
    </xf>
    <xf numFmtId="0" fontId="6" fillId="0" borderId="0" xfId="0" applyFont="1" applyAlignment="1">
      <alignment horizontal="center"/>
    </xf>
    <xf numFmtId="0" fontId="6" fillId="0" borderId="1" xfId="0" applyFont="1" applyBorder="1" applyAlignment="1">
      <alignment horizontal="center"/>
    </xf>
    <xf numFmtId="0" fontId="57" fillId="0" borderId="0" xfId="0" applyFont="1" applyAlignment="1">
      <alignment vertical="center" wrapText="1"/>
    </xf>
    <xf numFmtId="0" fontId="57" fillId="0" borderId="0" xfId="0" applyFont="1" applyAlignment="1">
      <alignment vertical="center"/>
    </xf>
    <xf numFmtId="0" fontId="57" fillId="0" borderId="0" xfId="0" applyFont="1" applyAlignment="1">
      <alignment horizontal="left" vertical="top" wrapText="1"/>
    </xf>
    <xf numFmtId="165" fontId="23" fillId="3" borderId="23" xfId="1" applyNumberFormat="1" applyFont="1" applyFill="1" applyBorder="1" applyAlignment="1" applyProtection="1">
      <alignment horizontal="center" vertical="center" wrapText="1"/>
      <protection locked="0"/>
    </xf>
    <xf numFmtId="165" fontId="23" fillId="3" borderId="16" xfId="1" applyNumberFormat="1" applyFont="1" applyFill="1" applyBorder="1" applyAlignment="1" applyProtection="1">
      <alignment horizontal="center" vertical="center" wrapText="1"/>
      <protection locked="0"/>
    </xf>
    <xf numFmtId="0" fontId="2" fillId="0" borderId="0" xfId="0" applyFont="1" applyAlignment="1">
      <alignment horizontal="left" vertical="top" wrapText="1"/>
    </xf>
    <xf numFmtId="0" fontId="42" fillId="5" borderId="25" xfId="0" applyFont="1" applyFill="1" applyBorder="1" applyAlignment="1">
      <alignment horizontal="center" vertical="center"/>
    </xf>
    <xf numFmtId="0" fontId="42" fillId="5" borderId="26" xfId="0" applyFont="1" applyFill="1" applyBorder="1" applyAlignment="1">
      <alignment horizontal="center" vertical="center"/>
    </xf>
    <xf numFmtId="165" fontId="23" fillId="3" borderId="23" xfId="1" applyNumberFormat="1" applyFont="1" applyFill="1" applyBorder="1" applyAlignment="1" applyProtection="1">
      <alignment horizontal="center" vertical="center"/>
      <protection locked="0"/>
    </xf>
    <xf numFmtId="165" fontId="23" fillId="3" borderId="16" xfId="1" applyNumberFormat="1" applyFont="1" applyFill="1" applyBorder="1" applyAlignment="1" applyProtection="1">
      <alignment horizontal="center" vertical="center"/>
      <protection locked="0"/>
    </xf>
    <xf numFmtId="164" fontId="23" fillId="5" borderId="28" xfId="3" applyFont="1" applyFill="1" applyBorder="1" applyAlignment="1" applyProtection="1">
      <alignment horizontal="center" vertical="center" wrapText="1"/>
      <protection locked="0"/>
    </xf>
    <xf numFmtId="164" fontId="23" fillId="5" borderId="29" xfId="3" applyFont="1" applyFill="1" applyBorder="1" applyAlignment="1" applyProtection="1">
      <alignment horizontal="center" vertical="center" wrapText="1"/>
      <protection locked="0"/>
    </xf>
    <xf numFmtId="0" fontId="41" fillId="4" borderId="21" xfId="0" applyFont="1" applyFill="1" applyBorder="1" applyAlignment="1">
      <alignment horizontal="center" vertical="center" wrapText="1"/>
    </xf>
    <xf numFmtId="0" fontId="41" fillId="4" borderId="15" xfId="0" applyFont="1" applyFill="1" applyBorder="1" applyAlignment="1">
      <alignment horizontal="center" vertical="center" wrapText="1"/>
    </xf>
    <xf numFmtId="0" fontId="0" fillId="0" borderId="21" xfId="0" applyBorder="1" applyAlignment="1">
      <alignment horizontal="center"/>
    </xf>
    <xf numFmtId="0" fontId="0" fillId="0" borderId="15" xfId="0" applyBorder="1" applyAlignment="1">
      <alignment horizontal="center"/>
    </xf>
    <xf numFmtId="0" fontId="11" fillId="0" borderId="0" xfId="0" applyFont="1" applyAlignment="1">
      <alignment horizontal="left" vertical="top" wrapText="1"/>
    </xf>
    <xf numFmtId="165" fontId="48" fillId="3" borderId="23" xfId="5" applyNumberFormat="1" applyFont="1" applyFill="1" applyBorder="1" applyAlignment="1" applyProtection="1">
      <alignment horizontal="left" vertical="center" wrapText="1"/>
      <protection locked="0"/>
    </xf>
    <xf numFmtId="165" fontId="48" fillId="3" borderId="16" xfId="5" applyNumberFormat="1" applyFont="1" applyFill="1" applyBorder="1" applyAlignment="1" applyProtection="1">
      <alignment horizontal="left" vertical="center" wrapText="1"/>
      <protection locked="0"/>
    </xf>
    <xf numFmtId="0" fontId="46" fillId="4" borderId="8" xfId="0" applyFont="1" applyFill="1" applyBorder="1" applyAlignment="1">
      <alignment horizontal="center" vertical="center"/>
    </xf>
    <xf numFmtId="0" fontId="46" fillId="4" borderId="31" xfId="0" applyFont="1" applyFill="1" applyBorder="1" applyAlignment="1">
      <alignment horizontal="center" vertical="center"/>
    </xf>
    <xf numFmtId="0" fontId="46" fillId="6" borderId="32" xfId="0" applyFont="1" applyFill="1" applyBorder="1" applyAlignment="1">
      <alignment horizontal="center" vertical="center"/>
    </xf>
    <xf numFmtId="0" fontId="46" fillId="6" borderId="33" xfId="0" applyFont="1" applyFill="1" applyBorder="1" applyAlignment="1">
      <alignment horizontal="center" vertical="center"/>
    </xf>
    <xf numFmtId="0" fontId="47" fillId="4" borderId="21" xfId="0" applyFont="1" applyFill="1" applyBorder="1" applyAlignment="1">
      <alignment horizontal="center" vertical="center"/>
    </xf>
    <xf numFmtId="0" fontId="47" fillId="4" borderId="15" xfId="0" applyFont="1" applyFill="1" applyBorder="1" applyAlignment="1">
      <alignment horizontal="center" vertical="center"/>
    </xf>
    <xf numFmtId="0" fontId="48" fillId="3" borderId="21" xfId="0" applyFont="1" applyFill="1" applyBorder="1" applyAlignment="1">
      <alignment horizontal="left" vertical="center" wrapText="1"/>
    </xf>
    <xf numFmtId="0" fontId="48" fillId="3" borderId="15" xfId="0" applyFont="1" applyFill="1" applyBorder="1" applyAlignment="1">
      <alignment horizontal="left" vertical="center" wrapText="1"/>
    </xf>
    <xf numFmtId="164" fontId="48" fillId="5" borderId="18" xfId="3" applyFont="1" applyFill="1" applyBorder="1" applyAlignment="1" applyProtection="1">
      <alignment horizontal="center" vertical="center" wrapText="1"/>
      <protection locked="0"/>
    </xf>
    <xf numFmtId="164" fontId="48" fillId="5" borderId="19" xfId="3" applyFont="1" applyFill="1" applyBorder="1" applyAlignment="1" applyProtection="1">
      <alignment horizontal="center" vertical="center" wrapText="1"/>
      <protection locked="0"/>
    </xf>
    <xf numFmtId="164" fontId="50" fillId="5" borderId="27" xfId="3" applyFont="1" applyFill="1" applyBorder="1" applyAlignment="1" applyProtection="1">
      <alignment horizontal="center" vertical="center" wrapText="1"/>
      <protection locked="0"/>
    </xf>
  </cellXfs>
  <cellStyles count="6">
    <cellStyle name="Comma" xfId="3" builtinId="3"/>
    <cellStyle name="Normal" xfId="0" builtinId="0"/>
    <cellStyle name="Normal 2" xfId="2" xr:uid="{00000000-0005-0000-0000-000002000000}"/>
    <cellStyle name="Normal 4" xfId="1" xr:uid="{00000000-0005-0000-0000-000003000000}"/>
    <cellStyle name="Normal 4 2" xfId="5" xr:uid="{00000000-0005-0000-0000-00000400000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G48"/>
  <sheetViews>
    <sheetView view="pageBreakPreview" topLeftCell="A18" zoomScale="90" zoomScaleNormal="100" zoomScaleSheetLayoutView="90" workbookViewId="0">
      <selection activeCell="B14" sqref="B14:C31"/>
    </sheetView>
  </sheetViews>
  <sheetFormatPr defaultColWidth="11.5546875" defaultRowHeight="14.4" x14ac:dyDescent="0.3"/>
  <cols>
    <col min="1" max="1" width="2.88671875" customWidth="1"/>
    <col min="2" max="2" width="5.5546875" customWidth="1"/>
    <col min="3" max="3" width="36.44140625" customWidth="1"/>
    <col min="4" max="4" width="23.109375" customWidth="1"/>
    <col min="5" max="5" width="14.5546875" customWidth="1"/>
    <col min="6" max="6" width="77.44140625" customWidth="1"/>
    <col min="7" max="7" width="4.6640625" customWidth="1"/>
    <col min="8" max="8" width="24.5546875" customWidth="1"/>
    <col min="10" max="10" width="20" customWidth="1"/>
  </cols>
  <sheetData>
    <row r="1" spans="1:7" x14ac:dyDescent="0.3">
      <c r="A1" s="55"/>
      <c r="B1" s="55"/>
      <c r="C1" s="55"/>
      <c r="D1" s="55"/>
      <c r="E1" s="55"/>
      <c r="F1" s="55"/>
      <c r="G1" s="55"/>
    </row>
    <row r="2" spans="1:7" x14ac:dyDescent="0.3">
      <c r="A2" s="55"/>
      <c r="B2" s="55"/>
      <c r="C2" s="55"/>
      <c r="D2" s="55"/>
      <c r="E2" s="55"/>
      <c r="F2" s="55"/>
      <c r="G2" s="55"/>
    </row>
    <row r="3" spans="1:7" ht="15" thickBot="1" x14ac:dyDescent="0.35">
      <c r="A3" s="55"/>
      <c r="B3" s="55"/>
      <c r="C3" s="55"/>
      <c r="D3" s="55"/>
      <c r="E3" s="55"/>
      <c r="F3" s="55"/>
      <c r="G3" s="55"/>
    </row>
    <row r="4" spans="1:7" ht="33" customHeight="1" x14ac:dyDescent="0.3">
      <c r="A4" s="55"/>
      <c r="B4" s="56"/>
      <c r="C4" s="203" t="s">
        <v>15</v>
      </c>
      <c r="D4" s="203"/>
      <c r="E4" s="203"/>
      <c r="F4" s="204"/>
      <c r="G4" s="55"/>
    </row>
    <row r="5" spans="1:7" ht="17.399999999999999" x14ac:dyDescent="0.3">
      <c r="A5" s="55"/>
      <c r="B5" s="57"/>
      <c r="C5" s="205" t="s">
        <v>17</v>
      </c>
      <c r="D5" s="205"/>
      <c r="E5" s="205"/>
      <c r="F5" s="206"/>
      <c r="G5" s="55"/>
    </row>
    <row r="6" spans="1:7" ht="17.399999999999999" x14ac:dyDescent="0.3">
      <c r="A6" s="55"/>
      <c r="B6" s="57"/>
      <c r="C6" s="95"/>
      <c r="D6" s="95"/>
      <c r="E6" s="95"/>
      <c r="F6" s="96"/>
      <c r="G6" s="55"/>
    </row>
    <row r="7" spans="1:7" x14ac:dyDescent="0.3">
      <c r="A7" s="55"/>
      <c r="B7" s="57"/>
      <c r="C7" s="210" t="s">
        <v>197</v>
      </c>
      <c r="D7" s="210"/>
      <c r="E7" s="210"/>
      <c r="F7" s="211"/>
      <c r="G7" s="55"/>
    </row>
    <row r="8" spans="1:7" x14ac:dyDescent="0.3">
      <c r="A8" s="55"/>
      <c r="B8" s="57"/>
      <c r="C8" s="210" t="s">
        <v>198</v>
      </c>
      <c r="D8" s="210"/>
      <c r="E8" s="210"/>
      <c r="F8" s="211"/>
      <c r="G8" s="55"/>
    </row>
    <row r="9" spans="1:7" x14ac:dyDescent="0.3">
      <c r="A9" s="55"/>
      <c r="B9" s="57"/>
      <c r="C9" s="212" t="s">
        <v>199</v>
      </c>
      <c r="D9" s="212"/>
      <c r="E9" s="212"/>
      <c r="F9" s="213"/>
      <c r="G9" s="55"/>
    </row>
    <row r="10" spans="1:7" ht="17.399999999999999" x14ac:dyDescent="0.3">
      <c r="A10" s="55"/>
      <c r="B10" s="57"/>
      <c r="C10" s="95"/>
      <c r="D10" s="95"/>
      <c r="E10" s="95"/>
      <c r="F10" s="96"/>
      <c r="G10" s="55"/>
    </row>
    <row r="11" spans="1:7" ht="16.2" thickBot="1" x14ac:dyDescent="0.35">
      <c r="A11" s="55"/>
      <c r="B11" s="57"/>
      <c r="C11" s="3"/>
      <c r="D11" s="58"/>
      <c r="E11" s="58"/>
      <c r="F11" s="45"/>
      <c r="G11" s="55"/>
    </row>
    <row r="12" spans="1:7" ht="15.6" x14ac:dyDescent="0.3">
      <c r="A12" s="55"/>
      <c r="B12" s="57"/>
      <c r="C12" s="59"/>
      <c r="D12" s="16" t="s">
        <v>119</v>
      </c>
      <c r="E12" s="17"/>
      <c r="F12" s="109" t="s">
        <v>10</v>
      </c>
      <c r="G12" s="55"/>
    </row>
    <row r="13" spans="1:7" ht="16.2" thickBot="1" x14ac:dyDescent="0.35">
      <c r="A13" s="55"/>
      <c r="B13" s="57"/>
      <c r="C13" s="58"/>
      <c r="D13" s="18" t="s">
        <v>0</v>
      </c>
      <c r="E13" s="19" t="s">
        <v>16</v>
      </c>
      <c r="F13" s="110"/>
      <c r="G13" s="55"/>
    </row>
    <row r="14" spans="1:7" x14ac:dyDescent="0.3">
      <c r="A14" s="55"/>
      <c r="B14" s="68" t="s">
        <v>1</v>
      </c>
      <c r="C14" s="69" t="s">
        <v>2</v>
      </c>
      <c r="D14" s="60"/>
      <c r="E14" s="83"/>
      <c r="F14" s="36"/>
      <c r="G14" s="55"/>
    </row>
    <row r="15" spans="1:7" ht="33.75" customHeight="1" x14ac:dyDescent="0.3">
      <c r="A15" s="55"/>
      <c r="B15" s="70"/>
      <c r="C15" s="71" t="s">
        <v>21</v>
      </c>
      <c r="D15" s="22">
        <v>3000</v>
      </c>
      <c r="E15" s="84">
        <f>+D15*100/D32</f>
        <v>14.583637159107482</v>
      </c>
      <c r="F15" s="34" t="s">
        <v>27</v>
      </c>
      <c r="G15" s="55"/>
    </row>
    <row r="16" spans="1:7" ht="29.25" customHeight="1" x14ac:dyDescent="0.3">
      <c r="A16" s="55"/>
      <c r="B16" s="70"/>
      <c r="C16" s="71" t="s">
        <v>73</v>
      </c>
      <c r="D16" s="22">
        <v>5200</v>
      </c>
      <c r="E16" s="84">
        <f t="shared" ref="E16:E25" si="0">+D16*100/$D$32</f>
        <v>25.278304409119634</v>
      </c>
      <c r="F16" s="34" t="s">
        <v>150</v>
      </c>
      <c r="G16" s="55"/>
    </row>
    <row r="17" spans="1:7" ht="67.5" customHeight="1" x14ac:dyDescent="0.3">
      <c r="A17" s="55"/>
      <c r="B17" s="70"/>
      <c r="C17" s="71" t="s">
        <v>72</v>
      </c>
      <c r="D17" s="22">
        <v>4000</v>
      </c>
      <c r="E17" s="84">
        <f t="shared" si="0"/>
        <v>19.444849545476643</v>
      </c>
      <c r="F17" s="35" t="s">
        <v>193</v>
      </c>
      <c r="G17" s="55"/>
    </row>
    <row r="18" spans="1:7" ht="0.75" customHeight="1" x14ac:dyDescent="0.3">
      <c r="A18" s="55"/>
      <c r="B18" s="70"/>
      <c r="C18" s="71"/>
      <c r="D18" s="22"/>
      <c r="E18" s="84">
        <f t="shared" si="0"/>
        <v>0</v>
      </c>
      <c r="F18" s="35"/>
      <c r="G18" s="55"/>
    </row>
    <row r="19" spans="1:7" x14ac:dyDescent="0.3">
      <c r="A19" s="55"/>
      <c r="B19" s="70"/>
      <c r="C19" s="72" t="s">
        <v>57</v>
      </c>
      <c r="D19" s="24">
        <v>1500</v>
      </c>
      <c r="E19" s="84">
        <f t="shared" si="0"/>
        <v>7.2918185795537411</v>
      </c>
      <c r="F19" s="36"/>
      <c r="G19" s="55"/>
    </row>
    <row r="20" spans="1:7" x14ac:dyDescent="0.3">
      <c r="A20" s="55"/>
      <c r="B20" s="70"/>
      <c r="C20" s="72"/>
      <c r="D20" s="24"/>
      <c r="E20" s="84"/>
      <c r="F20" s="36"/>
      <c r="G20" s="55"/>
    </row>
    <row r="21" spans="1:7" x14ac:dyDescent="0.3">
      <c r="A21" s="55"/>
      <c r="B21" s="68" t="s">
        <v>3</v>
      </c>
      <c r="C21" s="69" t="s">
        <v>4</v>
      </c>
      <c r="D21" s="25"/>
      <c r="E21" s="84">
        <f t="shared" si="0"/>
        <v>0</v>
      </c>
      <c r="F21" s="36"/>
      <c r="G21" s="55"/>
    </row>
    <row r="22" spans="1:7" ht="32.25" customHeight="1" x14ac:dyDescent="0.3">
      <c r="A22" s="55"/>
      <c r="B22" s="70"/>
      <c r="C22" s="71" t="s">
        <v>100</v>
      </c>
      <c r="D22" s="22">
        <v>991</v>
      </c>
      <c r="E22" s="84">
        <f t="shared" si="0"/>
        <v>4.8174614748918376</v>
      </c>
      <c r="F22" s="34" t="s">
        <v>19</v>
      </c>
      <c r="G22" s="55"/>
    </row>
    <row r="23" spans="1:7" ht="32.25" customHeight="1" x14ac:dyDescent="0.3">
      <c r="A23" s="55"/>
      <c r="B23" s="70"/>
      <c r="C23" s="71" t="s">
        <v>22</v>
      </c>
      <c r="D23" s="22">
        <v>830</v>
      </c>
      <c r="E23" s="84">
        <f t="shared" si="0"/>
        <v>4.0348062806864036</v>
      </c>
      <c r="F23" s="34" t="s">
        <v>29</v>
      </c>
      <c r="G23" s="55"/>
    </row>
    <row r="24" spans="1:7" ht="29.25" customHeight="1" x14ac:dyDescent="0.3">
      <c r="A24" s="55"/>
      <c r="B24" s="70"/>
      <c r="C24" s="71" t="s">
        <v>14</v>
      </c>
      <c r="D24" s="22">
        <v>2580</v>
      </c>
      <c r="E24" s="84">
        <f t="shared" si="0"/>
        <v>12.541927956832435</v>
      </c>
      <c r="F24" s="34" t="s">
        <v>173</v>
      </c>
      <c r="G24" s="55"/>
    </row>
    <row r="25" spans="1:7" ht="37.5" customHeight="1" x14ac:dyDescent="0.3">
      <c r="A25" s="55"/>
      <c r="B25" s="70"/>
      <c r="C25" s="71" t="s">
        <v>95</v>
      </c>
      <c r="D25" s="22">
        <v>400</v>
      </c>
      <c r="E25" s="84">
        <f t="shared" si="0"/>
        <v>1.9444849545476641</v>
      </c>
      <c r="F25" s="35" t="s">
        <v>23</v>
      </c>
      <c r="G25" s="55"/>
    </row>
    <row r="26" spans="1:7" ht="30" customHeight="1" x14ac:dyDescent="0.3">
      <c r="A26" s="55"/>
      <c r="B26" s="70"/>
      <c r="C26" s="71" t="s">
        <v>88</v>
      </c>
      <c r="D26" s="26">
        <v>520</v>
      </c>
      <c r="E26" s="84">
        <f t="shared" ref="E26" si="1">+D26*100/$D$30</f>
        <v>52</v>
      </c>
      <c r="F26" s="34" t="s">
        <v>176</v>
      </c>
      <c r="G26" s="55"/>
    </row>
    <row r="27" spans="1:7" ht="25.5" customHeight="1" x14ac:dyDescent="0.3">
      <c r="A27" s="55"/>
      <c r="B27" s="70"/>
      <c r="C27" s="71" t="s">
        <v>174</v>
      </c>
      <c r="D27" s="26">
        <v>150</v>
      </c>
      <c r="E27" s="84">
        <v>0.65416484954208465</v>
      </c>
      <c r="F27" s="34" t="s">
        <v>175</v>
      </c>
      <c r="G27" s="55"/>
    </row>
    <row r="28" spans="1:7" ht="24" customHeight="1" x14ac:dyDescent="0.3">
      <c r="A28" s="55"/>
      <c r="B28" s="70"/>
      <c r="C28" s="72" t="s">
        <v>94</v>
      </c>
      <c r="D28" s="27">
        <v>150</v>
      </c>
      <c r="E28" s="84">
        <f>+D28*100/$D$32</f>
        <v>0.72918185795537405</v>
      </c>
      <c r="F28" s="34" t="s">
        <v>11</v>
      </c>
      <c r="G28" s="55"/>
    </row>
    <row r="29" spans="1:7" ht="25.5" customHeight="1" x14ac:dyDescent="0.3">
      <c r="A29" s="55"/>
      <c r="B29" s="68" t="s">
        <v>5</v>
      </c>
      <c r="C29" s="69" t="s">
        <v>6</v>
      </c>
      <c r="D29" s="28"/>
      <c r="E29" s="84">
        <f>+D29*100/$D$32</f>
        <v>0</v>
      </c>
      <c r="F29" s="36"/>
      <c r="G29" s="55"/>
    </row>
    <row r="30" spans="1:7" ht="57" customHeight="1" x14ac:dyDescent="0.3">
      <c r="A30" s="55"/>
      <c r="B30" s="70"/>
      <c r="C30" s="71" t="s">
        <v>7</v>
      </c>
      <c r="D30" s="22">
        <v>1000</v>
      </c>
      <c r="E30" s="84">
        <f>+D30*100/$D$32</f>
        <v>4.8612123863691608</v>
      </c>
      <c r="F30" s="35" t="s">
        <v>25</v>
      </c>
      <c r="G30" s="55"/>
    </row>
    <row r="31" spans="1:7" ht="34.5" customHeight="1" thickBot="1" x14ac:dyDescent="0.35">
      <c r="A31" s="55"/>
      <c r="B31" s="70"/>
      <c r="C31" s="71" t="s">
        <v>93</v>
      </c>
      <c r="D31" s="88">
        <v>250</v>
      </c>
      <c r="E31" s="84">
        <f>+D31*100/$D$32</f>
        <v>1.2153030965922902</v>
      </c>
      <c r="F31" s="36" t="s">
        <v>26</v>
      </c>
      <c r="G31" s="55"/>
    </row>
    <row r="32" spans="1:7" ht="16.2" thickBot="1" x14ac:dyDescent="0.35">
      <c r="A32" s="55"/>
      <c r="B32" s="70"/>
      <c r="C32" s="6" t="s">
        <v>8</v>
      </c>
      <c r="D32" s="30">
        <f>SUM(D14:D31)</f>
        <v>20571</v>
      </c>
      <c r="E32" s="31">
        <f>+D32*100/$D$32</f>
        <v>100</v>
      </c>
      <c r="F32" s="49"/>
      <c r="G32" s="55"/>
    </row>
    <row r="33" spans="1:7" x14ac:dyDescent="0.3">
      <c r="A33" s="55"/>
      <c r="B33" s="57"/>
      <c r="C33" s="58"/>
      <c r="D33" s="61"/>
      <c r="E33" s="61"/>
      <c r="F33" s="45"/>
      <c r="G33" s="55"/>
    </row>
    <row r="34" spans="1:7" ht="21.75" customHeight="1" x14ac:dyDescent="0.3">
      <c r="A34" s="55"/>
      <c r="B34" s="57"/>
      <c r="C34" s="175" t="s">
        <v>185</v>
      </c>
      <c r="D34" s="201"/>
      <c r="E34" s="61"/>
      <c r="F34" s="45"/>
      <c r="G34" s="55"/>
    </row>
    <row r="35" spans="1:7" ht="35.25" customHeight="1" x14ac:dyDescent="0.3">
      <c r="A35" s="55"/>
      <c r="B35" s="57"/>
      <c r="C35" s="175" t="s">
        <v>9</v>
      </c>
      <c r="D35" s="177"/>
      <c r="E35" s="171"/>
      <c r="F35" s="63"/>
      <c r="G35" s="55"/>
    </row>
    <row r="36" spans="1:7" ht="26.25" customHeight="1" x14ac:dyDescent="0.3">
      <c r="A36" s="55"/>
      <c r="B36" s="57"/>
      <c r="C36" s="175" t="s">
        <v>63</v>
      </c>
      <c r="D36" s="177"/>
      <c r="E36" s="171"/>
      <c r="F36" s="63"/>
      <c r="G36" s="55"/>
    </row>
    <row r="37" spans="1:7" ht="22.5" customHeight="1" x14ac:dyDescent="0.3">
      <c r="A37" s="55"/>
      <c r="B37" s="57"/>
      <c r="C37" s="175" t="s">
        <v>30</v>
      </c>
      <c r="D37" s="4"/>
      <c r="E37" s="171"/>
      <c r="F37" s="63"/>
      <c r="G37" s="55"/>
    </row>
    <row r="38" spans="1:7" ht="21.75" customHeight="1" thickBot="1" x14ac:dyDescent="0.35">
      <c r="A38" s="55"/>
      <c r="B38" s="65"/>
      <c r="C38" s="214" t="s">
        <v>117</v>
      </c>
      <c r="D38" s="214"/>
      <c r="E38" s="66"/>
      <c r="F38" s="67"/>
      <c r="G38" s="55"/>
    </row>
    <row r="39" spans="1:7" ht="15" customHeight="1" x14ac:dyDescent="0.3">
      <c r="A39" s="55"/>
      <c r="B39" s="55"/>
      <c r="C39" s="55"/>
      <c r="D39" s="55"/>
      <c r="E39" s="55"/>
      <c r="F39" s="55"/>
      <c r="G39" s="55"/>
    </row>
    <row r="40" spans="1:7" x14ac:dyDescent="0.3">
      <c r="A40" s="55"/>
      <c r="B40" s="55"/>
      <c r="C40" s="55"/>
      <c r="D40" s="55"/>
      <c r="E40" s="55"/>
      <c r="F40" s="55"/>
      <c r="G40" s="55"/>
    </row>
    <row r="41" spans="1:7" x14ac:dyDescent="0.3">
      <c r="A41" s="55"/>
      <c r="B41" s="55"/>
      <c r="C41" s="55"/>
      <c r="D41" s="55"/>
      <c r="E41" s="55"/>
      <c r="F41" s="55"/>
      <c r="G41" s="55"/>
    </row>
    <row r="42" spans="1:7" x14ac:dyDescent="0.3">
      <c r="A42" s="55"/>
      <c r="B42" s="55"/>
      <c r="C42" s="55"/>
      <c r="D42" s="55"/>
      <c r="E42" s="55"/>
      <c r="F42" s="55"/>
      <c r="G42" s="55"/>
    </row>
    <row r="43" spans="1:7" x14ac:dyDescent="0.3">
      <c r="A43" s="55"/>
      <c r="B43" s="55"/>
      <c r="C43" s="55"/>
      <c r="D43" s="55"/>
      <c r="E43" s="55"/>
      <c r="F43" s="55"/>
      <c r="G43" s="55"/>
    </row>
    <row r="44" spans="1:7" x14ac:dyDescent="0.3">
      <c r="A44" s="55"/>
      <c r="B44" s="55"/>
      <c r="C44" s="55"/>
      <c r="D44" s="55"/>
      <c r="E44" s="55"/>
      <c r="F44" s="55"/>
      <c r="G44" s="55"/>
    </row>
    <row r="45" spans="1:7" x14ac:dyDescent="0.3">
      <c r="A45" s="55"/>
      <c r="B45" s="55"/>
      <c r="C45" s="55"/>
      <c r="D45" s="55"/>
      <c r="E45" s="55"/>
      <c r="F45" s="55"/>
      <c r="G45" s="55"/>
    </row>
    <row r="46" spans="1:7" x14ac:dyDescent="0.3">
      <c r="A46" s="55"/>
      <c r="B46" s="55"/>
      <c r="C46" s="55"/>
      <c r="D46" s="55"/>
      <c r="E46" s="55"/>
      <c r="F46" s="55"/>
      <c r="G46" s="55"/>
    </row>
    <row r="47" spans="1:7" x14ac:dyDescent="0.3">
      <c r="A47" s="55"/>
      <c r="B47" s="55"/>
      <c r="C47" s="55"/>
      <c r="D47" s="55"/>
      <c r="E47" s="55"/>
      <c r="F47" s="55"/>
      <c r="G47" s="55"/>
    </row>
    <row r="48" spans="1:7" x14ac:dyDescent="0.3">
      <c r="A48" s="55"/>
      <c r="B48" s="55"/>
      <c r="C48" s="55"/>
      <c r="D48" s="55"/>
      <c r="E48" s="55"/>
      <c r="F48" s="55"/>
      <c r="G48" s="55"/>
    </row>
  </sheetData>
  <mergeCells count="6">
    <mergeCell ref="C38:D38"/>
    <mergeCell ref="C4:F4"/>
    <mergeCell ref="C5:F5"/>
    <mergeCell ref="C7:F7"/>
    <mergeCell ref="C8:F8"/>
    <mergeCell ref="C9:F9"/>
  </mergeCells>
  <printOptions horizontalCentered="1"/>
  <pageMargins left="0.59055118110236227" right="0.59055118110236227" top="0.78740157480314965" bottom="0.74803149606299213" header="0.31496062992125984" footer="0.31496062992125984"/>
  <pageSetup paperSize="9" scale="5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E941-C497-4BC7-9FED-C1C799713FB6}">
  <sheetPr>
    <tabColor rgb="FFFFC000"/>
  </sheetPr>
  <dimension ref="A1:G41"/>
  <sheetViews>
    <sheetView topLeftCell="A6" workbookViewId="0">
      <selection activeCell="D13" sqref="D13"/>
    </sheetView>
  </sheetViews>
  <sheetFormatPr defaultColWidth="11.5546875" defaultRowHeight="14.4" x14ac:dyDescent="0.3"/>
  <cols>
    <col min="1" max="1" width="2.88671875" customWidth="1"/>
    <col min="2" max="2" width="5.5546875" customWidth="1"/>
    <col min="3" max="3" width="39.6640625" customWidth="1"/>
    <col min="4" max="4" width="24.6640625" customWidth="1"/>
    <col min="5" max="5" width="20.44140625" customWidth="1"/>
    <col min="6" max="6" width="86.88671875" bestFit="1" customWidth="1"/>
    <col min="7" max="7" width="4.6640625" customWidth="1"/>
    <col min="8" max="8" width="24.5546875" customWidth="1"/>
    <col min="10" max="10" width="20" customWidth="1"/>
  </cols>
  <sheetData>
    <row r="1" spans="1:7" x14ac:dyDescent="0.3">
      <c r="A1" s="55"/>
      <c r="B1" s="55"/>
      <c r="C1" s="55"/>
      <c r="D1" s="55"/>
      <c r="E1" s="55"/>
      <c r="F1" s="55"/>
      <c r="G1" s="55"/>
    </row>
    <row r="2" spans="1:7" x14ac:dyDescent="0.3">
      <c r="A2" s="55"/>
      <c r="B2" s="55"/>
      <c r="C2" s="55"/>
      <c r="D2" s="55"/>
      <c r="E2" s="55"/>
      <c r="F2" s="55"/>
      <c r="G2" s="55"/>
    </row>
    <row r="3" spans="1:7" ht="15" thickBot="1" x14ac:dyDescent="0.35">
      <c r="A3" s="55"/>
      <c r="B3" s="55"/>
      <c r="C3" s="55"/>
      <c r="D3" s="55"/>
      <c r="E3" s="55"/>
      <c r="F3" s="55"/>
      <c r="G3" s="55"/>
    </row>
    <row r="4" spans="1:7" ht="17.399999999999999" x14ac:dyDescent="0.3">
      <c r="A4" s="55"/>
      <c r="B4" s="56"/>
      <c r="C4" s="203" t="s">
        <v>15</v>
      </c>
      <c r="D4" s="203"/>
      <c r="E4" s="203"/>
      <c r="F4" s="204"/>
      <c r="G4" s="55"/>
    </row>
    <row r="5" spans="1:7" ht="17.399999999999999" x14ac:dyDescent="0.3">
      <c r="A5" s="55"/>
      <c r="B5" s="57"/>
      <c r="C5" s="205" t="s">
        <v>177</v>
      </c>
      <c r="D5" s="205"/>
      <c r="E5" s="205"/>
      <c r="F5" s="206"/>
      <c r="G5" s="55"/>
    </row>
    <row r="6" spans="1:7" ht="16.2" thickBot="1" x14ac:dyDescent="0.35">
      <c r="A6" s="55"/>
      <c r="B6" s="57"/>
      <c r="C6" s="3"/>
      <c r="D6" s="58"/>
      <c r="E6" s="58"/>
      <c r="F6" s="45"/>
      <c r="G6" s="55"/>
    </row>
    <row r="7" spans="1:7" ht="15.6" x14ac:dyDescent="0.3">
      <c r="A7" s="55"/>
      <c r="B7" s="57"/>
      <c r="C7" s="59"/>
      <c r="D7" s="16" t="s">
        <v>119</v>
      </c>
      <c r="E7" s="215" t="s">
        <v>16</v>
      </c>
      <c r="F7" s="38" t="s">
        <v>10</v>
      </c>
      <c r="G7" s="55"/>
    </row>
    <row r="8" spans="1:7" ht="16.2" thickBot="1" x14ac:dyDescent="0.35">
      <c r="A8" s="55"/>
      <c r="B8" s="57"/>
      <c r="C8" s="58"/>
      <c r="D8" s="18" t="s">
        <v>0</v>
      </c>
      <c r="E8" s="216"/>
      <c r="F8" s="32"/>
      <c r="G8" s="55"/>
    </row>
    <row r="9" spans="1:7" x14ac:dyDescent="0.3">
      <c r="A9" s="55"/>
      <c r="B9" s="68" t="s">
        <v>1</v>
      </c>
      <c r="C9" s="69" t="s">
        <v>2</v>
      </c>
      <c r="D9" s="60"/>
      <c r="E9" s="83"/>
      <c r="F9" s="36"/>
      <c r="G9" s="55"/>
    </row>
    <row r="10" spans="1:7" ht="33.75" customHeight="1" x14ac:dyDescent="0.3">
      <c r="A10" s="55"/>
      <c r="B10" s="70"/>
      <c r="C10" s="71" t="s">
        <v>21</v>
      </c>
      <c r="D10" s="22">
        <v>3000</v>
      </c>
      <c r="E10" s="84">
        <f>+D10*100/D24</f>
        <v>16.059097478721696</v>
      </c>
      <c r="F10" s="34" t="s">
        <v>27</v>
      </c>
      <c r="G10" s="55"/>
    </row>
    <row r="11" spans="1:7" ht="29.25" customHeight="1" x14ac:dyDescent="0.3">
      <c r="A11" s="55"/>
      <c r="B11" s="70"/>
      <c r="C11" s="71" t="s">
        <v>72</v>
      </c>
      <c r="D11" s="22">
        <v>4600</v>
      </c>
      <c r="E11" s="84">
        <f t="shared" ref="E11:E24" si="0">+D11*100/$D$24</f>
        <v>24.623949467373269</v>
      </c>
      <c r="F11" s="34" t="s">
        <v>191</v>
      </c>
      <c r="G11" s="55"/>
    </row>
    <row r="12" spans="1:7" ht="27.6" x14ac:dyDescent="0.3">
      <c r="A12" s="55"/>
      <c r="B12" s="70"/>
      <c r="C12" s="71" t="s">
        <v>72</v>
      </c>
      <c r="D12" s="22">
        <v>4000</v>
      </c>
      <c r="E12" s="84">
        <f t="shared" si="0"/>
        <v>21.412129971628929</v>
      </c>
      <c r="F12" s="35" t="s">
        <v>194</v>
      </c>
      <c r="G12" s="55"/>
    </row>
    <row r="13" spans="1:7" ht="57.75" customHeight="1" x14ac:dyDescent="0.3">
      <c r="A13" s="55"/>
      <c r="B13" s="70"/>
      <c r="C13" s="71" t="s">
        <v>57</v>
      </c>
      <c r="D13" s="22">
        <v>1500</v>
      </c>
      <c r="E13" s="84">
        <f t="shared" si="0"/>
        <v>8.0295487393608482</v>
      </c>
      <c r="F13" s="35"/>
      <c r="G13" s="55"/>
    </row>
    <row r="14" spans="1:7" x14ac:dyDescent="0.3">
      <c r="A14" s="55"/>
      <c r="B14" s="68" t="s">
        <v>3</v>
      </c>
      <c r="C14" s="69" t="s">
        <v>4</v>
      </c>
      <c r="D14" s="25"/>
      <c r="E14" s="84">
        <f t="shared" si="0"/>
        <v>0</v>
      </c>
      <c r="F14" s="36"/>
      <c r="G14" s="55"/>
    </row>
    <row r="15" spans="1:7" ht="32.25" customHeight="1" x14ac:dyDescent="0.3">
      <c r="A15" s="55"/>
      <c r="B15" s="70"/>
      <c r="C15" s="71" t="s">
        <v>100</v>
      </c>
      <c r="D15" s="22">
        <v>891</v>
      </c>
      <c r="E15" s="84">
        <f t="shared" si="0"/>
        <v>4.7695519511803433</v>
      </c>
      <c r="F15" s="34" t="s">
        <v>19</v>
      </c>
      <c r="G15" s="55"/>
    </row>
    <row r="16" spans="1:7" ht="32.25" customHeight="1" x14ac:dyDescent="0.3">
      <c r="A16" s="55"/>
      <c r="B16" s="70"/>
      <c r="C16" s="71" t="s">
        <v>22</v>
      </c>
      <c r="D16" s="22">
        <v>1245</v>
      </c>
      <c r="E16" s="84">
        <f t="shared" si="0"/>
        <v>6.664525453669504</v>
      </c>
      <c r="F16" s="34" t="s">
        <v>29</v>
      </c>
      <c r="G16" s="55"/>
    </row>
    <row r="17" spans="1:7" ht="29.25" customHeight="1" x14ac:dyDescent="0.3">
      <c r="A17" s="55"/>
      <c r="B17" s="70"/>
      <c r="C17" s="71" t="s">
        <v>14</v>
      </c>
      <c r="D17" s="22">
        <v>1300</v>
      </c>
      <c r="E17" s="84">
        <f t="shared" si="0"/>
        <v>6.9589422407794013</v>
      </c>
      <c r="F17" s="34" t="s">
        <v>178</v>
      </c>
      <c r="G17" s="55"/>
    </row>
    <row r="18" spans="1:7" x14ac:dyDescent="0.3">
      <c r="A18" s="55"/>
      <c r="B18" s="70"/>
      <c r="C18" s="71" t="s">
        <v>95</v>
      </c>
      <c r="D18" s="22">
        <v>225</v>
      </c>
      <c r="E18" s="84">
        <f t="shared" si="0"/>
        <v>1.2044323109041273</v>
      </c>
      <c r="F18" s="35" t="s">
        <v>23</v>
      </c>
      <c r="G18" s="55"/>
    </row>
    <row r="19" spans="1:7" ht="30" customHeight="1" x14ac:dyDescent="0.3">
      <c r="A19" s="55"/>
      <c r="B19" s="70"/>
      <c r="C19" s="71" t="s">
        <v>94</v>
      </c>
      <c r="D19" s="22">
        <v>200</v>
      </c>
      <c r="E19" s="84">
        <f t="shared" si="0"/>
        <v>1.0706064985814463</v>
      </c>
      <c r="F19" s="34" t="s">
        <v>24</v>
      </c>
      <c r="G19" s="55"/>
    </row>
    <row r="20" spans="1:7" ht="25.5" customHeight="1" x14ac:dyDescent="0.3">
      <c r="A20" s="55"/>
      <c r="B20" s="70"/>
      <c r="C20" s="71" t="s">
        <v>88</v>
      </c>
      <c r="D20" s="26">
        <v>520</v>
      </c>
      <c r="E20" s="84">
        <f t="shared" si="0"/>
        <v>2.7835768963117604</v>
      </c>
      <c r="F20" s="34" t="s">
        <v>11</v>
      </c>
      <c r="G20" s="55"/>
    </row>
    <row r="21" spans="1:7" ht="25.5" customHeight="1" x14ac:dyDescent="0.3">
      <c r="A21" s="55"/>
      <c r="B21" s="68" t="s">
        <v>5</v>
      </c>
      <c r="C21" s="69" t="s">
        <v>6</v>
      </c>
      <c r="D21" s="28"/>
      <c r="E21" s="84">
        <f t="shared" si="0"/>
        <v>0</v>
      </c>
      <c r="F21" s="36"/>
      <c r="G21" s="55"/>
    </row>
    <row r="22" spans="1:7" x14ac:dyDescent="0.3">
      <c r="A22" s="55"/>
      <c r="B22" s="70"/>
      <c r="C22" s="71" t="s">
        <v>7</v>
      </c>
      <c r="D22" s="22">
        <v>1000</v>
      </c>
      <c r="E22" s="84">
        <f t="shared" si="0"/>
        <v>5.3530324929072322</v>
      </c>
      <c r="F22" s="35" t="s">
        <v>25</v>
      </c>
      <c r="G22" s="55"/>
    </row>
    <row r="23" spans="1:7" ht="15" thickBot="1" x14ac:dyDescent="0.35">
      <c r="A23" s="55"/>
      <c r="B23" s="70"/>
      <c r="C23" s="71" t="s">
        <v>93</v>
      </c>
      <c r="D23" s="88">
        <v>200</v>
      </c>
      <c r="E23" s="84">
        <f t="shared" si="0"/>
        <v>1.0706064985814463</v>
      </c>
      <c r="F23" s="36" t="s">
        <v>26</v>
      </c>
      <c r="G23" s="55"/>
    </row>
    <row r="24" spans="1:7" ht="16.2" thickBot="1" x14ac:dyDescent="0.35">
      <c r="A24" s="55"/>
      <c r="B24" s="70"/>
      <c r="C24" s="6" t="s">
        <v>8</v>
      </c>
      <c r="D24" s="30">
        <f>SUM(D9:D23)</f>
        <v>18681</v>
      </c>
      <c r="E24" s="31">
        <f t="shared" si="0"/>
        <v>100</v>
      </c>
      <c r="F24" s="49"/>
      <c r="G24" s="55"/>
    </row>
    <row r="25" spans="1:7" x14ac:dyDescent="0.3">
      <c r="A25" s="55"/>
      <c r="B25" s="57"/>
      <c r="C25" s="58"/>
      <c r="D25" s="61"/>
      <c r="E25" s="61"/>
      <c r="F25" s="45"/>
      <c r="G25" s="55"/>
    </row>
    <row r="26" spans="1:7" ht="21.75" customHeight="1" x14ac:dyDescent="0.3">
      <c r="A26" s="55"/>
      <c r="B26" s="57"/>
      <c r="C26" s="72"/>
      <c r="D26" s="61">
        <v>19181</v>
      </c>
      <c r="E26" s="61"/>
      <c r="F26" s="45"/>
      <c r="G26" s="55"/>
    </row>
    <row r="27" spans="1:7" ht="35.25" customHeight="1" x14ac:dyDescent="0.3">
      <c r="A27" s="55"/>
      <c r="B27" s="57"/>
      <c r="C27" s="162" t="s">
        <v>9</v>
      </c>
      <c r="D27" s="62">
        <f>+D26-D24</f>
        <v>500</v>
      </c>
      <c r="E27" s="62"/>
      <c r="F27" s="63"/>
      <c r="G27" s="55"/>
    </row>
    <row r="28" spans="1:7" ht="26.25" customHeight="1" x14ac:dyDescent="0.3">
      <c r="A28" s="55"/>
      <c r="B28" s="57"/>
      <c r="C28" s="162" t="s">
        <v>63</v>
      </c>
      <c r="D28" s="62"/>
      <c r="E28" s="62"/>
      <c r="F28" s="63"/>
      <c r="G28" s="55"/>
    </row>
    <row r="29" spans="1:7" ht="22.5" customHeight="1" x14ac:dyDescent="0.3">
      <c r="A29" s="55"/>
      <c r="B29" s="57"/>
      <c r="C29" s="162" t="s">
        <v>30</v>
      </c>
      <c r="D29" s="64"/>
      <c r="E29" s="64"/>
      <c r="F29" s="63"/>
      <c r="G29" s="55"/>
    </row>
    <row r="30" spans="1:7" ht="22.5" customHeight="1" x14ac:dyDescent="0.3">
      <c r="A30" s="55"/>
      <c r="B30" s="57"/>
      <c r="C30" s="162" t="s">
        <v>179</v>
      </c>
      <c r="D30" s="64"/>
      <c r="E30" s="64"/>
      <c r="F30" s="63"/>
      <c r="G30" s="55"/>
    </row>
    <row r="31" spans="1:7" ht="15" thickBot="1" x14ac:dyDescent="0.35">
      <c r="A31" s="55"/>
      <c r="B31" s="65"/>
      <c r="C31" s="163" t="s">
        <v>180</v>
      </c>
      <c r="D31" s="164"/>
      <c r="E31" s="164"/>
      <c r="F31" s="67"/>
      <c r="G31" s="55"/>
    </row>
    <row r="32" spans="1:7" ht="15" customHeight="1" x14ac:dyDescent="0.3">
      <c r="A32" s="55"/>
      <c r="B32" s="55"/>
      <c r="C32" s="55"/>
      <c r="D32" s="55"/>
      <c r="E32" s="55"/>
      <c r="F32" s="55"/>
      <c r="G32" s="55"/>
    </row>
    <row r="33" spans="1:7" x14ac:dyDescent="0.3">
      <c r="A33" s="55"/>
      <c r="B33" s="55"/>
      <c r="C33" s="55"/>
      <c r="D33" s="55"/>
      <c r="E33" s="55"/>
      <c r="F33" s="55"/>
      <c r="G33" s="55"/>
    </row>
    <row r="34" spans="1:7" x14ac:dyDescent="0.3">
      <c r="A34" s="55"/>
      <c r="B34" s="55"/>
      <c r="C34" s="55"/>
      <c r="D34" s="55"/>
      <c r="E34" s="55"/>
      <c r="F34" s="55"/>
      <c r="G34" s="55"/>
    </row>
    <row r="35" spans="1:7" x14ac:dyDescent="0.3">
      <c r="A35" s="55"/>
      <c r="B35" s="55"/>
      <c r="C35" s="55"/>
      <c r="D35" s="55"/>
      <c r="E35" s="55"/>
      <c r="F35" s="55"/>
      <c r="G35" s="55"/>
    </row>
    <row r="36" spans="1:7" x14ac:dyDescent="0.3">
      <c r="A36" s="55"/>
      <c r="B36" s="55"/>
      <c r="C36" s="55"/>
      <c r="D36" s="55"/>
      <c r="E36" s="55"/>
      <c r="F36" s="55"/>
      <c r="G36" s="55"/>
    </row>
    <row r="37" spans="1:7" x14ac:dyDescent="0.3">
      <c r="A37" s="55"/>
      <c r="B37" s="55"/>
      <c r="C37" s="55"/>
      <c r="D37" s="55"/>
      <c r="E37" s="55"/>
      <c r="F37" s="55"/>
      <c r="G37" s="55"/>
    </row>
    <row r="38" spans="1:7" x14ac:dyDescent="0.3">
      <c r="A38" s="55"/>
      <c r="B38" s="55"/>
      <c r="C38" s="55"/>
      <c r="D38" s="55"/>
      <c r="E38" s="55"/>
      <c r="F38" s="55"/>
      <c r="G38" s="55"/>
    </row>
    <row r="39" spans="1:7" x14ac:dyDescent="0.3">
      <c r="A39" s="55"/>
      <c r="B39" s="55"/>
      <c r="C39" s="55"/>
      <c r="D39" s="55"/>
      <c r="E39" s="55"/>
      <c r="F39" s="55"/>
      <c r="G39" s="55"/>
    </row>
    <row r="40" spans="1:7" x14ac:dyDescent="0.3">
      <c r="A40" s="55"/>
      <c r="B40" s="55"/>
      <c r="C40" s="55"/>
      <c r="D40" s="55"/>
      <c r="E40" s="55"/>
      <c r="F40" s="55"/>
      <c r="G40" s="55"/>
    </row>
    <row r="41" spans="1:7" x14ac:dyDescent="0.3">
      <c r="A41" s="55"/>
      <c r="B41" s="55"/>
      <c r="C41" s="55"/>
      <c r="D41" s="55"/>
      <c r="E41" s="55"/>
      <c r="F41" s="55"/>
      <c r="G41" s="55"/>
    </row>
  </sheetData>
  <mergeCells count="3">
    <mergeCell ref="C4:F4"/>
    <mergeCell ref="C5:F5"/>
    <mergeCell ref="E7: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B3:F39"/>
  <sheetViews>
    <sheetView view="pageBreakPreview" topLeftCell="B11" zoomScale="90" zoomScaleNormal="100" zoomScaleSheetLayoutView="90" workbookViewId="0">
      <selection activeCell="E18" sqref="E18"/>
    </sheetView>
  </sheetViews>
  <sheetFormatPr defaultColWidth="11.5546875" defaultRowHeight="14.4" x14ac:dyDescent="0.3"/>
  <cols>
    <col min="1" max="1" width="7" customWidth="1"/>
    <col min="2" max="2" width="5.5546875" customWidth="1"/>
    <col min="3" max="3" width="43" customWidth="1"/>
    <col min="4" max="4" width="26.44140625" customWidth="1"/>
    <col min="5" max="5" width="14" customWidth="1"/>
    <col min="6" max="6" width="74.88671875" customWidth="1"/>
    <col min="7" max="7" width="7.33203125" customWidth="1"/>
    <col min="8" max="8" width="24.5546875" customWidth="1"/>
    <col min="10" max="10" width="20" customWidth="1"/>
  </cols>
  <sheetData>
    <row r="3" spans="2:6" ht="15" thickBot="1" x14ac:dyDescent="0.35"/>
    <row r="4" spans="2:6" ht="33" customHeight="1" x14ac:dyDescent="0.3">
      <c r="B4" s="1"/>
      <c r="C4" s="203" t="s">
        <v>15</v>
      </c>
      <c r="D4" s="203"/>
      <c r="E4" s="203"/>
      <c r="F4" s="204"/>
    </row>
    <row r="5" spans="2:6" ht="17.399999999999999" x14ac:dyDescent="0.3">
      <c r="B5" s="2"/>
      <c r="C5" s="205" t="s">
        <v>53</v>
      </c>
      <c r="D5" s="205"/>
      <c r="E5" s="205"/>
      <c r="F5" s="206"/>
    </row>
    <row r="6" spans="2:6" ht="15.6" x14ac:dyDescent="0.3">
      <c r="B6" s="2"/>
      <c r="C6" s="3"/>
      <c r="D6" s="8"/>
      <c r="E6" s="8"/>
      <c r="F6" s="9"/>
    </row>
    <row r="7" spans="2:6" x14ac:dyDescent="0.3">
      <c r="B7" s="2"/>
      <c r="C7" s="210" t="s">
        <v>197</v>
      </c>
      <c r="D7" s="210"/>
      <c r="E7" s="210"/>
      <c r="F7" s="211"/>
    </row>
    <row r="8" spans="2:6" x14ac:dyDescent="0.3">
      <c r="B8" s="2"/>
      <c r="C8" s="210" t="s">
        <v>198</v>
      </c>
      <c r="D8" s="210"/>
      <c r="E8" s="210"/>
      <c r="F8" s="211"/>
    </row>
    <row r="9" spans="2:6" x14ac:dyDescent="0.3">
      <c r="B9" s="2"/>
      <c r="C9" s="212" t="s">
        <v>199</v>
      </c>
      <c r="D9" s="212"/>
      <c r="E9" s="212"/>
      <c r="F9" s="213"/>
    </row>
    <row r="10" spans="2:6" x14ac:dyDescent="0.3">
      <c r="B10" s="2"/>
      <c r="C10" s="195"/>
      <c r="D10" s="195"/>
      <c r="E10" s="195"/>
      <c r="F10" s="196"/>
    </row>
    <row r="11" spans="2:6" ht="15" thickBot="1" x14ac:dyDescent="0.35">
      <c r="B11" s="2"/>
      <c r="C11" s="195"/>
      <c r="D11" s="195"/>
      <c r="E11" s="195"/>
      <c r="F11" s="196"/>
    </row>
    <row r="12" spans="2:6" ht="15.6" x14ac:dyDescent="0.3">
      <c r="B12" s="2"/>
      <c r="C12" s="4"/>
      <c r="D12" s="16" t="s">
        <v>119</v>
      </c>
      <c r="E12" s="17"/>
      <c r="F12" s="40" t="s">
        <v>10</v>
      </c>
    </row>
    <row r="13" spans="2:6" ht="16.2" thickBot="1" x14ac:dyDescent="0.35">
      <c r="B13" s="2"/>
      <c r="C13" s="8"/>
      <c r="D13" s="18" t="s">
        <v>0</v>
      </c>
      <c r="E13" s="19" t="s">
        <v>16</v>
      </c>
      <c r="F13" s="41"/>
    </row>
    <row r="14" spans="2:6" x14ac:dyDescent="0.3">
      <c r="B14" s="5" t="s">
        <v>1</v>
      </c>
      <c r="C14" s="4" t="s">
        <v>2</v>
      </c>
      <c r="D14" s="20"/>
      <c r="E14" s="21"/>
      <c r="F14" s="9"/>
    </row>
    <row r="15" spans="2:6" ht="33.75" customHeight="1" x14ac:dyDescent="0.3">
      <c r="B15" s="2"/>
      <c r="C15" s="15" t="s">
        <v>99</v>
      </c>
      <c r="D15" s="22">
        <v>3500</v>
      </c>
      <c r="E15" s="103">
        <f>+D15*100/D32</f>
        <v>22.521073290007077</v>
      </c>
      <c r="F15" s="42" t="s">
        <v>54</v>
      </c>
    </row>
    <row r="16" spans="2:6" ht="29.25" customHeight="1" x14ac:dyDescent="0.3">
      <c r="B16" s="2"/>
      <c r="C16" s="15" t="s">
        <v>98</v>
      </c>
      <c r="D16" s="22">
        <v>3500</v>
      </c>
      <c r="E16" s="103">
        <f>+D16*100/$D$32</f>
        <v>22.521073290007077</v>
      </c>
      <c r="F16" s="42" t="s">
        <v>54</v>
      </c>
    </row>
    <row r="17" spans="2:6" ht="31.5" customHeight="1" x14ac:dyDescent="0.3">
      <c r="B17" s="2"/>
      <c r="C17" s="15" t="s">
        <v>55</v>
      </c>
      <c r="D17" s="22">
        <v>280</v>
      </c>
      <c r="E17" s="103">
        <f t="shared" ref="E17:E18" si="0">+D17*100/$D$32</f>
        <v>1.8016858632005663</v>
      </c>
      <c r="F17" s="42" t="s">
        <v>56</v>
      </c>
    </row>
    <row r="18" spans="2:6" ht="27" customHeight="1" x14ac:dyDescent="0.3">
      <c r="B18" s="2"/>
      <c r="C18" s="8" t="s">
        <v>57</v>
      </c>
      <c r="D18" s="24">
        <v>1000</v>
      </c>
      <c r="E18" s="103">
        <f t="shared" si="0"/>
        <v>6.4345923685734512</v>
      </c>
      <c r="F18" s="42" t="s">
        <v>106</v>
      </c>
    </row>
    <row r="19" spans="2:6" ht="27" customHeight="1" x14ac:dyDescent="0.3">
      <c r="B19" s="2"/>
      <c r="C19" s="8"/>
      <c r="D19" s="24"/>
      <c r="E19" s="103"/>
      <c r="F19" s="42"/>
    </row>
    <row r="20" spans="2:6" ht="14.25" customHeight="1" x14ac:dyDescent="0.3">
      <c r="B20" s="5" t="s">
        <v>3</v>
      </c>
      <c r="C20" s="4" t="s">
        <v>4</v>
      </c>
      <c r="D20" s="46"/>
      <c r="E20" s="103"/>
      <c r="F20" s="43"/>
    </row>
    <row r="21" spans="2:6" ht="32.25" customHeight="1" x14ac:dyDescent="0.3">
      <c r="B21" s="2"/>
      <c r="C21" s="15" t="s">
        <v>100</v>
      </c>
      <c r="D21" s="22">
        <v>891</v>
      </c>
      <c r="E21" s="103">
        <f t="shared" ref="E21:E27" si="1">+D21*100/$D$32</f>
        <v>5.7332218003989448</v>
      </c>
      <c r="F21" s="42" t="s">
        <v>58</v>
      </c>
    </row>
    <row r="22" spans="2:6" ht="32.25" customHeight="1" x14ac:dyDescent="0.3">
      <c r="B22" s="2"/>
      <c r="C22" s="89" t="s">
        <v>22</v>
      </c>
      <c r="D22" s="22">
        <v>3000</v>
      </c>
      <c r="E22" s="103">
        <f t="shared" si="1"/>
        <v>19.303777105720354</v>
      </c>
      <c r="F22" s="42" t="s">
        <v>125</v>
      </c>
    </row>
    <row r="23" spans="2:6" ht="29.25" customHeight="1" x14ac:dyDescent="0.3">
      <c r="B23" s="2"/>
      <c r="C23" s="15" t="s">
        <v>14</v>
      </c>
      <c r="D23" s="22">
        <v>550</v>
      </c>
      <c r="E23" s="103">
        <f t="shared" si="1"/>
        <v>3.5390258027153978</v>
      </c>
      <c r="F23" s="42" t="s">
        <v>59</v>
      </c>
    </row>
    <row r="24" spans="2:6" ht="37.5" customHeight="1" x14ac:dyDescent="0.3">
      <c r="B24" s="2"/>
      <c r="C24" s="15" t="s">
        <v>18</v>
      </c>
      <c r="D24" s="22"/>
      <c r="E24" s="103">
        <f t="shared" si="1"/>
        <v>0</v>
      </c>
      <c r="F24" s="44" t="s">
        <v>60</v>
      </c>
    </row>
    <row r="25" spans="2:6" ht="30" customHeight="1" x14ac:dyDescent="0.3">
      <c r="B25" s="2"/>
      <c r="C25" s="15" t="s">
        <v>88</v>
      </c>
      <c r="D25" s="22">
        <v>670</v>
      </c>
      <c r="E25" s="103">
        <f t="shared" si="1"/>
        <v>4.311176886944212</v>
      </c>
      <c r="F25" s="42" t="s">
        <v>61</v>
      </c>
    </row>
    <row r="26" spans="2:6" ht="25.5" customHeight="1" x14ac:dyDescent="0.3">
      <c r="B26" s="2"/>
      <c r="C26" s="15" t="s">
        <v>94</v>
      </c>
      <c r="D26" s="26">
        <v>200</v>
      </c>
      <c r="E26" s="103">
        <f t="shared" si="1"/>
        <v>1.2869184737146901</v>
      </c>
      <c r="F26" s="42" t="s">
        <v>20</v>
      </c>
    </row>
    <row r="27" spans="2:6" ht="24" customHeight="1" x14ac:dyDescent="0.3">
      <c r="B27" s="2"/>
      <c r="C27" s="8" t="s">
        <v>95</v>
      </c>
      <c r="D27" s="47">
        <v>450</v>
      </c>
      <c r="E27" s="103">
        <f t="shared" si="1"/>
        <v>2.8955665658580529</v>
      </c>
      <c r="F27" s="42" t="s">
        <v>126</v>
      </c>
    </row>
    <row r="28" spans="2:6" ht="25.5" customHeight="1" x14ac:dyDescent="0.3">
      <c r="B28" s="5" t="s">
        <v>5</v>
      </c>
      <c r="C28" s="4" t="s">
        <v>6</v>
      </c>
      <c r="D28" s="28"/>
      <c r="E28" s="103"/>
      <c r="F28" s="45"/>
    </row>
    <row r="29" spans="2:6" ht="57" customHeight="1" x14ac:dyDescent="0.3">
      <c r="B29" s="2"/>
      <c r="C29" s="15" t="s">
        <v>7</v>
      </c>
      <c r="D29" s="22">
        <v>1100</v>
      </c>
      <c r="E29" s="103">
        <f>+D29*100/$D$32</f>
        <v>7.0780516054307956</v>
      </c>
      <c r="F29" s="44" t="s">
        <v>62</v>
      </c>
    </row>
    <row r="30" spans="2:6" x14ac:dyDescent="0.3">
      <c r="B30" s="2"/>
      <c r="C30" s="8" t="s">
        <v>151</v>
      </c>
      <c r="D30" s="47">
        <v>400</v>
      </c>
      <c r="E30" s="103">
        <f>+D30*100/$D$32</f>
        <v>2.5738369474293803</v>
      </c>
      <c r="F30" s="43" t="s">
        <v>101</v>
      </c>
    </row>
    <row r="31" spans="2:6" ht="15" thickBot="1" x14ac:dyDescent="0.35">
      <c r="B31" s="2"/>
      <c r="C31" s="8"/>
      <c r="D31" s="48"/>
      <c r="E31" s="23"/>
      <c r="F31" s="45"/>
    </row>
    <row r="32" spans="2:6" ht="16.2" thickBot="1" x14ac:dyDescent="0.35">
      <c r="B32" s="2"/>
      <c r="C32" s="6" t="s">
        <v>8</v>
      </c>
      <c r="D32" s="30">
        <f>SUM(D15:D30)</f>
        <v>15541</v>
      </c>
      <c r="E32" s="31">
        <f>+D32*100/$D$32</f>
        <v>100</v>
      </c>
      <c r="F32" s="49"/>
    </row>
    <row r="33" spans="2:6" x14ac:dyDescent="0.3">
      <c r="B33" s="2"/>
      <c r="C33" s="8"/>
      <c r="D33" s="14"/>
      <c r="E33" s="14"/>
      <c r="F33" s="9"/>
    </row>
    <row r="34" spans="2:6" ht="21.75" customHeight="1" x14ac:dyDescent="0.3">
      <c r="B34" s="2"/>
      <c r="C34" s="197" t="s">
        <v>185</v>
      </c>
      <c r="D34" s="188"/>
      <c r="E34" s="188"/>
      <c r="F34" s="198"/>
    </row>
    <row r="35" spans="2:6" ht="35.25" customHeight="1" x14ac:dyDescent="0.3">
      <c r="B35" s="2"/>
      <c r="C35" s="175" t="s">
        <v>9</v>
      </c>
      <c r="D35" s="177"/>
      <c r="E35" s="218" t="s">
        <v>102</v>
      </c>
      <c r="F35" s="219"/>
    </row>
    <row r="36" spans="2:6" ht="26.25" customHeight="1" x14ac:dyDescent="0.3">
      <c r="B36" s="2"/>
      <c r="C36" s="175" t="s">
        <v>63</v>
      </c>
      <c r="D36" s="177"/>
      <c r="E36" s="199" t="s">
        <v>103</v>
      </c>
      <c r="F36" s="200"/>
    </row>
    <row r="37" spans="2:6" ht="34.5" customHeight="1" x14ac:dyDescent="0.3">
      <c r="B37" s="2"/>
      <c r="C37" s="175" t="s">
        <v>30</v>
      </c>
      <c r="D37" s="177"/>
      <c r="E37" s="199" t="s">
        <v>104</v>
      </c>
      <c r="F37" s="200"/>
    </row>
    <row r="38" spans="2:6" ht="32.25" customHeight="1" thickBot="1" x14ac:dyDescent="0.35">
      <c r="B38" s="7"/>
      <c r="C38" s="217"/>
      <c r="D38" s="217"/>
      <c r="E38" s="220" t="s">
        <v>105</v>
      </c>
      <c r="F38" s="221"/>
    </row>
    <row r="39" spans="2:6" ht="15" customHeight="1" x14ac:dyDescent="0.3"/>
  </sheetData>
  <mergeCells count="8">
    <mergeCell ref="C4:F4"/>
    <mergeCell ref="C5:F5"/>
    <mergeCell ref="C38:D38"/>
    <mergeCell ref="E35:F35"/>
    <mergeCell ref="E38:F38"/>
    <mergeCell ref="C7:F7"/>
    <mergeCell ref="C8:F8"/>
    <mergeCell ref="C9:F9"/>
  </mergeCells>
  <pageMargins left="0.70866141732283472" right="0.31496062992125984" top="0.74803149606299213" bottom="0.74803149606299213" header="0.31496062992125984" footer="0.31496062992125984"/>
  <pageSetup paperSize="9" scale="51" orientation="portrait" r:id="rId1"/>
  <colBreaks count="1" manualBreakCount="1">
    <brk id="7" max="36"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H48"/>
  <sheetViews>
    <sheetView view="pageBreakPreview" topLeftCell="A21" zoomScale="90" zoomScaleNormal="90" zoomScaleSheetLayoutView="90" workbookViewId="0">
      <selection activeCell="C13" sqref="C13:C30"/>
    </sheetView>
  </sheetViews>
  <sheetFormatPr defaultColWidth="11.5546875" defaultRowHeight="14.4" x14ac:dyDescent="0.3"/>
  <cols>
    <col min="1" max="1" width="2.88671875" customWidth="1"/>
    <col min="2" max="2" width="5.5546875" customWidth="1"/>
    <col min="3" max="3" width="46.5546875" customWidth="1"/>
    <col min="4" max="4" width="17.88671875" customWidth="1"/>
    <col min="5" max="5" width="14.5546875" customWidth="1"/>
    <col min="6" max="6" width="80.109375" bestFit="1" customWidth="1"/>
    <col min="7" max="7" width="4.6640625" customWidth="1"/>
    <col min="8" max="8" width="24.5546875" customWidth="1"/>
    <col min="10" max="10" width="20" customWidth="1"/>
  </cols>
  <sheetData>
    <row r="1" spans="1:8" x14ac:dyDescent="0.3">
      <c r="A1" s="55"/>
      <c r="B1" s="55"/>
      <c r="C1" s="55"/>
      <c r="D1" s="55"/>
      <c r="E1" s="55"/>
      <c r="F1" s="55"/>
      <c r="G1" s="55"/>
    </row>
    <row r="2" spans="1:8" x14ac:dyDescent="0.3">
      <c r="A2" s="55"/>
      <c r="B2" s="55"/>
      <c r="C2" s="55"/>
      <c r="D2" s="55"/>
      <c r="E2" s="55"/>
      <c r="F2" s="55"/>
      <c r="G2" s="55"/>
    </row>
    <row r="3" spans="1:8" ht="15" thickBot="1" x14ac:dyDescent="0.35">
      <c r="A3" s="55"/>
      <c r="B3" s="55"/>
      <c r="C3" s="55"/>
      <c r="D3" s="55"/>
      <c r="E3" s="55"/>
      <c r="F3" s="55"/>
      <c r="G3" s="55"/>
    </row>
    <row r="4" spans="1:8" ht="33" customHeight="1" x14ac:dyDescent="0.3">
      <c r="A4" s="55"/>
      <c r="B4" s="56"/>
      <c r="C4" s="203" t="s">
        <v>15</v>
      </c>
      <c r="D4" s="203"/>
      <c r="E4" s="203"/>
      <c r="F4" s="204"/>
      <c r="G4" s="55"/>
    </row>
    <row r="5" spans="1:8" ht="17.399999999999999" x14ac:dyDescent="0.3">
      <c r="A5" s="55"/>
      <c r="B5" s="57"/>
      <c r="C5" s="205" t="s">
        <v>69</v>
      </c>
      <c r="D5" s="205"/>
      <c r="E5" s="205"/>
      <c r="F5" s="206"/>
      <c r="G5" s="55"/>
    </row>
    <row r="6" spans="1:8" x14ac:dyDescent="0.3">
      <c r="A6" s="55"/>
      <c r="B6" s="57"/>
      <c r="C6" s="210" t="s">
        <v>197</v>
      </c>
      <c r="D6" s="210"/>
      <c r="E6" s="210"/>
      <c r="F6" s="211"/>
      <c r="G6" s="55"/>
    </row>
    <row r="7" spans="1:8" x14ac:dyDescent="0.3">
      <c r="A7" s="55"/>
      <c r="B7" s="57"/>
      <c r="C7" s="210" t="s">
        <v>198</v>
      </c>
      <c r="D7" s="210"/>
      <c r="E7" s="210"/>
      <c r="F7" s="211"/>
      <c r="G7" s="55"/>
    </row>
    <row r="8" spans="1:8" x14ac:dyDescent="0.3">
      <c r="A8" s="55"/>
      <c r="B8" s="57"/>
      <c r="C8" s="212" t="s">
        <v>199</v>
      </c>
      <c r="D8" s="212"/>
      <c r="E8" s="212"/>
      <c r="F8" s="213"/>
      <c r="G8" s="55"/>
    </row>
    <row r="9" spans="1:8" ht="15.6" x14ac:dyDescent="0.3">
      <c r="A9" s="55"/>
      <c r="B9" s="57"/>
      <c r="C9" s="3"/>
      <c r="D9" s="58"/>
      <c r="E9" s="58"/>
      <c r="F9" s="45"/>
      <c r="G9" s="55"/>
    </row>
    <row r="10" spans="1:8" ht="16.2" thickBot="1" x14ac:dyDescent="0.35">
      <c r="A10" s="55"/>
      <c r="B10" s="57"/>
      <c r="C10" s="3"/>
      <c r="D10" s="58"/>
      <c r="E10" s="58"/>
      <c r="F10" s="45"/>
      <c r="G10" s="55"/>
    </row>
    <row r="11" spans="1:8" ht="15.6" x14ac:dyDescent="0.3">
      <c r="A11" s="55"/>
      <c r="B11" s="57"/>
      <c r="C11" s="59"/>
      <c r="D11" s="74" t="s">
        <v>119</v>
      </c>
      <c r="E11" s="215" t="s">
        <v>16</v>
      </c>
      <c r="F11" s="86" t="s">
        <v>10</v>
      </c>
      <c r="G11" s="55"/>
    </row>
    <row r="12" spans="1:8" ht="16.2" thickBot="1" x14ac:dyDescent="0.35">
      <c r="A12" s="55"/>
      <c r="B12" s="57"/>
      <c r="C12" s="58"/>
      <c r="D12" s="75" t="s">
        <v>0</v>
      </c>
      <c r="E12" s="216"/>
      <c r="F12" s="87"/>
      <c r="G12" s="55"/>
    </row>
    <row r="13" spans="1:8" x14ac:dyDescent="0.3">
      <c r="A13" s="55"/>
      <c r="B13" s="68" t="s">
        <v>1</v>
      </c>
      <c r="C13" s="69" t="s">
        <v>2</v>
      </c>
      <c r="D13" s="60"/>
      <c r="E13" s="83"/>
      <c r="F13" s="36"/>
      <c r="G13" s="55"/>
    </row>
    <row r="14" spans="1:8" ht="33.75" customHeight="1" x14ac:dyDescent="0.3">
      <c r="A14" s="55"/>
      <c r="B14" s="70"/>
      <c r="C14" s="15" t="s">
        <v>84</v>
      </c>
      <c r="D14" s="22"/>
      <c r="E14" s="84">
        <f>+D14*100/D32</f>
        <v>0</v>
      </c>
      <c r="F14" s="34" t="s">
        <v>70</v>
      </c>
      <c r="G14" s="55"/>
      <c r="H14" s="189"/>
    </row>
    <row r="15" spans="1:8" ht="29.25" customHeight="1" x14ac:dyDescent="0.3">
      <c r="A15" s="55"/>
      <c r="B15" s="70"/>
      <c r="C15" s="71" t="s">
        <v>71</v>
      </c>
      <c r="D15" s="22"/>
      <c r="E15" s="84">
        <f>+D15*100/$D$32</f>
        <v>0</v>
      </c>
      <c r="F15" s="34" t="s">
        <v>86</v>
      </c>
      <c r="G15" s="55"/>
      <c r="H15" s="189"/>
    </row>
    <row r="16" spans="1:8" ht="67.5" customHeight="1" x14ac:dyDescent="0.3">
      <c r="A16" s="55"/>
      <c r="B16" s="70"/>
      <c r="C16" s="71" t="s">
        <v>72</v>
      </c>
      <c r="D16" s="22">
        <v>36000</v>
      </c>
      <c r="E16" s="84">
        <f>+D16*100/$D$32</f>
        <v>92.194222495390292</v>
      </c>
      <c r="F16" s="34" t="s">
        <v>83</v>
      </c>
      <c r="G16" s="55"/>
      <c r="H16" s="189"/>
    </row>
    <row r="17" spans="1:7" ht="0.75" customHeight="1" x14ac:dyDescent="0.3">
      <c r="A17" s="55"/>
      <c r="B17" s="70"/>
      <c r="C17" s="71"/>
      <c r="D17" s="22"/>
      <c r="E17" s="84"/>
      <c r="F17" s="35"/>
      <c r="G17" s="55"/>
    </row>
    <row r="18" spans="1:7" hidden="1" x14ac:dyDescent="0.3">
      <c r="A18" s="55"/>
      <c r="B18" s="70"/>
      <c r="C18" s="72"/>
      <c r="D18" s="24"/>
      <c r="E18" s="84"/>
      <c r="F18" s="36"/>
      <c r="G18" s="55"/>
    </row>
    <row r="19" spans="1:7" x14ac:dyDescent="0.3">
      <c r="A19" s="55"/>
      <c r="B19" s="68" t="s">
        <v>3</v>
      </c>
      <c r="C19" s="69" t="s">
        <v>4</v>
      </c>
      <c r="D19" s="25"/>
      <c r="E19" s="84"/>
      <c r="F19" s="36"/>
      <c r="G19" s="55"/>
    </row>
    <row r="20" spans="1:7" ht="32.25" customHeight="1" x14ac:dyDescent="0.3">
      <c r="A20" s="55"/>
      <c r="B20" s="70"/>
      <c r="C20" s="15" t="s">
        <v>39</v>
      </c>
      <c r="D20" s="22">
        <v>248</v>
      </c>
      <c r="E20" s="84">
        <f t="shared" ref="E20:E30" si="0">+D20*100/$D$32</f>
        <v>0.63511575496824424</v>
      </c>
      <c r="F20" s="34" t="s">
        <v>90</v>
      </c>
      <c r="G20" s="55"/>
    </row>
    <row r="21" spans="1:7" ht="48.75" customHeight="1" x14ac:dyDescent="0.3">
      <c r="A21" s="55"/>
      <c r="B21" s="70"/>
      <c r="C21" s="71" t="s">
        <v>22</v>
      </c>
      <c r="D21" s="22">
        <v>0</v>
      </c>
      <c r="E21" s="84">
        <f t="shared" si="0"/>
        <v>0</v>
      </c>
      <c r="F21" s="35" t="s">
        <v>85</v>
      </c>
      <c r="G21" s="55"/>
    </row>
    <row r="22" spans="1:7" ht="47.25" customHeight="1" x14ac:dyDescent="0.3">
      <c r="A22" s="55"/>
      <c r="B22" s="70"/>
      <c r="C22" s="82" t="s">
        <v>14</v>
      </c>
      <c r="D22" s="22"/>
      <c r="E22" s="84">
        <f t="shared" si="0"/>
        <v>0</v>
      </c>
      <c r="F22" s="35" t="s">
        <v>92</v>
      </c>
      <c r="G22" s="55"/>
    </row>
    <row r="23" spans="1:7" ht="37.5" customHeight="1" x14ac:dyDescent="0.3">
      <c r="A23" s="55"/>
      <c r="B23" s="70"/>
      <c r="C23" s="71" t="s">
        <v>74</v>
      </c>
      <c r="D23" s="22">
        <v>600</v>
      </c>
      <c r="E23" s="84">
        <f t="shared" si="0"/>
        <v>1.5365703749231714</v>
      </c>
      <c r="F23" s="35" t="s">
        <v>75</v>
      </c>
      <c r="G23" s="55"/>
    </row>
    <row r="24" spans="1:7" ht="30" customHeight="1" x14ac:dyDescent="0.3">
      <c r="A24" s="55"/>
      <c r="B24" s="70"/>
      <c r="C24" s="71" t="s">
        <v>89</v>
      </c>
      <c r="D24" s="22">
        <v>200</v>
      </c>
      <c r="E24" s="84">
        <f t="shared" si="0"/>
        <v>0.51219012497439054</v>
      </c>
      <c r="F24" s="34" t="s">
        <v>24</v>
      </c>
      <c r="G24" s="55"/>
    </row>
    <row r="25" spans="1:7" ht="25.5" customHeight="1" x14ac:dyDescent="0.3">
      <c r="A25" s="55"/>
      <c r="B25" s="70"/>
      <c r="C25" s="71" t="s">
        <v>88</v>
      </c>
      <c r="D25" s="26"/>
      <c r="E25" s="84">
        <f t="shared" si="0"/>
        <v>0</v>
      </c>
      <c r="F25" s="34" t="s">
        <v>20</v>
      </c>
      <c r="G25" s="55"/>
    </row>
    <row r="26" spans="1:7" ht="24" customHeight="1" x14ac:dyDescent="0.3">
      <c r="A26" s="55"/>
      <c r="B26" s="70"/>
      <c r="C26" s="71" t="s">
        <v>76</v>
      </c>
      <c r="D26" s="27">
        <v>200</v>
      </c>
      <c r="E26" s="84">
        <f t="shared" si="0"/>
        <v>0.51219012497439054</v>
      </c>
      <c r="F26" s="35" t="s">
        <v>77</v>
      </c>
      <c r="G26" s="55"/>
    </row>
    <row r="27" spans="1:7" ht="24" customHeight="1" x14ac:dyDescent="0.3">
      <c r="A27" s="55"/>
      <c r="B27" s="70"/>
      <c r="C27" s="71" t="s">
        <v>96</v>
      </c>
      <c r="D27" s="27">
        <v>0</v>
      </c>
      <c r="E27" s="84">
        <f t="shared" si="0"/>
        <v>0</v>
      </c>
      <c r="F27" s="35" t="s">
        <v>97</v>
      </c>
      <c r="G27" s="55"/>
    </row>
    <row r="28" spans="1:7" ht="25.5" customHeight="1" x14ac:dyDescent="0.3">
      <c r="A28" s="55"/>
      <c r="B28" s="68" t="s">
        <v>5</v>
      </c>
      <c r="C28" s="69" t="s">
        <v>6</v>
      </c>
      <c r="D28" s="28"/>
      <c r="E28" s="84"/>
      <c r="F28" s="76"/>
      <c r="G28" s="55"/>
    </row>
    <row r="29" spans="1:7" ht="57" customHeight="1" x14ac:dyDescent="0.3">
      <c r="A29" s="55"/>
      <c r="B29" s="70"/>
      <c r="C29" s="71" t="s">
        <v>7</v>
      </c>
      <c r="D29" s="22">
        <v>1400</v>
      </c>
      <c r="E29" s="84">
        <f t="shared" si="0"/>
        <v>3.5853308748207335</v>
      </c>
      <c r="F29" s="35" t="s">
        <v>25</v>
      </c>
      <c r="G29" s="55"/>
    </row>
    <row r="30" spans="1:7" x14ac:dyDescent="0.3">
      <c r="A30" s="55"/>
      <c r="B30" s="70"/>
      <c r="C30" s="8" t="s">
        <v>151</v>
      </c>
      <c r="D30" s="27">
        <v>400</v>
      </c>
      <c r="E30" s="84">
        <f t="shared" si="0"/>
        <v>1.0243802499487811</v>
      </c>
      <c r="F30" s="36" t="s">
        <v>26</v>
      </c>
      <c r="G30" s="55"/>
    </row>
    <row r="31" spans="1:7" ht="15" thickBot="1" x14ac:dyDescent="0.35">
      <c r="A31" s="55"/>
      <c r="B31" s="70"/>
      <c r="C31" s="72"/>
      <c r="D31" s="29"/>
      <c r="E31" s="84"/>
      <c r="F31" s="37"/>
      <c r="G31" s="55"/>
    </row>
    <row r="32" spans="1:7" ht="16.2" thickBot="1" x14ac:dyDescent="0.35">
      <c r="A32" s="55"/>
      <c r="B32" s="70"/>
      <c r="C32" s="6" t="s">
        <v>8</v>
      </c>
      <c r="D32" s="30">
        <f>SUM(D14:D30)</f>
        <v>39048</v>
      </c>
      <c r="E32" s="85">
        <f>+D32*100/$D$32</f>
        <v>100</v>
      </c>
      <c r="F32" s="49"/>
      <c r="G32" s="55"/>
    </row>
    <row r="33" spans="1:7" x14ac:dyDescent="0.3">
      <c r="A33" s="55"/>
      <c r="B33" s="57"/>
      <c r="C33" s="58"/>
      <c r="D33" s="61"/>
      <c r="E33" s="61"/>
      <c r="F33" s="45"/>
      <c r="G33" s="55"/>
    </row>
    <row r="34" spans="1:7" ht="21.75" customHeight="1" x14ac:dyDescent="0.3">
      <c r="A34" s="55"/>
      <c r="B34" s="57"/>
      <c r="C34" s="178" t="s">
        <v>185</v>
      </c>
      <c r="D34" s="190"/>
      <c r="E34" s="190"/>
      <c r="F34" s="191"/>
      <c r="G34" s="55"/>
    </row>
    <row r="35" spans="1:7" ht="35.25" customHeight="1" x14ac:dyDescent="0.3">
      <c r="A35" s="55"/>
      <c r="B35" s="57"/>
      <c r="C35" s="192" t="s">
        <v>9</v>
      </c>
      <c r="D35" s="223" t="s">
        <v>91</v>
      </c>
      <c r="E35" s="223"/>
      <c r="F35" s="224"/>
      <c r="G35" s="55"/>
    </row>
    <row r="36" spans="1:7" ht="26.25" customHeight="1" x14ac:dyDescent="0.3">
      <c r="A36" s="55"/>
      <c r="B36" s="57"/>
      <c r="C36" s="192" t="s">
        <v>78</v>
      </c>
      <c r="D36" s="223"/>
      <c r="E36" s="223"/>
      <c r="F36" s="224"/>
      <c r="G36" s="55"/>
    </row>
    <row r="37" spans="1:7" ht="51" customHeight="1" x14ac:dyDescent="0.3">
      <c r="A37" s="55"/>
      <c r="B37" s="57"/>
      <c r="C37" s="192" t="s">
        <v>30</v>
      </c>
      <c r="D37" s="223"/>
      <c r="E37" s="223"/>
      <c r="F37" s="224"/>
      <c r="G37" s="55"/>
    </row>
    <row r="38" spans="1:7" ht="21.75" customHeight="1" thickBot="1" x14ac:dyDescent="0.35">
      <c r="A38" s="55"/>
      <c r="B38" s="65"/>
      <c r="C38" s="222" t="s">
        <v>87</v>
      </c>
      <c r="D38" s="222"/>
      <c r="E38" s="193"/>
      <c r="F38" s="194"/>
      <c r="G38" s="55"/>
    </row>
    <row r="39" spans="1:7" ht="15" customHeight="1" x14ac:dyDescent="0.3">
      <c r="A39" s="55"/>
      <c r="B39" s="55"/>
      <c r="C39" s="105"/>
      <c r="D39" s="105"/>
      <c r="E39" s="105"/>
      <c r="F39" s="105"/>
      <c r="G39" s="55"/>
    </row>
    <row r="40" spans="1:7" x14ac:dyDescent="0.3">
      <c r="A40" s="55"/>
      <c r="B40" s="55"/>
      <c r="C40" s="55"/>
      <c r="D40" s="55"/>
      <c r="E40" s="55"/>
      <c r="F40" s="55"/>
      <c r="G40" s="55"/>
    </row>
    <row r="41" spans="1:7" x14ac:dyDescent="0.3">
      <c r="A41" s="55"/>
      <c r="B41" s="55"/>
      <c r="C41" s="55"/>
      <c r="D41" s="55"/>
      <c r="E41" s="55"/>
      <c r="F41" s="55"/>
      <c r="G41" s="55"/>
    </row>
    <row r="42" spans="1:7" x14ac:dyDescent="0.3">
      <c r="A42" s="55"/>
      <c r="B42" s="55"/>
      <c r="C42" s="55"/>
      <c r="D42" s="55"/>
      <c r="E42" s="55"/>
      <c r="F42" s="55"/>
      <c r="G42" s="55"/>
    </row>
    <row r="43" spans="1:7" x14ac:dyDescent="0.3">
      <c r="A43" s="55"/>
      <c r="B43" s="55"/>
      <c r="C43" s="55"/>
      <c r="D43" s="55"/>
      <c r="E43" s="55"/>
      <c r="F43" s="55"/>
      <c r="G43" s="55"/>
    </row>
    <row r="44" spans="1:7" x14ac:dyDescent="0.3">
      <c r="A44" s="55"/>
      <c r="B44" s="55"/>
      <c r="C44" s="55"/>
      <c r="D44" s="55"/>
      <c r="E44" s="55"/>
      <c r="F44" s="55"/>
      <c r="G44" s="55"/>
    </row>
    <row r="45" spans="1:7" x14ac:dyDescent="0.3">
      <c r="A45" s="55"/>
      <c r="B45" s="55"/>
      <c r="C45" s="55"/>
      <c r="D45" s="55"/>
      <c r="E45" s="55"/>
      <c r="F45" s="55"/>
      <c r="G45" s="55"/>
    </row>
    <row r="46" spans="1:7" x14ac:dyDescent="0.3">
      <c r="A46" s="55"/>
      <c r="B46" s="55"/>
      <c r="C46" s="55"/>
      <c r="D46" s="55"/>
      <c r="E46" s="55"/>
      <c r="F46" s="55"/>
      <c r="G46" s="55"/>
    </row>
    <row r="47" spans="1:7" x14ac:dyDescent="0.3">
      <c r="A47" s="55"/>
      <c r="B47" s="55"/>
      <c r="C47" s="55"/>
      <c r="D47" s="55"/>
      <c r="E47" s="55"/>
      <c r="F47" s="55"/>
      <c r="G47" s="55"/>
    </row>
    <row r="48" spans="1:7" x14ac:dyDescent="0.3">
      <c r="A48" s="55"/>
      <c r="B48" s="55"/>
      <c r="C48" s="55"/>
      <c r="D48" s="55"/>
      <c r="E48" s="55"/>
      <c r="F48" s="55"/>
      <c r="G48" s="55"/>
    </row>
  </sheetData>
  <mergeCells count="8">
    <mergeCell ref="C4:F4"/>
    <mergeCell ref="C5:F5"/>
    <mergeCell ref="C38:D38"/>
    <mergeCell ref="D35:F37"/>
    <mergeCell ref="E11:E12"/>
    <mergeCell ref="C6:F6"/>
    <mergeCell ref="C7:F7"/>
    <mergeCell ref="C8:F8"/>
  </mergeCells>
  <pageMargins left="0.7" right="0.7" top="0.75" bottom="0.75" header="0.3" footer="0.3"/>
  <pageSetup scale="5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3:G35"/>
  <sheetViews>
    <sheetView view="pageBreakPreview" topLeftCell="A20" zoomScale="90" zoomScaleNormal="80" zoomScaleSheetLayoutView="90" workbookViewId="0">
      <selection activeCell="C6" sqref="C6:F8"/>
    </sheetView>
  </sheetViews>
  <sheetFormatPr defaultColWidth="11.5546875" defaultRowHeight="14.4" x14ac:dyDescent="0.3"/>
  <cols>
    <col min="1" max="1" width="7" customWidth="1"/>
    <col min="2" max="2" width="5.5546875" customWidth="1"/>
    <col min="3" max="3" width="43.5546875" customWidth="1"/>
    <col min="4" max="4" width="26.44140625" customWidth="1"/>
    <col min="5" max="5" width="14" customWidth="1"/>
    <col min="6" max="6" width="82.88671875" customWidth="1"/>
  </cols>
  <sheetData>
    <row r="3" spans="2:6" ht="15" thickBot="1" x14ac:dyDescent="0.35"/>
    <row r="4" spans="2:6" ht="33" customHeight="1" x14ac:dyDescent="0.3">
      <c r="B4" s="1"/>
      <c r="C4" s="203" t="s">
        <v>15</v>
      </c>
      <c r="D4" s="203"/>
      <c r="E4" s="203"/>
      <c r="F4" s="204"/>
    </row>
    <row r="5" spans="2:6" ht="17.399999999999999" x14ac:dyDescent="0.3">
      <c r="B5" s="2"/>
      <c r="C5" s="205" t="s">
        <v>68</v>
      </c>
      <c r="D5" s="205"/>
      <c r="E5" s="205"/>
      <c r="F5" s="206"/>
    </row>
    <row r="6" spans="2:6" x14ac:dyDescent="0.3">
      <c r="B6" s="2"/>
      <c r="C6" s="210" t="s">
        <v>197</v>
      </c>
      <c r="D6" s="210"/>
      <c r="E6" s="210"/>
      <c r="F6" s="211"/>
    </row>
    <row r="7" spans="2:6" x14ac:dyDescent="0.3">
      <c r="B7" s="2"/>
      <c r="C7" s="210" t="s">
        <v>198</v>
      </c>
      <c r="D7" s="210"/>
      <c r="E7" s="210"/>
      <c r="F7" s="211"/>
    </row>
    <row r="8" spans="2:6" x14ac:dyDescent="0.3">
      <c r="B8" s="2"/>
      <c r="C8" s="212" t="s">
        <v>199</v>
      </c>
      <c r="D8" s="212"/>
      <c r="E8" s="212"/>
      <c r="F8" s="213"/>
    </row>
    <row r="9" spans="2:6" ht="15.6" x14ac:dyDescent="0.3">
      <c r="B9" s="2"/>
      <c r="C9" s="3"/>
      <c r="D9" s="8"/>
      <c r="E9" s="8"/>
      <c r="F9" s="9"/>
    </row>
    <row r="10" spans="2:6" ht="16.2" thickBot="1" x14ac:dyDescent="0.35">
      <c r="B10" s="2"/>
      <c r="C10" s="3"/>
      <c r="D10" s="8"/>
      <c r="E10" s="8"/>
      <c r="F10" s="9"/>
    </row>
    <row r="11" spans="2:6" ht="15.6" x14ac:dyDescent="0.3">
      <c r="B11" s="2"/>
      <c r="C11" s="4"/>
      <c r="D11" s="16" t="s">
        <v>121</v>
      </c>
      <c r="E11" s="17"/>
      <c r="F11" s="40" t="s">
        <v>10</v>
      </c>
    </row>
    <row r="12" spans="2:6" ht="16.2" thickBot="1" x14ac:dyDescent="0.35">
      <c r="B12" s="2"/>
      <c r="C12" s="8"/>
      <c r="D12" s="18" t="s">
        <v>0</v>
      </c>
      <c r="E12" s="19" t="s">
        <v>16</v>
      </c>
      <c r="F12" s="41"/>
    </row>
    <row r="13" spans="2:6" x14ac:dyDescent="0.3">
      <c r="B13" s="5" t="s">
        <v>1</v>
      </c>
      <c r="C13" s="4" t="s">
        <v>2</v>
      </c>
      <c r="D13" s="20"/>
      <c r="E13" s="21"/>
      <c r="F13" s="9"/>
    </row>
    <row r="14" spans="2:6" ht="33.75" customHeight="1" x14ac:dyDescent="0.3">
      <c r="B14" s="2"/>
      <c r="C14" s="15" t="s">
        <v>32</v>
      </c>
      <c r="D14" s="22">
        <v>1680</v>
      </c>
      <c r="E14" s="103">
        <f>+D14*100/D27</f>
        <v>11.09350237717908</v>
      </c>
      <c r="F14" s="42" t="s">
        <v>60</v>
      </c>
    </row>
    <row r="15" spans="2:6" ht="29.25" customHeight="1" x14ac:dyDescent="0.3">
      <c r="B15" s="2"/>
      <c r="C15" s="71" t="s">
        <v>28</v>
      </c>
      <c r="D15" s="22">
        <v>3200</v>
      </c>
      <c r="E15" s="103">
        <f>+D15*100/$D$27</f>
        <v>21.130480718436345</v>
      </c>
      <c r="F15" s="35" t="s">
        <v>122</v>
      </c>
    </row>
    <row r="16" spans="2:6" ht="27" customHeight="1" x14ac:dyDescent="0.3">
      <c r="B16" s="2"/>
      <c r="C16" s="8"/>
      <c r="D16" s="24"/>
      <c r="E16" s="103"/>
      <c r="F16" s="42"/>
    </row>
    <row r="17" spans="2:7" ht="14.25" customHeight="1" x14ac:dyDescent="0.3">
      <c r="B17" s="5" t="s">
        <v>3</v>
      </c>
      <c r="C17" s="4" t="s">
        <v>4</v>
      </c>
      <c r="D17" s="46"/>
      <c r="E17" s="103"/>
      <c r="F17" s="43"/>
    </row>
    <row r="18" spans="2:7" ht="32.25" customHeight="1" x14ac:dyDescent="0.3">
      <c r="B18" s="2"/>
      <c r="C18" s="15" t="s">
        <v>100</v>
      </c>
      <c r="D18" s="22">
        <v>248</v>
      </c>
      <c r="E18" s="103">
        <f>+D18*100/$D$27</f>
        <v>1.6376122556788166</v>
      </c>
      <c r="F18" s="42" t="s">
        <v>58</v>
      </c>
    </row>
    <row r="19" spans="2:7" ht="32.25" customHeight="1" x14ac:dyDescent="0.3">
      <c r="B19" s="2"/>
      <c r="C19" s="15" t="s">
        <v>22</v>
      </c>
      <c r="D19" s="22">
        <f>(1.5*158.8) *30</f>
        <v>7146.0000000000009</v>
      </c>
      <c r="E19" s="103">
        <f>+D19*100/$D$27</f>
        <v>47.187004754358171</v>
      </c>
      <c r="F19" s="42" t="s">
        <v>192</v>
      </c>
    </row>
    <row r="20" spans="2:7" ht="29.25" customHeight="1" x14ac:dyDescent="0.3">
      <c r="B20" s="2"/>
      <c r="C20" s="15" t="s">
        <v>14</v>
      </c>
      <c r="D20" s="22">
        <v>1020</v>
      </c>
      <c r="E20" s="103">
        <f>+D20*100/$D$27</f>
        <v>6.7353407290015852</v>
      </c>
      <c r="F20" s="42" t="s">
        <v>152</v>
      </c>
    </row>
    <row r="21" spans="2:7" ht="37.5" customHeight="1" x14ac:dyDescent="0.3">
      <c r="B21" s="2"/>
      <c r="C21" s="15" t="s">
        <v>95</v>
      </c>
      <c r="D21" s="22">
        <v>450</v>
      </c>
      <c r="E21" s="103">
        <f>+D21*100/$D$27</f>
        <v>2.9714738510301109</v>
      </c>
      <c r="F21" s="44" t="s">
        <v>26</v>
      </c>
    </row>
    <row r="22" spans="2:7" ht="30" customHeight="1" x14ac:dyDescent="0.3">
      <c r="B22" s="2"/>
      <c r="C22" s="15" t="s">
        <v>88</v>
      </c>
      <c r="D22" s="22"/>
      <c r="E22" s="103">
        <f>+D22*100/$D$27</f>
        <v>0</v>
      </c>
      <c r="F22" s="44" t="s">
        <v>11</v>
      </c>
    </row>
    <row r="23" spans="2:7" ht="25.5" customHeight="1" x14ac:dyDescent="0.3">
      <c r="B23" s="5" t="s">
        <v>5</v>
      </c>
      <c r="C23" s="4" t="s">
        <v>6</v>
      </c>
      <c r="D23" s="28"/>
      <c r="E23" s="103"/>
      <c r="F23" s="45"/>
    </row>
    <row r="24" spans="2:7" ht="57" customHeight="1" x14ac:dyDescent="0.3">
      <c r="B24" s="2"/>
      <c r="C24" s="15" t="s">
        <v>7</v>
      </c>
      <c r="D24" s="22">
        <v>1000</v>
      </c>
      <c r="E24" s="103">
        <f>+D24*100/$D$27</f>
        <v>6.603275224511358</v>
      </c>
      <c r="F24" s="44" t="s">
        <v>62</v>
      </c>
    </row>
    <row r="25" spans="2:7" x14ac:dyDescent="0.3">
      <c r="B25" s="2"/>
      <c r="C25" s="8" t="s">
        <v>123</v>
      </c>
      <c r="D25" s="47">
        <v>400</v>
      </c>
      <c r="E25" s="103">
        <f>+D25*100/$D$27</f>
        <v>2.6413100898045432</v>
      </c>
      <c r="F25" s="36" t="s">
        <v>26</v>
      </c>
    </row>
    <row r="26" spans="2:7" ht="15" thickBot="1" x14ac:dyDescent="0.35">
      <c r="B26" s="2"/>
      <c r="C26" s="8"/>
      <c r="D26" s="48"/>
      <c r="E26" s="103"/>
      <c r="F26" s="45"/>
    </row>
    <row r="27" spans="2:7" ht="16.2" thickBot="1" x14ac:dyDescent="0.35">
      <c r="B27" s="2"/>
      <c r="C27" s="6" t="s">
        <v>8</v>
      </c>
      <c r="D27" s="30">
        <f>SUM(D14:D25)</f>
        <v>15144</v>
      </c>
      <c r="E27" s="104">
        <f>+D27*100/$D$27</f>
        <v>100</v>
      </c>
      <c r="F27" s="49"/>
    </row>
    <row r="28" spans="2:7" x14ac:dyDescent="0.3">
      <c r="B28" s="2"/>
      <c r="C28" s="8"/>
      <c r="D28" s="14"/>
      <c r="E28" s="14"/>
      <c r="F28" s="9"/>
    </row>
    <row r="29" spans="2:7" ht="21.75" customHeight="1" x14ac:dyDescent="0.3">
      <c r="B29" s="2"/>
      <c r="C29" s="187" t="s">
        <v>185</v>
      </c>
      <c r="D29" s="181"/>
      <c r="E29" s="181"/>
      <c r="F29" s="182"/>
    </row>
    <row r="30" spans="2:7" ht="35.25" customHeight="1" x14ac:dyDescent="0.3">
      <c r="B30" s="2"/>
      <c r="C30" s="187" t="s">
        <v>9</v>
      </c>
      <c r="D30" s="188"/>
      <c r="E30" s="188"/>
      <c r="F30" s="189" t="s">
        <v>197</v>
      </c>
      <c r="G30" s="63"/>
    </row>
    <row r="31" spans="2:7" ht="38.25" customHeight="1" x14ac:dyDescent="0.3">
      <c r="B31" s="2"/>
      <c r="C31" s="187" t="s">
        <v>63</v>
      </c>
      <c r="D31" s="188"/>
      <c r="E31" s="188"/>
      <c r="F31" s="189" t="s">
        <v>198</v>
      </c>
      <c r="G31" s="63"/>
    </row>
    <row r="32" spans="2:7" ht="51" customHeight="1" x14ac:dyDescent="0.3">
      <c r="B32" s="2"/>
      <c r="C32" s="187" t="s">
        <v>30</v>
      </c>
      <c r="D32" s="188"/>
      <c r="E32" s="188"/>
      <c r="F32" s="189" t="s">
        <v>199</v>
      </c>
      <c r="G32" s="63"/>
    </row>
    <row r="33" spans="2:6" ht="65.25" customHeight="1" thickBot="1" x14ac:dyDescent="0.35">
      <c r="B33" s="7"/>
      <c r="C33" s="225"/>
      <c r="D33" s="225"/>
      <c r="E33" s="73"/>
      <c r="F33" s="12"/>
    </row>
    <row r="34" spans="2:6" ht="15" customHeight="1" x14ac:dyDescent="0.3"/>
    <row r="35" spans="2:6" ht="15" customHeight="1" x14ac:dyDescent="0.3"/>
  </sheetData>
  <mergeCells count="6">
    <mergeCell ref="C4:F4"/>
    <mergeCell ref="C5:F5"/>
    <mergeCell ref="C33:D33"/>
    <mergeCell ref="C6:F6"/>
    <mergeCell ref="C7:F7"/>
    <mergeCell ref="C8:F8"/>
  </mergeCells>
  <pageMargins left="0.7" right="0.7" top="0.75" bottom="0.75" header="0.3" footer="0.3"/>
  <pageSetup scale="4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H48"/>
  <sheetViews>
    <sheetView view="pageBreakPreview" topLeftCell="A19" zoomScale="106" zoomScaleNormal="100" zoomScaleSheetLayoutView="106" workbookViewId="0">
      <selection activeCell="D12" sqref="D12"/>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54.44140625" customWidth="1"/>
    <col min="7" max="7" width="5" customWidth="1"/>
  </cols>
  <sheetData>
    <row r="1" spans="2:6" ht="15" thickBot="1" x14ac:dyDescent="0.35"/>
    <row r="2" spans="2:6" ht="33" customHeight="1" x14ac:dyDescent="0.3">
      <c r="B2" s="1"/>
      <c r="C2" s="203" t="s">
        <v>15</v>
      </c>
      <c r="D2" s="203"/>
      <c r="E2" s="203"/>
      <c r="F2" s="204"/>
    </row>
    <row r="3" spans="2:6" ht="15.6" x14ac:dyDescent="0.3">
      <c r="B3" s="2"/>
      <c r="C3" s="226" t="s">
        <v>31</v>
      </c>
      <c r="D3" s="226"/>
      <c r="E3" s="226"/>
      <c r="F3" s="227"/>
    </row>
    <row r="4" spans="2:6" ht="15.6" x14ac:dyDescent="0.3">
      <c r="B4" s="2"/>
      <c r="C4" s="3"/>
      <c r="D4" s="8"/>
      <c r="E4" s="8"/>
      <c r="F4" s="9"/>
    </row>
    <row r="5" spans="2:6" x14ac:dyDescent="0.3">
      <c r="B5" s="2"/>
      <c r="C5" s="210" t="s">
        <v>197</v>
      </c>
      <c r="D5" s="210"/>
      <c r="E5" s="210"/>
      <c r="F5" s="211"/>
    </row>
    <row r="6" spans="2:6" x14ac:dyDescent="0.3">
      <c r="B6" s="2"/>
      <c r="C6" s="210" t="s">
        <v>198</v>
      </c>
      <c r="D6" s="210"/>
      <c r="E6" s="210"/>
      <c r="F6" s="211"/>
    </row>
    <row r="7" spans="2:6" x14ac:dyDescent="0.3">
      <c r="B7" s="2"/>
      <c r="C7" s="212" t="s">
        <v>199</v>
      </c>
      <c r="D7" s="212"/>
      <c r="E7" s="212"/>
      <c r="F7" s="213"/>
    </row>
    <row r="8" spans="2:6" ht="16.2" thickBot="1" x14ac:dyDescent="0.35">
      <c r="B8" s="2"/>
      <c r="C8" s="3"/>
      <c r="D8" s="8"/>
      <c r="E8" s="8"/>
      <c r="F8" s="9"/>
    </row>
    <row r="9" spans="2:6" ht="15.6" x14ac:dyDescent="0.3">
      <c r="B9" s="2"/>
      <c r="C9" s="4"/>
      <c r="D9" s="16" t="s">
        <v>120</v>
      </c>
      <c r="E9" s="17"/>
      <c r="F9" s="38" t="s">
        <v>10</v>
      </c>
    </row>
    <row r="10" spans="2:6" ht="16.2" thickBot="1" x14ac:dyDescent="0.35">
      <c r="B10" s="2"/>
      <c r="C10" s="8"/>
      <c r="D10" s="18" t="s">
        <v>0</v>
      </c>
      <c r="E10" s="106" t="s">
        <v>16</v>
      </c>
      <c r="F10" s="32"/>
    </row>
    <row r="11" spans="2:6" x14ac:dyDescent="0.3">
      <c r="B11" s="5" t="s">
        <v>1</v>
      </c>
      <c r="C11" s="4" t="s">
        <v>2</v>
      </c>
      <c r="D11" s="20"/>
      <c r="E11" s="21"/>
      <c r="F11" s="33"/>
    </row>
    <row r="12" spans="2:6" ht="33.75" customHeight="1" x14ac:dyDescent="0.3">
      <c r="B12" s="2"/>
      <c r="C12" s="15" t="s">
        <v>32</v>
      </c>
      <c r="D12" s="22">
        <f>1388.62+420</f>
        <v>1808.62</v>
      </c>
      <c r="E12" s="90">
        <f>+D12*100/D29</f>
        <v>3.5932727271788081</v>
      </c>
      <c r="F12" s="34" t="s">
        <v>33</v>
      </c>
    </row>
    <row r="13" spans="2:6" ht="29.25" customHeight="1" x14ac:dyDescent="0.3">
      <c r="B13" s="2"/>
      <c r="C13" s="15" t="s">
        <v>34</v>
      </c>
      <c r="D13" s="22">
        <f>2800*4</f>
        <v>11200</v>
      </c>
      <c r="E13" s="90">
        <f>+D13*100/$D$29</f>
        <v>22.251581064238287</v>
      </c>
      <c r="F13" s="39" t="s">
        <v>183</v>
      </c>
    </row>
    <row r="14" spans="2:6" ht="29.25" customHeight="1" x14ac:dyDescent="0.3">
      <c r="B14" s="2"/>
      <c r="C14" s="15" t="s">
        <v>35</v>
      </c>
      <c r="D14" s="22">
        <v>330</v>
      </c>
      <c r="E14" s="90">
        <f>+D14*100/$D$29</f>
        <v>0.65562694207130667</v>
      </c>
      <c r="F14" s="34" t="s">
        <v>107</v>
      </c>
    </row>
    <row r="15" spans="2:6" ht="31.5" customHeight="1" x14ac:dyDescent="0.3">
      <c r="B15" s="2"/>
      <c r="C15" s="15" t="s">
        <v>37</v>
      </c>
      <c r="D15" s="22">
        <v>1742.5</v>
      </c>
      <c r="E15" s="90">
        <f>+D15*100/$D$29</f>
        <v>3.4619089289674299</v>
      </c>
      <c r="F15" s="35" t="s">
        <v>38</v>
      </c>
    </row>
    <row r="16" spans="2:6" x14ac:dyDescent="0.3">
      <c r="B16" s="2"/>
      <c r="C16" s="8"/>
      <c r="D16" s="24"/>
      <c r="E16" s="90"/>
      <c r="F16" s="36"/>
    </row>
    <row r="17" spans="2:8" x14ac:dyDescent="0.3">
      <c r="B17" s="5" t="s">
        <v>3</v>
      </c>
      <c r="C17" s="4" t="s">
        <v>4</v>
      </c>
      <c r="D17" s="25"/>
      <c r="E17" s="90"/>
      <c r="F17" s="36"/>
    </row>
    <row r="18" spans="2:8" ht="32.25" customHeight="1" x14ac:dyDescent="0.3">
      <c r="B18" s="2"/>
      <c r="C18" s="15" t="s">
        <v>39</v>
      </c>
      <c r="D18" s="22">
        <v>3400</v>
      </c>
      <c r="E18" s="90">
        <f t="shared" ref="E18:E25" si="0">+D18*100/$D$29</f>
        <v>6.7549442516437663</v>
      </c>
      <c r="F18" s="35" t="s">
        <v>188</v>
      </c>
    </row>
    <row r="19" spans="2:8" ht="32.25" customHeight="1" x14ac:dyDescent="0.3">
      <c r="B19" s="2"/>
      <c r="C19" s="89" t="s">
        <v>22</v>
      </c>
      <c r="D19" s="22">
        <f>(158.8*36)*3.99</f>
        <v>22810.032000000003</v>
      </c>
      <c r="E19" s="90">
        <f t="shared" si="0"/>
        <v>45.317792511238345</v>
      </c>
      <c r="F19" s="34" t="s">
        <v>189</v>
      </c>
    </row>
    <row r="20" spans="2:8" ht="29.25" customHeight="1" x14ac:dyDescent="0.3">
      <c r="B20" s="2"/>
      <c r="C20" s="15" t="s">
        <v>14</v>
      </c>
      <c r="D20" s="22">
        <v>1800</v>
      </c>
      <c r="E20" s="90">
        <f t="shared" si="0"/>
        <v>3.5761469567525821</v>
      </c>
      <c r="F20" s="34" t="s">
        <v>40</v>
      </c>
    </row>
    <row r="21" spans="2:8" ht="37.5" customHeight="1" x14ac:dyDescent="0.3">
      <c r="B21" s="2"/>
      <c r="C21" s="15" t="s">
        <v>41</v>
      </c>
      <c r="D21" s="22">
        <v>1490</v>
      </c>
      <c r="E21" s="90">
        <f t="shared" si="0"/>
        <v>2.9602549808674152</v>
      </c>
      <c r="F21" s="39" t="s">
        <v>42</v>
      </c>
    </row>
    <row r="22" spans="2:8" ht="30" customHeight="1" x14ac:dyDescent="0.3">
      <c r="B22" s="2"/>
      <c r="C22" s="15" t="s">
        <v>13</v>
      </c>
      <c r="D22" s="22">
        <v>1140.3499999999999</v>
      </c>
      <c r="E22" s="90">
        <f t="shared" si="0"/>
        <v>2.2655884345182256</v>
      </c>
      <c r="F22" s="34" t="s">
        <v>43</v>
      </c>
    </row>
    <row r="23" spans="2:8" ht="25.5" customHeight="1" x14ac:dyDescent="0.3">
      <c r="B23" s="2"/>
      <c r="C23" s="15" t="s">
        <v>12</v>
      </c>
      <c r="D23" s="26">
        <v>28</v>
      </c>
      <c r="E23" s="90">
        <f t="shared" si="0"/>
        <v>5.5628952660595719E-2</v>
      </c>
      <c r="F23" s="34" t="s">
        <v>44</v>
      </c>
      <c r="H23" s="81"/>
    </row>
    <row r="24" spans="2:8" ht="24" customHeight="1" x14ac:dyDescent="0.3">
      <c r="B24" s="2"/>
      <c r="C24" s="8" t="s">
        <v>45</v>
      </c>
      <c r="D24" s="27">
        <v>120</v>
      </c>
      <c r="E24" s="90">
        <f t="shared" si="0"/>
        <v>0.2384097971168388</v>
      </c>
      <c r="F24" s="34" t="s">
        <v>46</v>
      </c>
    </row>
    <row r="25" spans="2:8" ht="24" customHeight="1" x14ac:dyDescent="0.3">
      <c r="B25" s="2"/>
      <c r="C25" s="8" t="s">
        <v>67</v>
      </c>
      <c r="D25" s="27">
        <v>3264</v>
      </c>
      <c r="E25" s="90">
        <f t="shared" si="0"/>
        <v>6.4847464815780151</v>
      </c>
      <c r="F25" s="34" t="s">
        <v>111</v>
      </c>
    </row>
    <row r="26" spans="2:8" ht="25.5" customHeight="1" x14ac:dyDescent="0.3">
      <c r="B26" s="5" t="s">
        <v>5</v>
      </c>
      <c r="C26" s="4" t="s">
        <v>6</v>
      </c>
      <c r="D26" s="28"/>
      <c r="E26" s="90"/>
      <c r="F26" s="37"/>
    </row>
    <row r="27" spans="2:8" ht="57" customHeight="1" x14ac:dyDescent="0.3">
      <c r="B27" s="2"/>
      <c r="C27" s="15" t="s">
        <v>7</v>
      </c>
      <c r="D27" s="22">
        <v>1200</v>
      </c>
      <c r="E27" s="90">
        <f>+D27*100/$D$29</f>
        <v>2.3840979711683881</v>
      </c>
      <c r="F27" s="35" t="s">
        <v>65</v>
      </c>
    </row>
    <row r="28" spans="2:8" ht="15" thickBot="1" x14ac:dyDescent="0.35">
      <c r="B28" s="2"/>
      <c r="C28" s="8"/>
      <c r="D28" s="29"/>
      <c r="E28" s="90"/>
      <c r="F28" s="37"/>
    </row>
    <row r="29" spans="2:8" ht="16.2" thickBot="1" x14ac:dyDescent="0.35">
      <c r="B29" s="7"/>
      <c r="C29" s="6" t="s">
        <v>8</v>
      </c>
      <c r="D29" s="30">
        <f>SUM(D12:D28)</f>
        <v>50333.502</v>
      </c>
      <c r="E29" s="91">
        <f>+D29*100/$D$29</f>
        <v>100</v>
      </c>
      <c r="F29" s="49"/>
    </row>
    <row r="30" spans="2:8" x14ac:dyDescent="0.3">
      <c r="B30" s="2"/>
      <c r="C30" s="8"/>
      <c r="D30" s="14"/>
      <c r="E30" s="14"/>
      <c r="F30" s="9"/>
    </row>
    <row r="31" spans="2:8" ht="21.75" customHeight="1" x14ac:dyDescent="0.3">
      <c r="B31" s="2"/>
      <c r="C31" s="166" t="s">
        <v>185</v>
      </c>
      <c r="D31" s="173"/>
      <c r="E31" s="173"/>
      <c r="F31" s="172"/>
    </row>
    <row r="32" spans="2:8" ht="35.25" customHeight="1" x14ac:dyDescent="0.3">
      <c r="B32" s="2"/>
      <c r="C32" s="166" t="s">
        <v>9</v>
      </c>
      <c r="D32" s="167"/>
      <c r="E32" s="167"/>
      <c r="F32" s="186"/>
      <c r="G32" s="63"/>
    </row>
    <row r="33" spans="2:7" ht="26.25" customHeight="1" x14ac:dyDescent="0.3">
      <c r="B33" s="2"/>
      <c r="C33" s="166" t="s">
        <v>184</v>
      </c>
      <c r="D33" s="167"/>
      <c r="E33" s="167"/>
      <c r="F33" s="186"/>
      <c r="G33" s="63"/>
    </row>
    <row r="34" spans="2:7" ht="53.25" customHeight="1" x14ac:dyDescent="0.3">
      <c r="B34" s="2"/>
      <c r="C34" s="228" t="s">
        <v>186</v>
      </c>
      <c r="D34" s="229"/>
      <c r="E34" s="229"/>
      <c r="F34" s="186"/>
      <c r="G34" s="63"/>
    </row>
    <row r="35" spans="2:7" ht="33.75" customHeight="1" x14ac:dyDescent="0.3">
      <c r="B35" s="2"/>
      <c r="C35" s="230" t="s">
        <v>187</v>
      </c>
      <c r="D35" s="230"/>
      <c r="E35" s="230"/>
      <c r="F35" s="11"/>
    </row>
    <row r="36" spans="2:7" ht="65.25" customHeight="1" thickBot="1" x14ac:dyDescent="0.35">
      <c r="B36" s="7"/>
      <c r="C36" s="202" t="s">
        <v>201</v>
      </c>
      <c r="D36" s="202"/>
      <c r="E36" s="202"/>
      <c r="F36" s="12"/>
    </row>
    <row r="37" spans="2:7" ht="15" customHeight="1" x14ac:dyDescent="0.3"/>
    <row r="38" spans="2:7" ht="15" x14ac:dyDescent="0.3">
      <c r="C38" s="77"/>
    </row>
    <row r="39" spans="2:7" ht="15" x14ac:dyDescent="0.3">
      <c r="C39" s="77"/>
    </row>
    <row r="40" spans="2:7" ht="15" x14ac:dyDescent="0.3">
      <c r="C40" s="77"/>
    </row>
    <row r="41" spans="2:7" ht="15" x14ac:dyDescent="0.3">
      <c r="C41" s="77"/>
    </row>
    <row r="42" spans="2:7" ht="15" x14ac:dyDescent="0.3">
      <c r="C42" s="77"/>
    </row>
    <row r="43" spans="2:7" ht="15" x14ac:dyDescent="0.3">
      <c r="C43" s="77"/>
    </row>
    <row r="44" spans="2:7" ht="15" x14ac:dyDescent="0.3">
      <c r="C44" s="77"/>
    </row>
    <row r="45" spans="2:7" ht="15" x14ac:dyDescent="0.3">
      <c r="C45" s="77"/>
    </row>
    <row r="46" spans="2:7" ht="15.6" x14ac:dyDescent="0.3">
      <c r="C46" s="78"/>
    </row>
    <row r="47" spans="2:7" ht="15.6" x14ac:dyDescent="0.3">
      <c r="C47" s="78"/>
    </row>
    <row r="48" spans="2:7" x14ac:dyDescent="0.3">
      <c r="C48" s="79"/>
    </row>
  </sheetData>
  <mergeCells count="8">
    <mergeCell ref="C2:F2"/>
    <mergeCell ref="C3:F3"/>
    <mergeCell ref="C34:E34"/>
    <mergeCell ref="C35:E35"/>
    <mergeCell ref="C36:E36"/>
    <mergeCell ref="C5:F5"/>
    <mergeCell ref="C6:F6"/>
    <mergeCell ref="C7:F7"/>
  </mergeCells>
  <pageMargins left="0.70866141732283472" right="0.70866141732283472" top="0.74803149606299213" bottom="0.74803149606299213" header="0.31496062992125984" footer="0.31496062992125984"/>
  <pageSetup paperSize="9"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3:H50"/>
  <sheetViews>
    <sheetView topLeftCell="A20" zoomScale="90" zoomScaleNormal="90" workbookViewId="0">
      <selection activeCell="C13" sqref="C13:C29"/>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54.44140625" customWidth="1"/>
    <col min="7" max="7" width="5" customWidth="1"/>
  </cols>
  <sheetData>
    <row r="3" spans="2:6" ht="15" thickBot="1" x14ac:dyDescent="0.35"/>
    <row r="4" spans="2:6" ht="33" customHeight="1" x14ac:dyDescent="0.3">
      <c r="B4" s="1"/>
      <c r="C4" s="203" t="s">
        <v>15</v>
      </c>
      <c r="D4" s="203"/>
      <c r="E4" s="203"/>
      <c r="F4" s="204"/>
    </row>
    <row r="5" spans="2:6" ht="15.6" x14ac:dyDescent="0.3">
      <c r="B5" s="2"/>
      <c r="C5" s="226" t="s">
        <v>31</v>
      </c>
      <c r="D5" s="226"/>
      <c r="E5" s="226"/>
      <c r="F5" s="227"/>
    </row>
    <row r="6" spans="2:6" x14ac:dyDescent="0.3">
      <c r="B6" s="2"/>
      <c r="C6" s="210" t="s">
        <v>197</v>
      </c>
      <c r="D6" s="210"/>
      <c r="E6" s="210"/>
      <c r="F6" s="211"/>
    </row>
    <row r="7" spans="2:6" x14ac:dyDescent="0.3">
      <c r="B7" s="2"/>
      <c r="C7" s="210" t="s">
        <v>198</v>
      </c>
      <c r="D7" s="210"/>
      <c r="E7" s="210"/>
      <c r="F7" s="211"/>
    </row>
    <row r="8" spans="2:6" x14ac:dyDescent="0.3">
      <c r="B8" s="2"/>
      <c r="C8" s="212" t="s">
        <v>199</v>
      </c>
      <c r="D8" s="212"/>
      <c r="E8" s="212"/>
      <c r="F8" s="213"/>
    </row>
    <row r="9" spans="2:6" ht="15.6" x14ac:dyDescent="0.3">
      <c r="B9" s="2"/>
      <c r="C9" s="3"/>
      <c r="D9" s="8"/>
      <c r="E9" s="8"/>
      <c r="F9" s="9"/>
    </row>
    <row r="10" spans="2:6" ht="16.2" thickBot="1" x14ac:dyDescent="0.35">
      <c r="B10" s="2"/>
      <c r="C10" s="3"/>
      <c r="D10" s="8"/>
      <c r="E10" s="8"/>
      <c r="F10" s="9"/>
    </row>
    <row r="11" spans="2:6" ht="15.6" x14ac:dyDescent="0.3">
      <c r="B11" s="2"/>
      <c r="C11" s="4"/>
      <c r="D11" s="16" t="s">
        <v>120</v>
      </c>
      <c r="E11" s="17"/>
      <c r="F11" s="38" t="s">
        <v>10</v>
      </c>
    </row>
    <row r="12" spans="2:6" ht="16.2" thickBot="1" x14ac:dyDescent="0.35">
      <c r="B12" s="2"/>
      <c r="C12" s="8"/>
      <c r="D12" s="18" t="s">
        <v>0</v>
      </c>
      <c r="E12" s="106" t="s">
        <v>16</v>
      </c>
      <c r="F12" s="32"/>
    </row>
    <row r="13" spans="2:6" x14ac:dyDescent="0.3">
      <c r="B13" s="5" t="s">
        <v>1</v>
      </c>
      <c r="C13" s="4" t="s">
        <v>2</v>
      </c>
      <c r="D13" s="20"/>
      <c r="E13" s="21"/>
      <c r="F13" s="33"/>
    </row>
    <row r="14" spans="2:6" ht="33.75" customHeight="1" x14ac:dyDescent="0.3">
      <c r="B14" s="2"/>
      <c r="C14" s="15" t="s">
        <v>32</v>
      </c>
      <c r="D14" s="22">
        <f>1151+420</f>
        <v>1571</v>
      </c>
      <c r="E14" s="90">
        <f>+D14*100/D31</f>
        <v>3.4260167920619344</v>
      </c>
      <c r="F14" s="34" t="s">
        <v>33</v>
      </c>
    </row>
    <row r="15" spans="2:6" ht="29.25" customHeight="1" x14ac:dyDescent="0.3">
      <c r="B15" s="2"/>
      <c r="C15" s="15" t="s">
        <v>34</v>
      </c>
      <c r="D15" s="22">
        <v>11200</v>
      </c>
      <c r="E15" s="90">
        <f>+D15*100/$D$31</f>
        <v>24.424817359066623</v>
      </c>
      <c r="F15" s="39" t="s">
        <v>183</v>
      </c>
    </row>
    <row r="16" spans="2:6" ht="29.25" customHeight="1" x14ac:dyDescent="0.3">
      <c r="B16" s="2"/>
      <c r="C16" s="15" t="s">
        <v>35</v>
      </c>
      <c r="D16" s="22">
        <v>330</v>
      </c>
      <c r="E16" s="90">
        <f>+D16*100/$D$31</f>
        <v>0.71965979718678441</v>
      </c>
      <c r="F16" s="34" t="s">
        <v>107</v>
      </c>
    </row>
    <row r="17" spans="2:8" ht="31.5" customHeight="1" x14ac:dyDescent="0.3">
      <c r="B17" s="2"/>
      <c r="C17" s="15" t="s">
        <v>37</v>
      </c>
      <c r="D17" s="22">
        <v>1107</v>
      </c>
      <c r="E17" s="90">
        <f>+D17*100/$D$31</f>
        <v>2.4141315014720313</v>
      </c>
      <c r="F17" s="35" t="s">
        <v>38</v>
      </c>
    </row>
    <row r="18" spans="2:8" x14ac:dyDescent="0.3">
      <c r="B18" s="2"/>
      <c r="C18" s="8"/>
      <c r="D18" s="24"/>
      <c r="E18" s="90"/>
      <c r="F18" s="36"/>
    </row>
    <row r="19" spans="2:8" x14ac:dyDescent="0.3">
      <c r="B19" s="5" t="s">
        <v>3</v>
      </c>
      <c r="C19" s="4" t="s">
        <v>4</v>
      </c>
      <c r="D19" s="25"/>
      <c r="E19" s="90"/>
      <c r="F19" s="36"/>
    </row>
    <row r="20" spans="2:8" ht="32.25" customHeight="1" x14ac:dyDescent="0.3">
      <c r="B20" s="2"/>
      <c r="C20" s="15" t="s">
        <v>39</v>
      </c>
      <c r="D20" s="22">
        <v>3400</v>
      </c>
      <c r="E20" s="90">
        <f t="shared" ref="E20:E27" si="0">+D20*100/$D$31</f>
        <v>7.4146766982880816</v>
      </c>
      <c r="F20" s="35" t="s">
        <v>188</v>
      </c>
    </row>
    <row r="21" spans="2:8" ht="32.25" customHeight="1" x14ac:dyDescent="0.3">
      <c r="B21" s="2"/>
      <c r="C21" s="89" t="s">
        <v>22</v>
      </c>
      <c r="D21" s="22">
        <v>20000</v>
      </c>
      <c r="E21" s="90">
        <f t="shared" si="0"/>
        <v>43.615745284047541</v>
      </c>
      <c r="F21" s="34" t="s">
        <v>166</v>
      </c>
    </row>
    <row r="22" spans="2:8" ht="29.25" customHeight="1" x14ac:dyDescent="0.3">
      <c r="B22" s="2"/>
      <c r="C22" s="15" t="s">
        <v>14</v>
      </c>
      <c r="D22" s="22">
        <v>1800</v>
      </c>
      <c r="E22" s="90">
        <f t="shared" si="0"/>
        <v>3.9254170755642788</v>
      </c>
      <c r="F22" s="34" t="s">
        <v>40</v>
      </c>
    </row>
    <row r="23" spans="2:8" ht="37.5" customHeight="1" x14ac:dyDescent="0.3">
      <c r="B23" s="2"/>
      <c r="C23" s="15" t="s">
        <v>41</v>
      </c>
      <c r="D23" s="22">
        <v>1490</v>
      </c>
      <c r="E23" s="90">
        <f t="shared" si="0"/>
        <v>3.2493730236615419</v>
      </c>
      <c r="F23" s="39" t="s">
        <v>42</v>
      </c>
    </row>
    <row r="24" spans="2:8" ht="30" customHeight="1" x14ac:dyDescent="0.3">
      <c r="B24" s="2"/>
      <c r="C24" s="15" t="s">
        <v>13</v>
      </c>
      <c r="D24" s="22">
        <v>917</v>
      </c>
      <c r="E24" s="90">
        <f t="shared" si="0"/>
        <v>1.9997819212735797</v>
      </c>
      <c r="F24" s="34" t="s">
        <v>43</v>
      </c>
    </row>
    <row r="25" spans="2:8" ht="25.5" customHeight="1" x14ac:dyDescent="0.3">
      <c r="B25" s="2"/>
      <c r="C25" s="15" t="s">
        <v>12</v>
      </c>
      <c r="D25" s="26">
        <v>28</v>
      </c>
      <c r="E25" s="90">
        <f t="shared" si="0"/>
        <v>6.1062043397666556E-2</v>
      </c>
      <c r="F25" s="34" t="s">
        <v>44</v>
      </c>
      <c r="H25" s="81"/>
    </row>
    <row r="26" spans="2:8" ht="24" customHeight="1" x14ac:dyDescent="0.3">
      <c r="B26" s="2"/>
      <c r="C26" s="8" t="s">
        <v>45</v>
      </c>
      <c r="D26" s="27">
        <v>120</v>
      </c>
      <c r="E26" s="90">
        <f t="shared" si="0"/>
        <v>0.26169447170428523</v>
      </c>
      <c r="F26" s="34" t="s">
        <v>46</v>
      </c>
    </row>
    <row r="27" spans="2:8" ht="24" customHeight="1" x14ac:dyDescent="0.3">
      <c r="B27" s="2"/>
      <c r="C27" s="8" t="s">
        <v>67</v>
      </c>
      <c r="D27" s="27">
        <v>2692</v>
      </c>
      <c r="E27" s="90">
        <f t="shared" si="0"/>
        <v>5.870679315232799</v>
      </c>
      <c r="F27" s="34" t="s">
        <v>111</v>
      </c>
    </row>
    <row r="28" spans="2:8" ht="25.5" customHeight="1" x14ac:dyDescent="0.3">
      <c r="B28" s="5" t="s">
        <v>5</v>
      </c>
      <c r="C28" s="4" t="s">
        <v>6</v>
      </c>
      <c r="D28" s="28"/>
      <c r="E28" s="90"/>
      <c r="F28" s="37"/>
    </row>
    <row r="29" spans="2:8" ht="57" customHeight="1" x14ac:dyDescent="0.3">
      <c r="B29" s="2"/>
      <c r="C29" s="15" t="s">
        <v>7</v>
      </c>
      <c r="D29" s="22">
        <v>1200</v>
      </c>
      <c r="E29" s="90">
        <f>+D29*100/$D$31</f>
        <v>2.6169447170428524</v>
      </c>
      <c r="F29" s="35" t="s">
        <v>65</v>
      </c>
    </row>
    <row r="30" spans="2:8" ht="15" thickBot="1" x14ac:dyDescent="0.35">
      <c r="B30" s="2"/>
      <c r="C30" s="8"/>
      <c r="D30" s="29"/>
      <c r="E30" s="90"/>
      <c r="F30" s="37"/>
    </row>
    <row r="31" spans="2:8" ht="16.2" thickBot="1" x14ac:dyDescent="0.35">
      <c r="B31" s="2"/>
      <c r="C31" s="6" t="s">
        <v>8</v>
      </c>
      <c r="D31" s="30">
        <f>SUM(D14:D30)</f>
        <v>45855</v>
      </c>
      <c r="E31" s="91">
        <f>+D31*100/$D$31</f>
        <v>100</v>
      </c>
      <c r="F31" s="49"/>
    </row>
    <row r="32" spans="2:8" x14ac:dyDescent="0.3">
      <c r="B32" s="2"/>
      <c r="C32" s="8"/>
      <c r="D32" s="14"/>
      <c r="E32" s="14"/>
      <c r="F32" s="9"/>
    </row>
    <row r="33" spans="2:7" ht="21.75" customHeight="1" x14ac:dyDescent="0.3">
      <c r="B33" s="2"/>
      <c r="C33" s="175" t="s">
        <v>185</v>
      </c>
      <c r="D33" s="183"/>
      <c r="E33" s="183"/>
      <c r="F33" s="184"/>
    </row>
    <row r="34" spans="2:7" ht="35.25" customHeight="1" x14ac:dyDescent="0.3">
      <c r="B34" s="2"/>
      <c r="C34" s="175" t="s">
        <v>9</v>
      </c>
      <c r="D34" s="177"/>
      <c r="E34" s="177"/>
      <c r="F34" s="185"/>
      <c r="G34" s="64"/>
    </row>
    <row r="35" spans="2:7" ht="26.25" customHeight="1" x14ac:dyDescent="0.3">
      <c r="B35" s="2"/>
      <c r="C35" s="175" t="s">
        <v>184</v>
      </c>
      <c r="D35" s="177"/>
      <c r="E35" s="177"/>
      <c r="F35" s="185"/>
      <c r="G35" s="64"/>
    </row>
    <row r="36" spans="2:7" ht="53.25" customHeight="1" x14ac:dyDescent="0.3">
      <c r="B36" s="2"/>
      <c r="C36" s="207" t="s">
        <v>186</v>
      </c>
      <c r="D36" s="208"/>
      <c r="E36" s="208"/>
      <c r="F36" s="185"/>
      <c r="G36" s="64"/>
    </row>
    <row r="37" spans="2:7" ht="33.75" customHeight="1" x14ac:dyDescent="0.3">
      <c r="B37" s="2"/>
      <c r="C37" s="209" t="s">
        <v>187</v>
      </c>
      <c r="D37" s="209"/>
      <c r="E37" s="209"/>
      <c r="F37" s="174"/>
    </row>
    <row r="38" spans="2:7" ht="65.25" customHeight="1" thickBot="1" x14ac:dyDescent="0.35">
      <c r="B38" s="7"/>
      <c r="C38" s="202"/>
      <c r="D38" s="202"/>
      <c r="E38" s="202"/>
      <c r="F38" s="12"/>
    </row>
    <row r="39" spans="2:7" ht="15" customHeight="1" x14ac:dyDescent="0.3"/>
    <row r="40" spans="2:7" ht="15" x14ac:dyDescent="0.3">
      <c r="C40" s="77"/>
    </row>
    <row r="41" spans="2:7" ht="15" x14ac:dyDescent="0.3">
      <c r="C41" s="77"/>
    </row>
    <row r="42" spans="2:7" ht="15" x14ac:dyDescent="0.3">
      <c r="C42" s="77"/>
    </row>
    <row r="43" spans="2:7" ht="15" x14ac:dyDescent="0.3">
      <c r="C43" s="77"/>
    </row>
    <row r="44" spans="2:7" ht="15" x14ac:dyDescent="0.3">
      <c r="C44" s="77"/>
    </row>
    <row r="45" spans="2:7" ht="15" x14ac:dyDescent="0.3">
      <c r="C45" s="77"/>
    </row>
    <row r="46" spans="2:7" ht="15" x14ac:dyDescent="0.3">
      <c r="C46" s="77"/>
    </row>
    <row r="47" spans="2:7" ht="15" x14ac:dyDescent="0.3">
      <c r="C47" s="77"/>
    </row>
    <row r="48" spans="2:7" ht="15.6" x14ac:dyDescent="0.3">
      <c r="C48" s="78"/>
    </row>
    <row r="49" spans="3:3" ht="15.6" x14ac:dyDescent="0.3">
      <c r="C49" s="78"/>
    </row>
    <row r="50" spans="3:3" x14ac:dyDescent="0.3">
      <c r="C50" s="79"/>
    </row>
  </sheetData>
  <mergeCells count="8">
    <mergeCell ref="C4:F4"/>
    <mergeCell ref="C5:F5"/>
    <mergeCell ref="C37:E37"/>
    <mergeCell ref="C38:E38"/>
    <mergeCell ref="C36:E36"/>
    <mergeCell ref="C6:F6"/>
    <mergeCell ref="C7:F7"/>
    <mergeCell ref="C8:F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3:H42"/>
  <sheetViews>
    <sheetView view="pageBreakPreview" topLeftCell="A34" zoomScaleNormal="100" zoomScaleSheetLayoutView="100" workbookViewId="0">
      <selection activeCell="J40" sqref="J40"/>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67.88671875" customWidth="1"/>
    <col min="7" max="7" width="5" customWidth="1"/>
  </cols>
  <sheetData>
    <row r="3" spans="2:6" ht="15" thickBot="1" x14ac:dyDescent="0.35"/>
    <row r="4" spans="2:6" ht="33" customHeight="1" x14ac:dyDescent="0.3">
      <c r="B4" s="1"/>
      <c r="C4" s="203" t="s">
        <v>15</v>
      </c>
      <c r="D4" s="203"/>
      <c r="E4" s="203"/>
      <c r="F4" s="204"/>
    </row>
    <row r="5" spans="2:6" ht="15.6" x14ac:dyDescent="0.3">
      <c r="B5" s="2"/>
      <c r="C5" s="226" t="s">
        <v>167</v>
      </c>
      <c r="D5" s="226"/>
      <c r="E5" s="226"/>
      <c r="F5" s="227"/>
    </row>
    <row r="6" spans="2:6" ht="15.6" x14ac:dyDescent="0.3">
      <c r="B6" s="2"/>
      <c r="C6" s="3"/>
      <c r="D6" s="8"/>
      <c r="E6" s="8"/>
      <c r="F6" s="9"/>
    </row>
    <row r="7" spans="2:6" x14ac:dyDescent="0.3">
      <c r="B7" s="2"/>
      <c r="C7" s="210" t="s">
        <v>197</v>
      </c>
      <c r="D7" s="210"/>
      <c r="E7" s="210"/>
      <c r="F7" s="211"/>
    </row>
    <row r="8" spans="2:6" x14ac:dyDescent="0.3">
      <c r="B8" s="2"/>
      <c r="C8" s="210" t="s">
        <v>198</v>
      </c>
      <c r="D8" s="210"/>
      <c r="E8" s="210"/>
      <c r="F8" s="211"/>
    </row>
    <row r="9" spans="2:6" x14ac:dyDescent="0.3">
      <c r="B9" s="2"/>
      <c r="C9" s="212" t="s">
        <v>199</v>
      </c>
      <c r="D9" s="212"/>
      <c r="E9" s="212"/>
      <c r="F9" s="213"/>
    </row>
    <row r="10" spans="2:6" ht="16.2" thickBot="1" x14ac:dyDescent="0.35">
      <c r="B10" s="2"/>
      <c r="C10" s="3"/>
      <c r="D10" s="8"/>
      <c r="E10" s="8"/>
      <c r="F10" s="9"/>
    </row>
    <row r="11" spans="2:6" ht="15.6" x14ac:dyDescent="0.3">
      <c r="B11" s="2"/>
      <c r="C11" s="4"/>
      <c r="D11" s="16" t="s">
        <v>120</v>
      </c>
      <c r="E11" s="17"/>
      <c r="F11" s="38" t="s">
        <v>10</v>
      </c>
    </row>
    <row r="12" spans="2:6" ht="16.2" thickBot="1" x14ac:dyDescent="0.35">
      <c r="B12" s="2"/>
      <c r="C12" s="8"/>
      <c r="D12" s="18" t="s">
        <v>0</v>
      </c>
      <c r="E12" s="19" t="s">
        <v>16</v>
      </c>
      <c r="F12" s="32"/>
    </row>
    <row r="13" spans="2:6" x14ac:dyDescent="0.3">
      <c r="B13" s="5" t="s">
        <v>1</v>
      </c>
      <c r="C13" s="4" t="s">
        <v>2</v>
      </c>
      <c r="D13" s="20"/>
      <c r="E13" s="21"/>
      <c r="F13" s="33"/>
    </row>
    <row r="14" spans="2:6" ht="33.75" customHeight="1" x14ac:dyDescent="0.3">
      <c r="B14" s="2"/>
      <c r="C14" s="15" t="s">
        <v>32</v>
      </c>
      <c r="D14" s="22">
        <f>1571+420</f>
        <v>1991</v>
      </c>
      <c r="E14" s="103">
        <f>+D14*100/D32</f>
        <v>3.9854389555659786</v>
      </c>
      <c r="F14" s="34" t="s">
        <v>33</v>
      </c>
    </row>
    <row r="15" spans="2:6" ht="29.25" customHeight="1" x14ac:dyDescent="0.3">
      <c r="B15" s="2"/>
      <c r="C15" s="15" t="s">
        <v>34</v>
      </c>
      <c r="D15" s="22">
        <f>2800*3</f>
        <v>8400</v>
      </c>
      <c r="E15" s="103">
        <f>+D15*100/$D$32</f>
        <v>16.814508903442604</v>
      </c>
      <c r="F15" s="39" t="s">
        <v>181</v>
      </c>
    </row>
    <row r="16" spans="2:6" ht="29.25" customHeight="1" x14ac:dyDescent="0.3">
      <c r="B16" s="2"/>
      <c r="C16" s="15" t="s">
        <v>35</v>
      </c>
      <c r="D16" s="22">
        <v>330</v>
      </c>
      <c r="E16" s="103">
        <f>+D16*100/$D$32</f>
        <v>0.66056999263524507</v>
      </c>
      <c r="F16" s="34" t="s">
        <v>36</v>
      </c>
    </row>
    <row r="17" spans="2:8" ht="31.5" customHeight="1" x14ac:dyDescent="0.3">
      <c r="B17" s="2"/>
      <c r="C17" s="15" t="s">
        <v>37</v>
      </c>
      <c r="D17" s="22">
        <v>1602</v>
      </c>
      <c r="E17" s="103">
        <f>+D17*100/$D$32</f>
        <v>3.2067670551565537</v>
      </c>
      <c r="F17" s="35" t="s">
        <v>38</v>
      </c>
    </row>
    <row r="18" spans="2:8" x14ac:dyDescent="0.3">
      <c r="B18" s="2"/>
      <c r="C18" s="8" t="s">
        <v>57</v>
      </c>
      <c r="D18" s="24">
        <v>1000</v>
      </c>
      <c r="E18" s="103">
        <f>+D18*100/$D$32</f>
        <v>2.0017272504098336</v>
      </c>
      <c r="F18" s="36"/>
    </row>
    <row r="19" spans="2:8" x14ac:dyDescent="0.3">
      <c r="B19" s="2"/>
      <c r="C19" s="8"/>
      <c r="D19" s="24"/>
      <c r="E19" s="103"/>
      <c r="F19" s="36"/>
    </row>
    <row r="20" spans="2:8" x14ac:dyDescent="0.3">
      <c r="B20" s="5" t="s">
        <v>3</v>
      </c>
      <c r="C20" s="4" t="s">
        <v>4</v>
      </c>
      <c r="D20" s="25"/>
      <c r="E20" s="103"/>
      <c r="F20" s="36"/>
    </row>
    <row r="21" spans="2:8" ht="62.25" customHeight="1" x14ac:dyDescent="0.3">
      <c r="B21" s="2"/>
      <c r="C21" s="15" t="s">
        <v>39</v>
      </c>
      <c r="D21" s="22">
        <v>2500</v>
      </c>
      <c r="E21" s="103">
        <f t="shared" ref="E21:E28" si="0">+D21*100/$D$32</f>
        <v>5.0043181260245841</v>
      </c>
      <c r="F21" s="35" t="s">
        <v>188</v>
      </c>
      <c r="G21" s="168"/>
      <c r="H21" s="168"/>
    </row>
    <row r="22" spans="2:8" ht="29.25" customHeight="1" x14ac:dyDescent="0.3">
      <c r="B22" s="2"/>
      <c r="C22" s="15" t="s">
        <v>14</v>
      </c>
      <c r="D22" s="22">
        <f>1800+420</f>
        <v>2220</v>
      </c>
      <c r="E22" s="103">
        <f t="shared" si="0"/>
        <v>4.4438344959098304</v>
      </c>
      <c r="F22" s="34" t="s">
        <v>40</v>
      </c>
    </row>
    <row r="23" spans="2:8" ht="29.25" customHeight="1" x14ac:dyDescent="0.3">
      <c r="B23" s="2"/>
      <c r="C23" s="89" t="s">
        <v>22</v>
      </c>
      <c r="D23" s="22">
        <f>+(5.72*134.16)* 30</f>
        <v>23021.856</v>
      </c>
      <c r="E23" s="103">
        <f t="shared" si="0"/>
        <v>46.083476510211135</v>
      </c>
      <c r="F23" s="34" t="s">
        <v>182</v>
      </c>
    </row>
    <row r="24" spans="2:8" ht="37.5" customHeight="1" x14ac:dyDescent="0.3">
      <c r="B24" s="2"/>
      <c r="C24" s="15" t="s">
        <v>41</v>
      </c>
      <c r="D24" s="22">
        <v>400</v>
      </c>
      <c r="E24" s="103">
        <f t="shared" si="0"/>
        <v>0.80069090016393341</v>
      </c>
      <c r="F24" s="39" t="s">
        <v>42</v>
      </c>
    </row>
    <row r="25" spans="2:8" ht="30" customHeight="1" x14ac:dyDescent="0.3">
      <c r="B25" s="2"/>
      <c r="C25" s="15" t="s">
        <v>13</v>
      </c>
      <c r="D25" s="22">
        <v>1191</v>
      </c>
      <c r="E25" s="103">
        <f t="shared" si="0"/>
        <v>2.384057155238112</v>
      </c>
      <c r="F25" s="34" t="s">
        <v>43</v>
      </c>
    </row>
    <row r="26" spans="2:8" ht="25.5" customHeight="1" x14ac:dyDescent="0.3">
      <c r="B26" s="2"/>
      <c r="C26" s="15" t="s">
        <v>12</v>
      </c>
      <c r="D26" s="26">
        <v>28</v>
      </c>
      <c r="E26" s="103">
        <f t="shared" si="0"/>
        <v>5.6048363011475345E-2</v>
      </c>
      <c r="F26" s="34" t="s">
        <v>44</v>
      </c>
    </row>
    <row r="27" spans="2:8" ht="24" customHeight="1" x14ac:dyDescent="0.3">
      <c r="B27" s="2"/>
      <c r="C27" s="8" t="s">
        <v>45</v>
      </c>
      <c r="D27" s="47">
        <v>650</v>
      </c>
      <c r="E27" s="103">
        <f t="shared" si="0"/>
        <v>1.3011227127663918</v>
      </c>
      <c r="F27" s="34" t="s">
        <v>46</v>
      </c>
    </row>
    <row r="28" spans="2:8" ht="24" customHeight="1" x14ac:dyDescent="0.3">
      <c r="B28" s="2"/>
      <c r="C28" s="8" t="s">
        <v>67</v>
      </c>
      <c r="D28" s="47">
        <v>2923</v>
      </c>
      <c r="E28" s="103">
        <f t="shared" si="0"/>
        <v>5.8510487529479436</v>
      </c>
      <c r="F28" s="34" t="s">
        <v>112</v>
      </c>
    </row>
    <row r="29" spans="2:8" ht="43.5" customHeight="1" x14ac:dyDescent="0.3">
      <c r="B29" s="5" t="s">
        <v>5</v>
      </c>
      <c r="C29" s="4" t="s">
        <v>6</v>
      </c>
      <c r="D29" s="165"/>
      <c r="E29" s="103"/>
      <c r="F29" s="37"/>
    </row>
    <row r="30" spans="2:8" ht="42.75" customHeight="1" x14ac:dyDescent="0.3">
      <c r="B30" s="2"/>
      <c r="C30" s="15" t="s">
        <v>7</v>
      </c>
      <c r="D30" s="22">
        <v>1200</v>
      </c>
      <c r="E30" s="103">
        <f>+D30*100/$D$32</f>
        <v>2.4020727004918005</v>
      </c>
      <c r="F30" s="35" t="s">
        <v>65</v>
      </c>
    </row>
    <row r="31" spans="2:8" ht="48" customHeight="1" thickBot="1" x14ac:dyDescent="0.35">
      <c r="B31" s="2"/>
      <c r="C31" s="15" t="s">
        <v>172</v>
      </c>
      <c r="D31" s="22">
        <v>2500</v>
      </c>
      <c r="E31" s="103">
        <f>+D31*100/$D$32</f>
        <v>5.0043181260245841</v>
      </c>
      <c r="F31" s="35" t="s">
        <v>195</v>
      </c>
    </row>
    <row r="32" spans="2:8" ht="16.2" thickBot="1" x14ac:dyDescent="0.35">
      <c r="B32" s="2"/>
      <c r="C32" s="6" t="s">
        <v>8</v>
      </c>
      <c r="D32" s="30">
        <f>SUM(D14:D31)</f>
        <v>49956.856</v>
      </c>
      <c r="E32" s="104">
        <f>+D32*100/$D$32</f>
        <v>100</v>
      </c>
      <c r="F32" s="49"/>
    </row>
    <row r="33" spans="2:6" x14ac:dyDescent="0.3">
      <c r="B33" s="2"/>
      <c r="C33" s="8"/>
      <c r="D33" s="14"/>
      <c r="E33" s="14"/>
      <c r="F33" s="9"/>
    </row>
    <row r="34" spans="2:6" ht="21.75" customHeight="1" x14ac:dyDescent="0.3">
      <c r="B34" s="2"/>
      <c r="C34" s="4" t="s">
        <v>196</v>
      </c>
      <c r="D34" s="177"/>
      <c r="E34" s="177"/>
      <c r="F34" s="174"/>
    </row>
    <row r="35" spans="2:6" ht="35.25" customHeight="1" x14ac:dyDescent="0.3">
      <c r="B35" s="2"/>
      <c r="C35" s="175" t="s">
        <v>185</v>
      </c>
      <c r="D35" s="177"/>
      <c r="E35" s="177"/>
      <c r="F35" s="174"/>
    </row>
    <row r="36" spans="2:6" ht="26.25" customHeight="1" x14ac:dyDescent="0.3">
      <c r="B36" s="2"/>
      <c r="C36" s="175" t="s">
        <v>9</v>
      </c>
      <c r="D36" s="177"/>
      <c r="E36" s="177"/>
      <c r="F36" s="174"/>
    </row>
    <row r="37" spans="2:6" ht="54" customHeight="1" x14ac:dyDescent="0.3">
      <c r="B37" s="2"/>
      <c r="C37" s="175" t="s">
        <v>184</v>
      </c>
      <c r="D37" s="177"/>
      <c r="E37" s="177"/>
      <c r="F37" s="180"/>
    </row>
    <row r="38" spans="2:6" ht="51" customHeight="1" x14ac:dyDescent="0.3">
      <c r="B38" s="2"/>
      <c r="C38" s="207" t="s">
        <v>186</v>
      </c>
      <c r="D38" s="208"/>
      <c r="E38" s="208"/>
      <c r="F38" s="180"/>
    </row>
    <row r="39" spans="2:6" ht="33.75" customHeight="1" x14ac:dyDescent="0.3">
      <c r="B39" s="2"/>
      <c r="C39" s="209" t="s">
        <v>187</v>
      </c>
      <c r="D39" s="209"/>
      <c r="E39" s="209"/>
      <c r="F39" s="180"/>
    </row>
    <row r="40" spans="2:6" ht="65.25" customHeight="1" thickBot="1" x14ac:dyDescent="0.35">
      <c r="B40" s="7"/>
      <c r="C40" s="217" t="s">
        <v>200</v>
      </c>
      <c r="D40" s="217"/>
      <c r="E40" s="217"/>
      <c r="F40" s="179"/>
    </row>
    <row r="41" spans="2:6" ht="15" customHeight="1" x14ac:dyDescent="0.3"/>
    <row r="42" spans="2:6" x14ac:dyDescent="0.3">
      <c r="C42" s="79"/>
    </row>
  </sheetData>
  <mergeCells count="8">
    <mergeCell ref="C4:F4"/>
    <mergeCell ref="C5:F5"/>
    <mergeCell ref="C38:E38"/>
    <mergeCell ref="C39:E39"/>
    <mergeCell ref="C40:E40"/>
    <mergeCell ref="C7:F7"/>
    <mergeCell ref="C8:F8"/>
    <mergeCell ref="C9:F9"/>
  </mergeCells>
  <pageMargins left="0.7" right="0.7" top="0.75" bottom="0.75" header="0.3" footer="0.3"/>
  <pageSetup scale="5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B3:F44"/>
  <sheetViews>
    <sheetView tabSelected="1" view="pageBreakPreview" topLeftCell="A5" zoomScale="90" zoomScaleNormal="100" zoomScaleSheetLayoutView="90" workbookViewId="0">
      <selection activeCell="F15" sqref="F15"/>
    </sheetView>
  </sheetViews>
  <sheetFormatPr defaultColWidth="11.5546875" defaultRowHeight="14.4" x14ac:dyDescent="0.3"/>
  <cols>
    <col min="1" max="1" width="7" customWidth="1"/>
    <col min="2" max="2" width="5.5546875" customWidth="1"/>
    <col min="3" max="3" width="32.33203125" customWidth="1"/>
    <col min="4" max="5" width="18.44140625" customWidth="1"/>
    <col min="6" max="6" width="70.6640625" customWidth="1"/>
  </cols>
  <sheetData>
    <row r="3" spans="2:6" ht="15" thickBot="1" x14ac:dyDescent="0.35"/>
    <row r="4" spans="2:6" ht="33" customHeight="1" x14ac:dyDescent="0.3">
      <c r="B4" s="1"/>
      <c r="C4" s="203" t="s">
        <v>15</v>
      </c>
      <c r="D4" s="203"/>
      <c r="E4" s="203"/>
      <c r="F4" s="204"/>
    </row>
    <row r="5" spans="2:6" ht="17.399999999999999" x14ac:dyDescent="0.3">
      <c r="B5" s="2"/>
      <c r="C5" s="205" t="s">
        <v>48</v>
      </c>
      <c r="D5" s="205"/>
      <c r="E5" s="205"/>
      <c r="F5" s="206"/>
    </row>
    <row r="6" spans="2:6" ht="15.6" x14ac:dyDescent="0.3">
      <c r="B6" s="2"/>
      <c r="C6" s="3"/>
      <c r="D6" s="8"/>
      <c r="E6" s="8"/>
      <c r="F6" s="9"/>
    </row>
    <row r="7" spans="2:6" x14ac:dyDescent="0.3">
      <c r="B7" s="2"/>
      <c r="C7" s="210" t="s">
        <v>197</v>
      </c>
      <c r="D7" s="210"/>
      <c r="E7" s="210"/>
      <c r="F7" s="211"/>
    </row>
    <row r="8" spans="2:6" x14ac:dyDescent="0.3">
      <c r="B8" s="2"/>
      <c r="C8" s="210" t="s">
        <v>198</v>
      </c>
      <c r="D8" s="210"/>
      <c r="E8" s="210"/>
      <c r="F8" s="211"/>
    </row>
    <row r="9" spans="2:6" x14ac:dyDescent="0.3">
      <c r="B9" s="2"/>
      <c r="C9" s="212" t="s">
        <v>199</v>
      </c>
      <c r="D9" s="212"/>
      <c r="E9" s="212"/>
      <c r="F9" s="213"/>
    </row>
    <row r="10" spans="2:6" ht="16.2" thickBot="1" x14ac:dyDescent="0.35">
      <c r="B10" s="2"/>
      <c r="C10" s="3"/>
      <c r="D10" s="8"/>
      <c r="E10" s="8"/>
      <c r="F10" s="9"/>
    </row>
    <row r="11" spans="2:6" ht="15.6" x14ac:dyDescent="0.3">
      <c r="B11" s="2"/>
      <c r="C11" s="4"/>
      <c r="D11" s="50" t="s">
        <v>120</v>
      </c>
      <c r="E11" s="92"/>
      <c r="F11" s="38" t="s">
        <v>10</v>
      </c>
    </row>
    <row r="12" spans="2:6" ht="16.2" thickBot="1" x14ac:dyDescent="0.35">
      <c r="B12" s="2"/>
      <c r="C12" s="8"/>
      <c r="D12" s="51" t="s">
        <v>0</v>
      </c>
      <c r="E12" s="93" t="s">
        <v>16</v>
      </c>
      <c r="F12" s="32"/>
    </row>
    <row r="13" spans="2:6" x14ac:dyDescent="0.3">
      <c r="B13" s="5" t="s">
        <v>1</v>
      </c>
      <c r="C13" s="4" t="s">
        <v>2</v>
      </c>
      <c r="D13" s="52"/>
      <c r="E13" s="94"/>
      <c r="F13" s="33"/>
    </row>
    <row r="14" spans="2:6" ht="33.75" customHeight="1" x14ac:dyDescent="0.3">
      <c r="B14" s="2"/>
      <c r="C14" s="15" t="s">
        <v>32</v>
      </c>
      <c r="D14" s="22">
        <v>1803</v>
      </c>
      <c r="E14" s="90">
        <f>+D14*100/D33</f>
        <v>2.1351428165411397</v>
      </c>
      <c r="F14" s="34" t="s">
        <v>33</v>
      </c>
    </row>
    <row r="15" spans="2:6" ht="29.25" customHeight="1" x14ac:dyDescent="0.3">
      <c r="B15" s="2"/>
      <c r="C15" s="15" t="s">
        <v>34</v>
      </c>
      <c r="D15" s="22">
        <v>38460</v>
      </c>
      <c r="E15" s="90">
        <f>+D15*100/$D$33</f>
        <v>45.544976552508174</v>
      </c>
      <c r="F15" s="34" t="s">
        <v>110</v>
      </c>
    </row>
    <row r="16" spans="2:6" ht="29.25" customHeight="1" x14ac:dyDescent="0.3">
      <c r="B16" s="2"/>
      <c r="C16" s="15" t="s">
        <v>35</v>
      </c>
      <c r="D16" s="22">
        <v>330</v>
      </c>
      <c r="E16" s="90">
        <f>+D16*100/$D$33</f>
        <v>0.39079153048173937</v>
      </c>
      <c r="F16" s="34" t="s">
        <v>36</v>
      </c>
    </row>
    <row r="17" spans="2:6" ht="31.5" customHeight="1" x14ac:dyDescent="0.3">
      <c r="B17" s="2"/>
      <c r="C17" s="15" t="s">
        <v>37</v>
      </c>
      <c r="D17" s="22">
        <v>2350</v>
      </c>
      <c r="E17" s="90">
        <f>+D17*100/$D$33</f>
        <v>2.7829093837335988</v>
      </c>
      <c r="F17" s="35" t="s">
        <v>49</v>
      </c>
    </row>
    <row r="18" spans="2:6" x14ac:dyDescent="0.3">
      <c r="B18" s="2"/>
      <c r="C18" s="8"/>
      <c r="D18" s="24"/>
      <c r="E18" s="90"/>
      <c r="F18" s="36"/>
    </row>
    <row r="19" spans="2:6" x14ac:dyDescent="0.3">
      <c r="B19" s="5" t="s">
        <v>3</v>
      </c>
      <c r="C19" s="4" t="s">
        <v>4</v>
      </c>
      <c r="D19" s="53"/>
      <c r="E19" s="90"/>
      <c r="F19" s="36"/>
    </row>
    <row r="20" spans="2:6" ht="27.6" x14ac:dyDescent="0.3">
      <c r="B20" s="2"/>
      <c r="C20" s="15" t="s">
        <v>39</v>
      </c>
      <c r="D20" s="22">
        <v>3500</v>
      </c>
      <c r="E20" s="90">
        <f t="shared" ref="E20:E28" si="0">+D20*100/$D$33</f>
        <v>4.1447586566245089</v>
      </c>
      <c r="F20" s="35" t="s">
        <v>188</v>
      </c>
    </row>
    <row r="21" spans="2:6" ht="32.25" customHeight="1" x14ac:dyDescent="0.3">
      <c r="B21" s="2"/>
      <c r="C21" s="89" t="s">
        <v>22</v>
      </c>
      <c r="D21" s="22">
        <v>2000</v>
      </c>
      <c r="E21" s="90">
        <f t="shared" si="0"/>
        <v>2.3684335180711478</v>
      </c>
      <c r="F21" s="34" t="s">
        <v>190</v>
      </c>
    </row>
    <row r="22" spans="2:6" ht="29.25" customHeight="1" x14ac:dyDescent="0.3">
      <c r="B22" s="2"/>
      <c r="C22" s="15" t="s">
        <v>109</v>
      </c>
      <c r="D22" s="22">
        <v>7433</v>
      </c>
      <c r="E22" s="90">
        <f t="shared" si="0"/>
        <v>8.802283169911421</v>
      </c>
      <c r="F22" s="34" t="s">
        <v>50</v>
      </c>
    </row>
    <row r="23" spans="2:6" ht="37.5" customHeight="1" x14ac:dyDescent="0.3">
      <c r="B23" s="2"/>
      <c r="C23" s="15" t="s">
        <v>41</v>
      </c>
      <c r="D23" s="22">
        <v>760</v>
      </c>
      <c r="E23" s="90">
        <f t="shared" si="0"/>
        <v>0.90000473686703619</v>
      </c>
      <c r="F23" s="35" t="s">
        <v>42</v>
      </c>
    </row>
    <row r="24" spans="2:6" ht="30" customHeight="1" x14ac:dyDescent="0.3">
      <c r="B24" s="2"/>
      <c r="C24" s="15" t="s">
        <v>108</v>
      </c>
      <c r="D24" s="22">
        <v>18000</v>
      </c>
      <c r="E24" s="90">
        <f t="shared" si="0"/>
        <v>21.315901662640329</v>
      </c>
      <c r="F24" s="34" t="s">
        <v>171</v>
      </c>
    </row>
    <row r="25" spans="2:6" ht="25.5" customHeight="1" x14ac:dyDescent="0.3">
      <c r="B25" s="2"/>
      <c r="C25" s="15" t="s">
        <v>12</v>
      </c>
      <c r="D25" s="26">
        <v>28</v>
      </c>
      <c r="E25" s="90">
        <f t="shared" si="0"/>
        <v>3.3158069252996067E-2</v>
      </c>
      <c r="F25" s="34" t="s">
        <v>44</v>
      </c>
    </row>
    <row r="26" spans="2:6" ht="24" customHeight="1" x14ac:dyDescent="0.3">
      <c r="B26" s="2"/>
      <c r="C26" s="8" t="s">
        <v>45</v>
      </c>
      <c r="D26" s="27">
        <v>130</v>
      </c>
      <c r="E26" s="90">
        <f t="shared" si="0"/>
        <v>0.1539481786746246</v>
      </c>
      <c r="F26" s="34" t="s">
        <v>11</v>
      </c>
    </row>
    <row r="27" spans="2:6" ht="24" customHeight="1" x14ac:dyDescent="0.3">
      <c r="B27" s="2"/>
      <c r="C27" s="8" t="s">
        <v>51</v>
      </c>
      <c r="D27" s="27"/>
      <c r="E27" s="90">
        <f t="shared" si="0"/>
        <v>0</v>
      </c>
      <c r="F27" s="34" t="s">
        <v>52</v>
      </c>
    </row>
    <row r="28" spans="2:6" ht="24" customHeight="1" x14ac:dyDescent="0.3">
      <c r="B28" s="2"/>
      <c r="C28" s="8" t="s">
        <v>127</v>
      </c>
      <c r="D28" s="27">
        <v>6000</v>
      </c>
      <c r="E28" s="90">
        <f t="shared" si="0"/>
        <v>7.1053005542134429</v>
      </c>
      <c r="F28" s="34" t="s">
        <v>128</v>
      </c>
    </row>
    <row r="29" spans="2:6" ht="25.5" customHeight="1" x14ac:dyDescent="0.3">
      <c r="B29" s="5" t="s">
        <v>5</v>
      </c>
      <c r="C29" s="4" t="s">
        <v>6</v>
      </c>
      <c r="D29" s="47"/>
      <c r="E29" s="90"/>
      <c r="F29" s="37"/>
    </row>
    <row r="30" spans="2:6" ht="25.5" customHeight="1" x14ac:dyDescent="0.3">
      <c r="B30" s="5"/>
      <c r="C30" s="169" t="s">
        <v>67</v>
      </c>
      <c r="D30" s="47">
        <v>2450</v>
      </c>
      <c r="E30" s="170">
        <f>+D30*100/$D$33</f>
        <v>2.901331059637156</v>
      </c>
      <c r="F30" s="37"/>
    </row>
    <row r="31" spans="2:6" ht="42.75" customHeight="1" x14ac:dyDescent="0.3">
      <c r="B31" s="2"/>
      <c r="C31" s="15" t="s">
        <v>7</v>
      </c>
      <c r="D31" s="22">
        <v>1200</v>
      </c>
      <c r="E31" s="90">
        <f>+D31*100/$D$33</f>
        <v>1.4210601108426886</v>
      </c>
      <c r="F31" s="35" t="s">
        <v>64</v>
      </c>
    </row>
    <row r="32" spans="2:6" ht="15" thickBot="1" x14ac:dyDescent="0.35">
      <c r="B32" s="2"/>
      <c r="C32" s="8"/>
      <c r="D32" s="29"/>
      <c r="E32" s="90"/>
      <c r="F32" s="37"/>
    </row>
    <row r="33" spans="2:6" ht="16.2" thickBot="1" x14ac:dyDescent="0.35">
      <c r="B33" s="2"/>
      <c r="C33" s="6" t="s">
        <v>8</v>
      </c>
      <c r="D33" s="54">
        <f>SUM(D14:D32)</f>
        <v>84444</v>
      </c>
      <c r="E33" s="91">
        <f>+D33*100/$D$33</f>
        <v>100</v>
      </c>
      <c r="F33" s="49"/>
    </row>
    <row r="34" spans="2:6" x14ac:dyDescent="0.3">
      <c r="B34" s="2"/>
      <c r="C34" s="8"/>
      <c r="D34" s="14"/>
      <c r="E34" s="14"/>
      <c r="F34" s="9"/>
    </row>
    <row r="35" spans="2:6" ht="21.75" customHeight="1" x14ac:dyDescent="0.3">
      <c r="B35" s="2"/>
      <c r="C35" s="8"/>
      <c r="D35" s="14"/>
      <c r="E35" s="14"/>
      <c r="F35" s="9"/>
    </row>
    <row r="36" spans="2:6" ht="35.25" customHeight="1" x14ac:dyDescent="0.3">
      <c r="B36" s="2"/>
      <c r="C36" s="175" t="s">
        <v>185</v>
      </c>
      <c r="D36" s="176"/>
      <c r="E36" s="176"/>
      <c r="F36" s="174"/>
    </row>
    <row r="37" spans="2:6" ht="26.25" customHeight="1" x14ac:dyDescent="0.3">
      <c r="B37" s="2"/>
      <c r="C37" s="175" t="s">
        <v>9</v>
      </c>
      <c r="D37" s="177"/>
      <c r="E37" s="177"/>
      <c r="F37" s="174"/>
    </row>
    <row r="38" spans="2:6" ht="26.25" customHeight="1" x14ac:dyDescent="0.3">
      <c r="B38" s="2"/>
      <c r="C38" s="175" t="s">
        <v>184</v>
      </c>
      <c r="D38" s="177"/>
      <c r="E38" s="177"/>
      <c r="F38" s="174"/>
    </row>
    <row r="39" spans="2:6" ht="47.25" customHeight="1" x14ac:dyDescent="0.3">
      <c r="B39" s="2"/>
      <c r="C39" s="207" t="s">
        <v>186</v>
      </c>
      <c r="D39" s="208"/>
      <c r="E39" s="208"/>
      <c r="F39" s="174"/>
    </row>
    <row r="40" spans="2:6" ht="33.75" customHeight="1" x14ac:dyDescent="0.3">
      <c r="B40" s="2"/>
      <c r="C40" s="209" t="s">
        <v>187</v>
      </c>
      <c r="D40" s="209"/>
      <c r="E40" s="209"/>
      <c r="F40" s="174"/>
    </row>
    <row r="41" spans="2:6" ht="58.5" customHeight="1" thickBot="1" x14ac:dyDescent="0.35">
      <c r="B41" s="7"/>
      <c r="C41" s="202"/>
      <c r="D41" s="202"/>
      <c r="E41" s="202"/>
      <c r="F41" s="108"/>
    </row>
    <row r="42" spans="2:6" ht="15" customHeight="1" x14ac:dyDescent="0.3">
      <c r="F42" s="107"/>
    </row>
    <row r="43" spans="2:6" x14ac:dyDescent="0.3">
      <c r="F43" s="107"/>
    </row>
    <row r="44" spans="2:6" x14ac:dyDescent="0.3">
      <c r="F44" s="107"/>
    </row>
  </sheetData>
  <mergeCells count="8">
    <mergeCell ref="C41:E41"/>
    <mergeCell ref="C4:F4"/>
    <mergeCell ref="C5:F5"/>
    <mergeCell ref="C39:E39"/>
    <mergeCell ref="C40:E40"/>
    <mergeCell ref="C7:F7"/>
    <mergeCell ref="C8:F8"/>
    <mergeCell ref="C9:F9"/>
  </mergeCells>
  <pageMargins left="0.51181102362204722" right="0.31496062992125984" top="0.74803149606299213" bottom="0.74803149606299213" header="0.31496062992125984" footer="0.31496062992125984"/>
  <pageSetup paperSize="9"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R22"/>
  <sheetViews>
    <sheetView view="pageBreakPreview" topLeftCell="C1" zoomScale="90" zoomScaleNormal="100" zoomScaleSheetLayoutView="90" workbookViewId="0">
      <selection activeCell="F22" sqref="F22"/>
    </sheetView>
  </sheetViews>
  <sheetFormatPr defaultColWidth="11.5546875" defaultRowHeight="14.4" x14ac:dyDescent="0.3"/>
  <cols>
    <col min="3" max="3" width="100" customWidth="1"/>
    <col min="4" max="4" width="21.88671875" customWidth="1"/>
    <col min="5" max="5" width="19.33203125" customWidth="1"/>
    <col min="6" max="6" width="23.5546875" customWidth="1"/>
  </cols>
  <sheetData>
    <row r="1" spans="2:18" ht="15" thickBot="1" x14ac:dyDescent="0.35"/>
    <row r="2" spans="2:18" ht="33.6" x14ac:dyDescent="0.4">
      <c r="B2" s="234" t="s">
        <v>115</v>
      </c>
      <c r="C2" s="235"/>
      <c r="D2" s="122" t="s">
        <v>142</v>
      </c>
      <c r="E2" s="122">
        <v>2024</v>
      </c>
      <c r="F2" s="123" t="s">
        <v>148</v>
      </c>
    </row>
    <row r="3" spans="2:18" ht="33.6" x14ac:dyDescent="0.3">
      <c r="B3" s="240" t="s">
        <v>141</v>
      </c>
      <c r="C3" s="241"/>
      <c r="D3" s="120" t="s">
        <v>79</v>
      </c>
      <c r="E3" s="120" t="s">
        <v>79</v>
      </c>
      <c r="F3" s="121" t="s">
        <v>79</v>
      </c>
      <c r="H3" s="114" t="s">
        <v>129</v>
      </c>
      <c r="L3">
        <v>1480</v>
      </c>
      <c r="M3">
        <f>+L3-1800</f>
        <v>-320</v>
      </c>
      <c r="P3">
        <v>34</v>
      </c>
      <c r="R3">
        <f>+P3*320</f>
        <v>10880</v>
      </c>
    </row>
    <row r="4" spans="2:18" x14ac:dyDescent="0.3">
      <c r="B4" s="242"/>
      <c r="C4" s="243"/>
      <c r="D4" s="118"/>
      <c r="E4" s="118"/>
      <c r="F4" s="119"/>
      <c r="H4" s="114"/>
    </row>
    <row r="5" spans="2:18" ht="23.25" customHeight="1" x14ac:dyDescent="0.3">
      <c r="B5" s="236" t="s">
        <v>143</v>
      </c>
      <c r="C5" s="237"/>
      <c r="D5" s="98">
        <v>1480</v>
      </c>
      <c r="E5" s="98">
        <v>1800</v>
      </c>
      <c r="F5" s="100">
        <f>+E5-D5</f>
        <v>320</v>
      </c>
      <c r="H5" s="114" t="s">
        <v>130</v>
      </c>
    </row>
    <row r="6" spans="2:18" ht="23.25" customHeight="1" x14ac:dyDescent="0.3">
      <c r="B6" s="231" t="s">
        <v>147</v>
      </c>
      <c r="C6" s="232"/>
      <c r="D6" s="98">
        <v>340</v>
      </c>
      <c r="E6" s="98">
        <v>340</v>
      </c>
      <c r="F6" s="100">
        <f t="shared" ref="F6:F9" si="0">+E6-D6</f>
        <v>0</v>
      </c>
      <c r="H6" s="114" t="s">
        <v>131</v>
      </c>
    </row>
    <row r="7" spans="2:18" ht="23.25" customHeight="1" x14ac:dyDescent="0.3">
      <c r="B7" s="231" t="s">
        <v>146</v>
      </c>
      <c r="C7" s="232"/>
      <c r="D7" s="98">
        <v>150</v>
      </c>
      <c r="E7" s="98">
        <v>150</v>
      </c>
      <c r="F7" s="100">
        <f t="shared" si="0"/>
        <v>0</v>
      </c>
      <c r="H7" s="114"/>
    </row>
    <row r="8" spans="2:18" ht="47.25" customHeight="1" x14ac:dyDescent="0.3">
      <c r="B8" s="236" t="s">
        <v>144</v>
      </c>
      <c r="C8" s="237"/>
      <c r="D8" s="98">
        <v>510</v>
      </c>
      <c r="E8" s="98">
        <v>510</v>
      </c>
      <c r="F8" s="100">
        <f t="shared" si="0"/>
        <v>0</v>
      </c>
      <c r="H8" s="114" t="s">
        <v>132</v>
      </c>
    </row>
    <row r="9" spans="2:18" ht="47.25" customHeight="1" x14ac:dyDescent="0.3">
      <c r="B9" s="236" t="s">
        <v>145</v>
      </c>
      <c r="C9" s="237"/>
      <c r="D9" s="98">
        <v>220</v>
      </c>
      <c r="E9" s="98">
        <v>220</v>
      </c>
      <c r="F9" s="100">
        <f t="shared" si="0"/>
        <v>0</v>
      </c>
      <c r="H9" s="114"/>
    </row>
    <row r="10" spans="2:18" ht="24" thickBot="1" x14ac:dyDescent="0.5">
      <c r="B10" s="238" t="s">
        <v>80</v>
      </c>
      <c r="C10" s="239"/>
      <c r="D10" s="124">
        <f>SUM(D5:D6)</f>
        <v>1820</v>
      </c>
      <c r="E10" s="124">
        <f>SUM(E5:E6)</f>
        <v>2140</v>
      </c>
      <c r="F10" s="125">
        <f>SUM(F5:F8)</f>
        <v>320</v>
      </c>
      <c r="H10" s="114" t="s">
        <v>133</v>
      </c>
    </row>
    <row r="11" spans="2:18" x14ac:dyDescent="0.3">
      <c r="D11" s="97"/>
      <c r="E11" s="97"/>
      <c r="F11" s="97"/>
      <c r="H11" s="116"/>
    </row>
    <row r="12" spans="2:18" x14ac:dyDescent="0.3">
      <c r="D12" s="97"/>
      <c r="E12" s="97"/>
      <c r="F12" s="97"/>
      <c r="H12" s="114" t="s">
        <v>134</v>
      </c>
    </row>
    <row r="13" spans="2:18" x14ac:dyDescent="0.3">
      <c r="B13" t="s">
        <v>118</v>
      </c>
      <c r="H13" s="116" t="s">
        <v>135</v>
      </c>
    </row>
    <row r="14" spans="2:18" x14ac:dyDescent="0.3">
      <c r="B14" t="s">
        <v>149</v>
      </c>
      <c r="H14" s="116"/>
    </row>
    <row r="15" spans="2:18" x14ac:dyDescent="0.3">
      <c r="H15" s="114" t="s">
        <v>136</v>
      </c>
      <c r="L15">
        <v>350</v>
      </c>
    </row>
    <row r="16" spans="2:18" x14ac:dyDescent="0.3">
      <c r="H16" s="114" t="s">
        <v>137</v>
      </c>
      <c r="L16">
        <v>150</v>
      </c>
    </row>
    <row r="17" spans="8:12" x14ac:dyDescent="0.3">
      <c r="H17" s="117"/>
    </row>
    <row r="18" spans="8:12" x14ac:dyDescent="0.3">
      <c r="H18" s="116" t="s">
        <v>138</v>
      </c>
    </row>
    <row r="19" spans="8:12" x14ac:dyDescent="0.3">
      <c r="H19" s="116"/>
    </row>
    <row r="20" spans="8:12" x14ac:dyDescent="0.3">
      <c r="H20" s="114" t="s">
        <v>139</v>
      </c>
      <c r="L20">
        <v>510</v>
      </c>
    </row>
    <row r="21" spans="8:12" x14ac:dyDescent="0.3">
      <c r="H21" s="114" t="s">
        <v>140</v>
      </c>
      <c r="L21">
        <v>220</v>
      </c>
    </row>
    <row r="22" spans="8:12" x14ac:dyDescent="0.3">
      <c r="H22" s="115"/>
    </row>
  </sheetData>
  <mergeCells count="9">
    <mergeCell ref="B2:C2"/>
    <mergeCell ref="B5:C5"/>
    <mergeCell ref="B6:C6"/>
    <mergeCell ref="B8:C8"/>
    <mergeCell ref="B10:C10"/>
    <mergeCell ref="B7:C7"/>
    <mergeCell ref="B9:C9"/>
    <mergeCell ref="B3:C3"/>
    <mergeCell ref="B4:C4"/>
  </mergeCells>
  <pageMargins left="0.31496062992125984" right="0.31496062992125984" top="1.1417322834645669" bottom="0.74803149606299213" header="0.31496062992125984" footer="0.31496062992125984"/>
  <pageSetup paperSize="9" scale="7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F28"/>
  <sheetViews>
    <sheetView topLeftCell="A8" workbookViewId="0">
      <selection activeCell="F22" sqref="F22"/>
    </sheetView>
  </sheetViews>
  <sheetFormatPr defaultColWidth="11.5546875" defaultRowHeight="14.4" x14ac:dyDescent="0.3"/>
  <cols>
    <col min="1" max="1" width="4.44140625" customWidth="1"/>
    <col min="2" max="2" width="5.5546875" customWidth="1"/>
    <col min="3" max="3" width="32.33203125" customWidth="1"/>
    <col min="4" max="4" width="18.44140625" customWidth="1"/>
    <col min="5" max="5" width="18" customWidth="1"/>
    <col min="6" max="6" width="67.88671875" customWidth="1"/>
    <col min="7" max="7" width="5" customWidth="1"/>
  </cols>
  <sheetData>
    <row r="3" spans="2:6" ht="15" thickBot="1" x14ac:dyDescent="0.35"/>
    <row r="4" spans="2:6" ht="33" customHeight="1" x14ac:dyDescent="0.3">
      <c r="B4" s="1"/>
      <c r="C4" s="203" t="s">
        <v>15</v>
      </c>
      <c r="D4" s="203"/>
      <c r="E4" s="203"/>
      <c r="F4" s="204"/>
    </row>
    <row r="5" spans="2:6" ht="15.6" x14ac:dyDescent="0.3">
      <c r="B5" s="2"/>
      <c r="C5" s="226" t="s">
        <v>167</v>
      </c>
      <c r="D5" s="226"/>
      <c r="E5" s="226"/>
      <c r="F5" s="227"/>
    </row>
    <row r="6" spans="2:6" ht="16.2" thickBot="1" x14ac:dyDescent="0.35">
      <c r="B6" s="2"/>
      <c r="C6" s="3"/>
      <c r="D6" s="8"/>
      <c r="E6" s="8"/>
      <c r="F6" s="9"/>
    </row>
    <row r="7" spans="2:6" ht="15.6" x14ac:dyDescent="0.3">
      <c r="B7" s="2"/>
      <c r="C7" s="4"/>
      <c r="D7" s="16" t="s">
        <v>120</v>
      </c>
      <c r="E7" s="17"/>
      <c r="F7" s="38" t="s">
        <v>10</v>
      </c>
    </row>
    <row r="8" spans="2:6" ht="16.2" thickBot="1" x14ac:dyDescent="0.35">
      <c r="B8" s="2"/>
      <c r="C8" s="8"/>
      <c r="D8" s="18" t="s">
        <v>0</v>
      </c>
      <c r="E8" s="19" t="s">
        <v>16</v>
      </c>
      <c r="F8" s="32"/>
    </row>
    <row r="9" spans="2:6" x14ac:dyDescent="0.3">
      <c r="B9" s="5" t="s">
        <v>1</v>
      </c>
      <c r="C9" s="4" t="s">
        <v>2</v>
      </c>
      <c r="D9" s="20"/>
      <c r="E9" s="21"/>
      <c r="F9" s="33"/>
    </row>
    <row r="10" spans="2:6" ht="29.25" customHeight="1" x14ac:dyDescent="0.3">
      <c r="B10" s="2"/>
      <c r="C10" s="15" t="s">
        <v>34</v>
      </c>
      <c r="D10" s="22">
        <v>10400</v>
      </c>
      <c r="E10" s="103">
        <f>+D10*100/$D$18</f>
        <v>46.436863725665297</v>
      </c>
      <c r="F10" s="39" t="s">
        <v>169</v>
      </c>
    </row>
    <row r="11" spans="2:6" x14ac:dyDescent="0.3">
      <c r="B11" s="2"/>
      <c r="C11" s="8"/>
      <c r="D11" s="24"/>
      <c r="E11" s="103"/>
      <c r="F11" s="36"/>
    </row>
    <row r="12" spans="2:6" x14ac:dyDescent="0.3">
      <c r="B12" s="5" t="s">
        <v>3</v>
      </c>
      <c r="C12" s="4" t="s">
        <v>4</v>
      </c>
      <c r="D12" s="25"/>
      <c r="E12" s="103"/>
      <c r="F12" s="36"/>
    </row>
    <row r="13" spans="2:6" ht="32.25" customHeight="1" x14ac:dyDescent="0.3">
      <c r="B13" s="2"/>
      <c r="C13" s="15" t="s">
        <v>39</v>
      </c>
      <c r="D13" s="22">
        <v>5000</v>
      </c>
      <c r="E13" s="103">
        <f>+D13*100/$D$18</f>
        <v>22.325415252723701</v>
      </c>
      <c r="F13" s="34" t="s">
        <v>168</v>
      </c>
    </row>
    <row r="14" spans="2:6" ht="24" customHeight="1" x14ac:dyDescent="0.3">
      <c r="B14" s="2"/>
      <c r="C14" s="8" t="s">
        <v>67</v>
      </c>
      <c r="D14" s="27">
        <v>3996</v>
      </c>
      <c r="E14" s="103">
        <f>+D14*100/$D$18</f>
        <v>17.84247186997678</v>
      </c>
      <c r="F14" s="34" t="s">
        <v>112</v>
      </c>
    </row>
    <row r="15" spans="2:6" ht="25.5" customHeight="1" x14ac:dyDescent="0.3">
      <c r="B15" s="5" t="s">
        <v>5</v>
      </c>
      <c r="C15" s="4" t="s">
        <v>6</v>
      </c>
      <c r="D15" s="28"/>
      <c r="E15" s="103"/>
      <c r="F15" s="37"/>
    </row>
    <row r="16" spans="2:6" ht="57" customHeight="1" x14ac:dyDescent="0.3">
      <c r="B16" s="2"/>
      <c r="C16" s="15" t="s">
        <v>7</v>
      </c>
      <c r="D16" s="22">
        <v>1200</v>
      </c>
      <c r="E16" s="103">
        <f>+D16*100/$D$18</f>
        <v>5.3580996606536884</v>
      </c>
      <c r="F16" s="35" t="s">
        <v>65</v>
      </c>
    </row>
    <row r="17" spans="2:6" ht="48" customHeight="1" thickBot="1" x14ac:dyDescent="0.35">
      <c r="B17" s="2"/>
      <c r="C17" s="15" t="s">
        <v>170</v>
      </c>
      <c r="D17" s="22">
        <v>1800</v>
      </c>
      <c r="E17" s="161">
        <f>+D17*100/$D$18</f>
        <v>8.0371494909805321</v>
      </c>
      <c r="F17" s="37"/>
    </row>
    <row r="18" spans="2:6" ht="16.2" thickBot="1" x14ac:dyDescent="0.35">
      <c r="B18" s="2"/>
      <c r="C18" s="6" t="s">
        <v>8</v>
      </c>
      <c r="D18" s="30">
        <f>SUM(D10:D17)</f>
        <v>22396</v>
      </c>
      <c r="E18" s="104">
        <f>+D18*100/$D$18</f>
        <v>100</v>
      </c>
      <c r="F18" s="49"/>
    </row>
    <row r="19" spans="2:6" x14ac:dyDescent="0.3">
      <c r="B19" s="2"/>
      <c r="C19" s="8"/>
      <c r="D19" s="14"/>
      <c r="E19" s="14"/>
      <c r="F19" s="9"/>
    </row>
    <row r="20" spans="2:6" ht="21.75" customHeight="1" x14ac:dyDescent="0.3">
      <c r="B20" s="2"/>
      <c r="C20" s="8"/>
      <c r="D20" s="14"/>
      <c r="E20" s="14"/>
      <c r="F20" s="9"/>
    </row>
    <row r="21" spans="2:6" ht="35.25" customHeight="1" x14ac:dyDescent="0.3">
      <c r="B21" s="2"/>
      <c r="C21" s="10" t="s">
        <v>9</v>
      </c>
      <c r="D21" s="13"/>
      <c r="E21" s="13"/>
      <c r="F21" s="11"/>
    </row>
    <row r="22" spans="2:6" ht="26.25" customHeight="1" x14ac:dyDescent="0.3">
      <c r="B22" s="2"/>
      <c r="C22" s="10" t="s">
        <v>66</v>
      </c>
      <c r="D22" s="13"/>
      <c r="E22" s="13"/>
      <c r="F22" s="11"/>
    </row>
    <row r="23" spans="2:6" ht="54" customHeight="1" x14ac:dyDescent="0.3">
      <c r="B23" s="2"/>
      <c r="C23" s="111" t="s">
        <v>124</v>
      </c>
      <c r="D23" s="10"/>
      <c r="E23" s="10"/>
      <c r="F23" s="11"/>
    </row>
    <row r="24" spans="2:6" ht="33.75" customHeight="1" x14ac:dyDescent="0.3">
      <c r="B24" s="2"/>
      <c r="C24" s="244" t="s">
        <v>47</v>
      </c>
      <c r="D24" s="244"/>
      <c r="E24" s="244"/>
      <c r="F24" s="11"/>
    </row>
    <row r="25" spans="2:6" ht="33.75" customHeight="1" x14ac:dyDescent="0.3">
      <c r="B25" s="2"/>
      <c r="C25" s="102" t="s">
        <v>117</v>
      </c>
      <c r="D25" s="102"/>
      <c r="E25" s="102"/>
      <c r="F25" s="11"/>
    </row>
    <row r="26" spans="2:6" ht="65.25" customHeight="1" thickBot="1" x14ac:dyDescent="0.35">
      <c r="B26" s="7"/>
      <c r="C26" s="101"/>
      <c r="D26" s="101"/>
      <c r="E26" s="101"/>
      <c r="F26" s="12"/>
    </row>
    <row r="27" spans="2:6" ht="15" customHeight="1" x14ac:dyDescent="0.3"/>
    <row r="28" spans="2:6" x14ac:dyDescent="0.3">
      <c r="C28" s="79"/>
    </row>
  </sheetData>
  <mergeCells count="3">
    <mergeCell ref="C4:F4"/>
    <mergeCell ref="C5:F5"/>
    <mergeCell ref="C24:E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30"/>
  <sheetViews>
    <sheetView topLeftCell="A6" workbookViewId="0">
      <selection activeCell="F22" sqref="F22"/>
    </sheetView>
  </sheetViews>
  <sheetFormatPr defaultColWidth="11.5546875" defaultRowHeight="14.4" x14ac:dyDescent="0.3"/>
  <cols>
    <col min="3" max="3" width="41.5546875" bestFit="1" customWidth="1"/>
    <col min="4" max="7" width="20.5546875" customWidth="1"/>
  </cols>
  <sheetData>
    <row r="1" spans="2:8" ht="24.6" x14ac:dyDescent="0.4">
      <c r="B1" s="126" t="s">
        <v>165</v>
      </c>
      <c r="C1" s="80"/>
      <c r="D1" s="80"/>
      <c r="E1" s="80"/>
      <c r="F1" s="80"/>
      <c r="G1" s="81"/>
      <c r="H1" s="81"/>
    </row>
    <row r="2" spans="2:8" ht="15.6" x14ac:dyDescent="0.3">
      <c r="B2" s="127" t="s">
        <v>164</v>
      </c>
      <c r="C2" s="81"/>
      <c r="D2" s="81"/>
      <c r="E2" s="81"/>
      <c r="F2" s="81"/>
      <c r="G2" s="81"/>
      <c r="H2" s="81"/>
    </row>
    <row r="3" spans="2:8" x14ac:dyDescent="0.3">
      <c r="B3" s="128" t="s">
        <v>153</v>
      </c>
      <c r="C3" s="81"/>
      <c r="D3" s="81"/>
      <c r="E3" s="81"/>
      <c r="F3" s="81"/>
      <c r="G3" s="81"/>
      <c r="H3" s="81"/>
    </row>
    <row r="4" spans="2:8" ht="15" thickBot="1" x14ac:dyDescent="0.35">
      <c r="B4" s="129"/>
      <c r="C4" s="81"/>
      <c r="D4" s="81"/>
      <c r="E4" s="81"/>
      <c r="F4" s="81"/>
      <c r="G4" s="81"/>
      <c r="H4" s="81"/>
    </row>
    <row r="5" spans="2:8" ht="24" thickBot="1" x14ac:dyDescent="0.35">
      <c r="B5" s="247" t="s">
        <v>154</v>
      </c>
      <c r="C5" s="248"/>
      <c r="D5" s="130" t="s">
        <v>82</v>
      </c>
      <c r="E5" s="130" t="s">
        <v>82</v>
      </c>
      <c r="F5" s="131" t="s">
        <v>82</v>
      </c>
      <c r="G5" s="131" t="s">
        <v>82</v>
      </c>
      <c r="H5" s="81"/>
    </row>
    <row r="6" spans="2:8" ht="23.4" x14ac:dyDescent="0.3">
      <c r="B6" s="249" t="s">
        <v>115</v>
      </c>
      <c r="C6" s="250"/>
      <c r="D6" s="132">
        <v>2021</v>
      </c>
      <c r="E6" s="132">
        <v>2022</v>
      </c>
      <c r="F6" s="133">
        <v>2023</v>
      </c>
      <c r="G6" s="133">
        <v>2024</v>
      </c>
      <c r="H6" s="81"/>
    </row>
    <row r="7" spans="2:8" ht="23.4" x14ac:dyDescent="0.3">
      <c r="B7" s="251" t="s">
        <v>81</v>
      </c>
      <c r="C7" s="252"/>
      <c r="D7" s="134" t="s">
        <v>79</v>
      </c>
      <c r="E7" s="134" t="s">
        <v>79</v>
      </c>
      <c r="F7" s="135" t="s">
        <v>79</v>
      </c>
      <c r="G7" s="135" t="s">
        <v>79</v>
      </c>
      <c r="H7" s="81"/>
    </row>
    <row r="8" spans="2:8" ht="23.4" x14ac:dyDescent="0.3">
      <c r="B8" s="253" t="s">
        <v>155</v>
      </c>
      <c r="C8" s="254"/>
      <c r="D8" s="136">
        <v>12500</v>
      </c>
      <c r="E8" s="137">
        <v>13000</v>
      </c>
      <c r="F8" s="98">
        <f>42850-17000-10400</f>
        <v>15450</v>
      </c>
      <c r="G8" s="138">
        <v>15450</v>
      </c>
      <c r="H8" s="81"/>
    </row>
    <row r="9" spans="2:8" ht="23.4" x14ac:dyDescent="0.3">
      <c r="B9" s="245" t="s">
        <v>114</v>
      </c>
      <c r="C9" s="246"/>
      <c r="D9" s="136">
        <v>15455</v>
      </c>
      <c r="E9" s="137">
        <v>16000</v>
      </c>
      <c r="F9" s="137">
        <v>16000</v>
      </c>
      <c r="G9" s="138">
        <v>17000</v>
      </c>
      <c r="H9" s="81"/>
    </row>
    <row r="10" spans="2:8" ht="23.4" x14ac:dyDescent="0.3">
      <c r="B10" s="245" t="s">
        <v>113</v>
      </c>
      <c r="C10" s="246"/>
      <c r="D10" s="139"/>
      <c r="E10" s="140"/>
      <c r="F10" s="98"/>
      <c r="G10" s="141"/>
      <c r="H10" s="81"/>
    </row>
    <row r="11" spans="2:8" ht="23.4" x14ac:dyDescent="0.3">
      <c r="B11" s="245" t="s">
        <v>156</v>
      </c>
      <c r="C11" s="246"/>
      <c r="D11" s="139"/>
      <c r="E11" s="140"/>
      <c r="F11" s="99"/>
      <c r="G11" s="141"/>
      <c r="H11" s="81"/>
    </row>
    <row r="12" spans="2:8" ht="24" thickBot="1" x14ac:dyDescent="0.35">
      <c r="B12" s="245" t="s">
        <v>157</v>
      </c>
      <c r="C12" s="246"/>
      <c r="D12" s="140">
        <v>8400</v>
      </c>
      <c r="E12" s="140">
        <v>9200</v>
      </c>
      <c r="F12" s="142">
        <v>10000</v>
      </c>
      <c r="G12" s="142">
        <v>10400</v>
      </c>
      <c r="H12" s="81"/>
    </row>
    <row r="13" spans="2:8" ht="24" thickBot="1" x14ac:dyDescent="0.5">
      <c r="B13" s="255" t="s">
        <v>116</v>
      </c>
      <c r="C13" s="256"/>
      <c r="D13" s="143">
        <f>SUM(D8:D12)</f>
        <v>36355</v>
      </c>
      <c r="E13" s="143">
        <f t="shared" ref="E13" si="0">SUM(E8:E12)</f>
        <v>38200</v>
      </c>
      <c r="F13" s="144">
        <f>SUM(F8:F12)</f>
        <v>41450</v>
      </c>
      <c r="G13" s="144">
        <f>SUM(G8:G12)</f>
        <v>42850</v>
      </c>
      <c r="H13" s="81"/>
    </row>
    <row r="14" spans="2:8" x14ac:dyDescent="0.3">
      <c r="B14" s="145"/>
      <c r="C14" s="81"/>
      <c r="D14" s="81"/>
      <c r="E14" s="81"/>
      <c r="F14" s="146"/>
      <c r="G14" s="146"/>
      <c r="H14" s="81"/>
    </row>
    <row r="15" spans="2:8" ht="15" thickBot="1" x14ac:dyDescent="0.35">
      <c r="B15" s="145"/>
      <c r="C15" s="81"/>
      <c r="D15" s="81"/>
      <c r="E15" s="81"/>
      <c r="F15" s="146"/>
      <c r="G15" s="146"/>
      <c r="H15" s="81"/>
    </row>
    <row r="16" spans="2:8" ht="25.8" x14ac:dyDescent="0.5">
      <c r="B16" s="257" t="s">
        <v>158</v>
      </c>
      <c r="C16" s="257"/>
      <c r="D16" s="147">
        <f t="shared" ref="D16:E16" si="1">+D13-D9</f>
        <v>20900</v>
      </c>
      <c r="E16" s="147">
        <f t="shared" si="1"/>
        <v>22200</v>
      </c>
      <c r="F16" s="148">
        <f>+F13-F9</f>
        <v>25450</v>
      </c>
      <c r="G16" s="148">
        <f>+G13-G9</f>
        <v>25850</v>
      </c>
      <c r="H16" s="81"/>
    </row>
    <row r="17" spans="2:8" ht="15" thickBot="1" x14ac:dyDescent="0.35">
      <c r="B17" s="81"/>
      <c r="C17" s="81"/>
      <c r="D17" s="81"/>
      <c r="E17" s="81"/>
      <c r="F17" s="81"/>
      <c r="G17" s="81"/>
      <c r="H17" s="81"/>
    </row>
    <row r="18" spans="2:8" ht="26.4" thickBot="1" x14ac:dyDescent="0.55000000000000004">
      <c r="B18" s="149"/>
      <c r="C18" s="150" t="s">
        <v>159</v>
      </c>
      <c r="D18" s="151"/>
      <c r="E18" s="151">
        <f>+E16-D16</f>
        <v>1300</v>
      </c>
      <c r="F18" s="152">
        <f>+F16-E16</f>
        <v>3250</v>
      </c>
      <c r="G18" s="153">
        <f>+G16-F16</f>
        <v>400</v>
      </c>
      <c r="H18" s="81"/>
    </row>
    <row r="19" spans="2:8" x14ac:dyDescent="0.3">
      <c r="B19" s="81"/>
      <c r="C19" s="81"/>
      <c r="D19" s="81"/>
      <c r="E19" s="81"/>
      <c r="F19" s="81"/>
      <c r="G19" s="81"/>
      <c r="H19" s="81"/>
    </row>
    <row r="20" spans="2:8" ht="15" thickBot="1" x14ac:dyDescent="0.35">
      <c r="B20" s="81"/>
      <c r="C20" s="81"/>
      <c r="D20" s="81"/>
      <c r="E20" s="81"/>
      <c r="F20" s="81"/>
      <c r="G20" s="81"/>
      <c r="H20" s="81"/>
    </row>
    <row r="21" spans="2:8" ht="24" thickBot="1" x14ac:dyDescent="0.5">
      <c r="B21" s="154"/>
      <c r="C21" s="155" t="s">
        <v>160</v>
      </c>
      <c r="D21" s="157">
        <f t="shared" ref="D21:G21" si="2">+D18*1/D16</f>
        <v>0</v>
      </c>
      <c r="E21" s="156">
        <f t="shared" si="2"/>
        <v>5.8558558558558557E-2</v>
      </c>
      <c r="F21" s="156">
        <f t="shared" si="2"/>
        <v>0.12770137524557956</v>
      </c>
      <c r="G21" s="158">
        <f t="shared" si="2"/>
        <v>1.5473887814313346E-2</v>
      </c>
      <c r="H21" s="81"/>
    </row>
    <row r="22" spans="2:8" x14ac:dyDescent="0.3">
      <c r="B22" s="81"/>
      <c r="C22" s="81"/>
      <c r="D22" s="81"/>
      <c r="E22" s="81"/>
      <c r="F22" s="81"/>
      <c r="G22" s="81"/>
      <c r="H22" s="81"/>
    </row>
    <row r="23" spans="2:8" ht="18.75" customHeight="1" x14ac:dyDescent="0.3">
      <c r="B23" s="233" t="s">
        <v>161</v>
      </c>
      <c r="C23" s="233"/>
      <c r="D23" s="233"/>
      <c r="E23" s="233"/>
      <c r="F23" s="233"/>
      <c r="G23" s="233"/>
      <c r="H23" s="81"/>
    </row>
    <row r="24" spans="2:8" x14ac:dyDescent="0.3">
      <c r="B24" s="81"/>
      <c r="C24" s="81"/>
      <c r="D24" s="81"/>
      <c r="E24" s="81"/>
      <c r="F24" s="81"/>
      <c r="G24" s="81"/>
      <c r="H24" s="81"/>
    </row>
    <row r="25" spans="2:8" ht="15.6" x14ac:dyDescent="0.3">
      <c r="B25" s="112" t="s">
        <v>162</v>
      </c>
      <c r="C25" s="113"/>
      <c r="D25" s="113"/>
      <c r="E25" s="113"/>
      <c r="F25" s="113"/>
      <c r="G25" s="159"/>
      <c r="H25" s="159"/>
    </row>
    <row r="26" spans="2:8" ht="15.6" x14ac:dyDescent="0.3">
      <c r="B26" s="112" t="s">
        <v>163</v>
      </c>
      <c r="C26" s="113"/>
      <c r="D26" s="113"/>
      <c r="E26" s="113"/>
      <c r="F26" s="113"/>
      <c r="G26" s="159"/>
      <c r="H26" s="159"/>
    </row>
    <row r="27" spans="2:8" ht="15.6" x14ac:dyDescent="0.3">
      <c r="B27" s="112"/>
      <c r="C27" s="113"/>
      <c r="D27" s="113"/>
      <c r="E27" s="113"/>
      <c r="F27" s="113"/>
      <c r="G27" s="159"/>
      <c r="H27" s="159"/>
    </row>
    <row r="28" spans="2:8" x14ac:dyDescent="0.3">
      <c r="B28" s="4" t="s">
        <v>118</v>
      </c>
      <c r="C28" s="113"/>
      <c r="D28" s="113"/>
      <c r="E28" s="113"/>
      <c r="F28" s="113"/>
      <c r="G28" s="159"/>
      <c r="H28" s="159"/>
    </row>
    <row r="29" spans="2:8" x14ac:dyDescent="0.3">
      <c r="B29" s="160">
        <v>45292</v>
      </c>
      <c r="C29" s="113"/>
      <c r="D29" s="113"/>
      <c r="E29" s="113"/>
      <c r="F29" s="113"/>
      <c r="G29" s="159"/>
      <c r="H29" s="159"/>
    </row>
    <row r="30" spans="2:8" x14ac:dyDescent="0.3">
      <c r="B30" s="113"/>
      <c r="C30" s="113"/>
      <c r="D30" s="113"/>
      <c r="E30" s="113"/>
      <c r="F30" s="113"/>
      <c r="G30" s="81"/>
      <c r="H30" s="81"/>
    </row>
  </sheetData>
  <mergeCells count="11">
    <mergeCell ref="B11:C11"/>
    <mergeCell ref="B12:C12"/>
    <mergeCell ref="B13:C13"/>
    <mergeCell ref="B16:C16"/>
    <mergeCell ref="B23:G23"/>
    <mergeCell ref="B10:C10"/>
    <mergeCell ref="B5:C5"/>
    <mergeCell ref="B6:C6"/>
    <mergeCell ref="B7:C7"/>
    <mergeCell ref="B8:C8"/>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ILO</vt:lpstr>
      <vt:lpstr>ilo patio puerto</vt:lpstr>
      <vt:lpstr>MATARANI</vt:lpstr>
      <vt:lpstr>MARCONA</vt:lpstr>
      <vt:lpstr>CALLAO</vt:lpstr>
      <vt:lpstr>MEJILLONES.A</vt:lpstr>
      <vt:lpstr>MEJILLONES.INTERACID</vt:lpstr>
      <vt:lpstr>MEJILLONES.TERQUIM</vt:lpstr>
      <vt:lpstr>BARQUITO</vt:lpstr>
      <vt:lpstr>Hoja2</vt:lpstr>
      <vt:lpstr>Hoja1</vt:lpstr>
      <vt:lpstr>BOMAR PORT COST 2021-2024</vt:lpstr>
      <vt:lpstr>BARQUITO!Print_Area</vt:lpstr>
      <vt:lpstr>CALLAO!Print_Area</vt:lpstr>
      <vt:lpstr>Hoja2!Print_Area</vt:lpstr>
      <vt:lpstr>ILO!Print_Area</vt:lpstr>
      <vt:lpstr>MARCONA!Print_Area</vt:lpstr>
      <vt:lpstr>MATARANI!Print_Area</vt:lpstr>
      <vt:lpstr>MEJILLONES.A!Print_Area</vt:lpstr>
      <vt:lpstr>MEJILLONES.TERQUIM!Print_Area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Richard Gutierrez</cp:lastModifiedBy>
  <cp:lastPrinted>2026-01-30T20:21:03Z</cp:lastPrinted>
  <dcterms:created xsi:type="dcterms:W3CDTF">2018-10-23T17:50:03Z</dcterms:created>
  <dcterms:modified xsi:type="dcterms:W3CDTF">2026-07-02T01:59:33Z</dcterms:modified>
</cp:coreProperties>
</file>
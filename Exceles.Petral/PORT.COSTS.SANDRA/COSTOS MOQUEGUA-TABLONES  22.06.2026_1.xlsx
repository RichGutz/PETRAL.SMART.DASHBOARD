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AV.PETRAL REM COV MAY20\TARIFAS-GASTOS PORTUARIOS\2026\"/>
    </mc:Choice>
  </mc:AlternateContent>
  <xr:revisionPtr revIDLastSave="0" documentId="8_{76803D1F-26E4-4CB8-AC9C-6965E692E85D}" xr6:coauthVersionLast="47" xr6:coauthVersionMax="47" xr10:uidLastSave="{00000000-0000-0000-0000-000000000000}"/>
  <bookViews>
    <workbookView xWindow="-120" yWindow="-120" windowWidth="29040" windowHeight="15720" xr2:uid="{A13D6020-7D2E-415A-994D-D329B1BA24A2}"/>
  </bookViews>
  <sheets>
    <sheet name="COSTOS TARIFAS 2026" sheetId="4" r:id="rId1"/>
    <sheet name="COSTOS TOTALES  2026" sheetId="3" r:id="rId2"/>
    <sheet name=" COSTOS TARIFAS" sheetId="1" state="hidden" r:id="rId3"/>
    <sheet name="COSTOS 2024" sheetId="2" state="hidden" r:id="rId4"/>
  </sheets>
  <definedNames>
    <definedName name="_xlnm.Print_Area" localSheetId="2">' COSTOS TARIFAS'!$A$1:$E$42</definedName>
    <definedName name="_xlnm.Print_Area" localSheetId="3">'COSTOS 2024'!$A$1:$E$40</definedName>
    <definedName name="_xlnm.Print_Area" localSheetId="0">'COSTOS TARIFAS 2026'!$A$1:$H$39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39" i="3" l="1"/>
</calcChain>
</file>

<file path=xl/sharedStrings.xml><?xml version="1.0" encoding="utf-8"?>
<sst xmlns="http://schemas.openxmlformats.org/spreadsheetml/2006/main" count="142" uniqueCount="31">
  <si>
    <t>ILO</t>
  </si>
  <si>
    <t>MATARANI</t>
  </si>
  <si>
    <t>CALLAO</t>
  </si>
  <si>
    <t>MARCONA</t>
  </si>
  <si>
    <t>MEJILLONES</t>
  </si>
  <si>
    <t>MOQUEGUA</t>
  </si>
  <si>
    <t>BOMAR LYNX</t>
  </si>
  <si>
    <t>BARQUITO</t>
  </si>
  <si>
    <t>*</t>
  </si>
  <si>
    <t>**</t>
  </si>
  <si>
    <t>***</t>
  </si>
  <si>
    <t>**Incremento  Setiembre 2023 costo de Remocadores Ultratug.</t>
  </si>
  <si>
    <t xml:space="preserve">H/P NAVIERA PETRAL  </t>
  </si>
  <si>
    <t>* Costo asumido por  Naviera Petral USD 36,000.00 .</t>
  </si>
  <si>
    <t>10.04.2024</t>
  </si>
  <si>
    <t xml:space="preserve">COSTOS 2024 </t>
  </si>
  <si>
    <t>(1) Importes en base a Proformas de Agentes Portuarios  Transtotal y B&amp;M .</t>
  </si>
  <si>
    <t>USD</t>
  </si>
  <si>
    <t>TERQUIM</t>
  </si>
  <si>
    <t>*** No incluye muellaje ni remolcador stand by en Termnal Barquito por confirmar.</t>
  </si>
  <si>
    <t>**Incremento   costo de Remocadores Ultratug a partir de Agosto 2024.</t>
  </si>
  <si>
    <t>18.09.2024</t>
  </si>
  <si>
    <t>*** Incluye muellaje y remolcador stand by en Terminal Barquito.</t>
  </si>
  <si>
    <t xml:space="preserve">COSTOS PORTUARIOS  2024 </t>
  </si>
  <si>
    <t>OBSERVACIONES</t>
  </si>
  <si>
    <t xml:space="preserve">BOMAR LYNX/TABLONES </t>
  </si>
  <si>
    <t>**Incremento   costo de Remocadores Ultratug a partir de Diciembre 2025.</t>
  </si>
  <si>
    <t>* Costo asumido por  Naviera Petral USD 36,000.00 según contrato spcc .</t>
  </si>
  <si>
    <t>TABLONES</t>
  </si>
  <si>
    <t>***No Incluye muellaje y remolcador stand by en Terminal Barquito y Matarani.</t>
  </si>
  <si>
    <t>COSTOS PORTUARIOS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</si>
</sst>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3" fontId="0" fillId="0" borderId="0" xfId="1" applyFont="1" applyBorder="1"/>
    <xf numFmtId="0" fontId="0" fillId="0" borderId="6" xfId="0" applyBorder="1"/>
    <xf numFmtId="0" fontId="0" fillId="0" borderId="4" xfId="0" applyBorder="1"/>
    <xf numFmtId="0" fontId="2" fillId="3" borderId="1" xfId="0" applyFont="1" applyFill="1" applyBorder="1"/>
    <xf numFmtId="0" fontId="2" fillId="3" borderId="5" xfId="0" applyFont="1" applyFill="1" applyBorder="1"/>
    <xf numFmtId="0" fontId="0" fillId="0" borderId="5" xfId="0" applyBorder="1"/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/>
    <xf numFmtId="17" fontId="4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left"/>
    </xf>
    <xf numFmtId="49" fontId="6" fillId="3" borderId="2" xfId="0" applyNumberFormat="1" applyFont="1" applyFill="1" applyBorder="1" applyAlignment="1">
      <alignment horizontal="center"/>
    </xf>
    <xf numFmtId="0" fontId="0" fillId="3" borderId="5" xfId="0" applyFill="1" applyBorder="1"/>
    <xf numFmtId="0" fontId="2" fillId="0" borderId="3" xfId="0" applyFont="1" applyBorder="1"/>
    <xf numFmtId="43" fontId="0" fillId="0" borderId="8" xfId="1" applyFont="1" applyBorder="1"/>
    <xf numFmtId="43" fontId="0" fillId="0" borderId="9" xfId="1" applyFont="1" applyBorder="1"/>
    <xf numFmtId="0" fontId="9" fillId="3" borderId="7" xfId="0" applyFont="1" applyFill="1" applyBorder="1" applyAlignment="1">
      <alignment horizontal="center" vertical="center"/>
    </xf>
    <xf numFmtId="43" fontId="0" fillId="0" borderId="8" xfId="1" applyFont="1" applyFill="1" applyBorder="1"/>
    <xf numFmtId="43" fontId="0" fillId="0" borderId="0" xfId="1" applyFont="1" applyFill="1" applyBorder="1"/>
    <xf numFmtId="43" fontId="0" fillId="0" borderId="9" xfId="1" applyFont="1" applyFill="1" applyBorder="1"/>
    <xf numFmtId="0" fontId="2" fillId="0" borderId="5" xfId="0" applyFont="1" applyBorder="1"/>
    <xf numFmtId="49" fontId="6" fillId="3" borderId="2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AB3D-B7E5-4300-BF6A-AEC2ECC46FF3}">
  <sheetPr>
    <tabColor rgb="FFFFC000"/>
  </sheetPr>
  <dimension ref="B2:D39"/>
  <sheetViews>
    <sheetView tabSelected="1" view="pageBreakPreview" zoomScale="93" zoomScaleNormal="100" zoomScaleSheetLayoutView="93" workbookViewId="0">
      <selection activeCell="C26" sqref="C26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30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22000</v>
      </c>
      <c r="D8" s="4"/>
    </row>
    <row r="9" spans="2:4" x14ac:dyDescent="0.25">
      <c r="B9" s="18" t="s">
        <v>1</v>
      </c>
      <c r="C9" s="19">
        <v>17000</v>
      </c>
      <c r="D9" s="4"/>
    </row>
    <row r="10" spans="2:4" x14ac:dyDescent="0.25">
      <c r="B10" s="18" t="s">
        <v>2</v>
      </c>
      <c r="C10" s="19">
        <v>16000</v>
      </c>
      <c r="D10" s="4"/>
    </row>
    <row r="11" spans="2:4" x14ac:dyDescent="0.25">
      <c r="B11" s="18" t="s">
        <v>3</v>
      </c>
      <c r="C11" s="22">
        <v>40000</v>
      </c>
      <c r="D11" s="4" t="s">
        <v>8</v>
      </c>
    </row>
    <row r="12" spans="2:4" x14ac:dyDescent="0.25">
      <c r="B12" s="18" t="s">
        <v>4</v>
      </c>
      <c r="C12" s="22">
        <v>31000</v>
      </c>
      <c r="D12" s="4" t="s">
        <v>9</v>
      </c>
    </row>
    <row r="13" spans="2:4" x14ac:dyDescent="0.25">
      <c r="B13" s="18" t="s">
        <v>18</v>
      </c>
      <c r="C13" s="22">
        <v>31000</v>
      </c>
      <c r="D13" s="4" t="s">
        <v>9</v>
      </c>
    </row>
    <row r="14" spans="2:4" ht="15.75" thickBot="1" x14ac:dyDescent="0.3">
      <c r="B14" s="25" t="s">
        <v>7</v>
      </c>
      <c r="C14" s="24">
        <v>63000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 t="s">
        <v>28</v>
      </c>
      <c r="C17" s="27" t="s">
        <v>25</v>
      </c>
      <c r="D17" s="16" t="s">
        <v>24</v>
      </c>
    </row>
    <row r="18" spans="2:4" ht="15.75" thickBot="1" x14ac:dyDescent="0.3">
      <c r="B18" s="6"/>
      <c r="C18" s="10" t="s">
        <v>17</v>
      </c>
      <c r="D18" s="9"/>
    </row>
    <row r="19" spans="2:4" x14ac:dyDescent="0.25">
      <c r="B19" s="18" t="s">
        <v>0</v>
      </c>
      <c r="C19" s="19">
        <v>23000</v>
      </c>
      <c r="D19" s="4"/>
    </row>
    <row r="20" spans="2:4" x14ac:dyDescent="0.25">
      <c r="B20" s="18" t="s">
        <v>1</v>
      </c>
      <c r="C20" s="19">
        <v>18000</v>
      </c>
      <c r="D20" s="4" t="s">
        <v>10</v>
      </c>
    </row>
    <row r="21" spans="2:4" x14ac:dyDescent="0.25">
      <c r="B21" s="18" t="s">
        <v>2</v>
      </c>
      <c r="C21" s="19">
        <v>16000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22">
        <v>32000</v>
      </c>
      <c r="D23" s="4" t="s">
        <v>9</v>
      </c>
    </row>
    <row r="24" spans="2:4" x14ac:dyDescent="0.25">
      <c r="B24" s="18" t="s">
        <v>18</v>
      </c>
      <c r="C24" s="22">
        <v>32000</v>
      </c>
      <c r="D24" s="4" t="s">
        <v>9</v>
      </c>
    </row>
    <row r="25" spans="2:4" ht="15.75" thickBot="1" x14ac:dyDescent="0.3">
      <c r="B25" s="25" t="s">
        <v>7</v>
      </c>
      <c r="C25" s="24">
        <v>64000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27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26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29</v>
      </c>
      <c r="C34" s="13"/>
      <c r="D34" s="13"/>
    </row>
    <row r="38" spans="2:4" x14ac:dyDescent="0.25">
      <c r="B38" s="11" t="s">
        <v>12</v>
      </c>
    </row>
    <row r="39" spans="2:4" x14ac:dyDescent="0.25">
      <c r="B39" s="12">
        <f ca="1">TODAY()</f>
        <v>46204</v>
      </c>
    </row>
  </sheetData>
  <mergeCells count="1">
    <mergeCell ref="B3:D3"/>
  </mergeCells>
  <pageMargins left="0.7" right="0.7" top="0.75" bottom="0.75" header="0.3" footer="0.3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5A0E-8FD4-454C-8C56-06E785EF57B5}">
  <dimension ref="B2:D39"/>
  <sheetViews>
    <sheetView workbookViewId="0">
      <selection activeCell="I21" sqref="I21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23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21000</v>
      </c>
      <c r="D8" s="4"/>
    </row>
    <row r="9" spans="2:4" x14ac:dyDescent="0.25">
      <c r="B9" s="18" t="s">
        <v>1</v>
      </c>
      <c r="C9" s="19">
        <v>16000</v>
      </c>
      <c r="D9" s="4"/>
    </row>
    <row r="10" spans="2:4" x14ac:dyDescent="0.25">
      <c r="B10" s="18" t="s">
        <v>2</v>
      </c>
      <c r="C10" s="19">
        <v>15000</v>
      </c>
      <c r="D10" s="4"/>
    </row>
    <row r="11" spans="2:4" x14ac:dyDescent="0.25">
      <c r="B11" s="18" t="s">
        <v>3</v>
      </c>
      <c r="C11" s="22">
        <v>39000</v>
      </c>
      <c r="D11" s="4" t="s">
        <v>8</v>
      </c>
    </row>
    <row r="12" spans="2:4" x14ac:dyDescent="0.25">
      <c r="B12" s="18" t="s">
        <v>4</v>
      </c>
      <c r="C12" s="22">
        <v>52000</v>
      </c>
      <c r="D12" s="4" t="s">
        <v>9</v>
      </c>
    </row>
    <row r="13" spans="2:4" x14ac:dyDescent="0.25">
      <c r="B13" s="18" t="s">
        <v>18</v>
      </c>
      <c r="C13" s="22">
        <v>50000</v>
      </c>
      <c r="D13" s="4" t="s">
        <v>9</v>
      </c>
    </row>
    <row r="14" spans="2:4" ht="15.75" thickBot="1" x14ac:dyDescent="0.3">
      <c r="B14" s="25" t="s">
        <v>7</v>
      </c>
      <c r="C14" s="24">
        <v>82000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 t="s">
        <v>28</v>
      </c>
      <c r="C17" s="27" t="s">
        <v>25</v>
      </c>
      <c r="D17" s="16" t="s">
        <v>24</v>
      </c>
    </row>
    <row r="18" spans="2:4" ht="15.75" thickBot="1" x14ac:dyDescent="0.3">
      <c r="B18" s="6"/>
      <c r="C18" s="10" t="s">
        <v>17</v>
      </c>
      <c r="D18" s="9"/>
    </row>
    <row r="19" spans="2:4" x14ac:dyDescent="0.25">
      <c r="B19" s="18" t="s">
        <v>0</v>
      </c>
      <c r="C19" s="19">
        <v>22000</v>
      </c>
      <c r="D19" s="4"/>
    </row>
    <row r="20" spans="2:4" x14ac:dyDescent="0.25">
      <c r="B20" s="18" t="s">
        <v>1</v>
      </c>
      <c r="C20" s="19">
        <v>18000</v>
      </c>
      <c r="D20" s="4"/>
    </row>
    <row r="21" spans="2:4" x14ac:dyDescent="0.25">
      <c r="B21" s="18" t="s">
        <v>2</v>
      </c>
      <c r="C21" s="19">
        <v>16000</v>
      </c>
      <c r="D21" s="4"/>
    </row>
    <row r="22" spans="2:4" x14ac:dyDescent="0.25">
      <c r="B22" s="18" t="s">
        <v>3</v>
      </c>
      <c r="C22" s="22">
        <v>42000</v>
      </c>
      <c r="D22" s="4" t="s">
        <v>8</v>
      </c>
    </row>
    <row r="23" spans="2:4" x14ac:dyDescent="0.25">
      <c r="B23" s="18" t="s">
        <v>4</v>
      </c>
      <c r="C23" s="22">
        <v>53000</v>
      </c>
      <c r="D23" s="4" t="s">
        <v>9</v>
      </c>
    </row>
    <row r="24" spans="2:4" x14ac:dyDescent="0.25">
      <c r="B24" s="18" t="s">
        <v>18</v>
      </c>
      <c r="C24" s="22">
        <v>55000</v>
      </c>
      <c r="D24" s="4" t="s">
        <v>9</v>
      </c>
    </row>
    <row r="25" spans="2:4" ht="15.75" thickBot="1" x14ac:dyDescent="0.3">
      <c r="B25" s="25" t="s">
        <v>7</v>
      </c>
      <c r="C25" s="24">
        <v>84000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27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26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22</v>
      </c>
      <c r="C34" s="13"/>
      <c r="D34" s="13"/>
    </row>
    <row r="38" spans="2:4" x14ac:dyDescent="0.25">
      <c r="B38" s="11" t="s">
        <v>12</v>
      </c>
    </row>
    <row r="39" spans="2:4" x14ac:dyDescent="0.25">
      <c r="B39" s="12">
        <f ca="1">TODAY()</f>
        <v>46204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9038-9D52-4ADC-B87B-9E461D53EDBF}">
  <dimension ref="B2:D41"/>
  <sheetViews>
    <sheetView view="pageBreakPreview" topLeftCell="A6" zoomScaleNormal="100" zoomScaleSheetLayoutView="100" workbookViewId="0">
      <selection activeCell="C20" sqref="C20:C25"/>
    </sheetView>
  </sheetViews>
  <sheetFormatPr baseColWidth="10" defaultRowHeight="15" x14ac:dyDescent="0.25"/>
  <cols>
    <col min="1" max="1" width="8" customWidth="1"/>
    <col min="2" max="2" width="25" customWidth="1"/>
    <col min="3" max="3" width="15.7109375" customWidth="1"/>
    <col min="4" max="4" width="11.42578125" customWidth="1"/>
    <col min="5" max="5" width="24.7109375" customWidth="1"/>
  </cols>
  <sheetData>
    <row r="2" spans="2:4" ht="15.75" thickBot="1" x14ac:dyDescent="0.3"/>
    <row r="3" spans="2:4" ht="19.5" thickBot="1" x14ac:dyDescent="0.35">
      <c r="B3" s="28" t="s">
        <v>15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16"/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19000</v>
      </c>
      <c r="D8" s="4"/>
    </row>
    <row r="9" spans="2:4" x14ac:dyDescent="0.25">
      <c r="B9" s="18" t="s">
        <v>1</v>
      </c>
      <c r="C9" s="19">
        <v>15000</v>
      </c>
      <c r="D9" s="4"/>
    </row>
    <row r="10" spans="2:4" x14ac:dyDescent="0.25">
      <c r="B10" s="18" t="s">
        <v>2</v>
      </c>
      <c r="C10" s="19">
        <v>16000</v>
      </c>
      <c r="D10" s="4"/>
    </row>
    <row r="11" spans="2:4" x14ac:dyDescent="0.25">
      <c r="B11" s="18" t="s">
        <v>3</v>
      </c>
      <c r="C11" s="19">
        <v>39000</v>
      </c>
      <c r="D11" s="4" t="s">
        <v>8</v>
      </c>
    </row>
    <row r="12" spans="2:4" x14ac:dyDescent="0.25">
      <c r="B12" s="18" t="s">
        <v>4</v>
      </c>
      <c r="C12" s="19">
        <v>28000</v>
      </c>
      <c r="D12" s="4" t="s">
        <v>9</v>
      </c>
    </row>
    <row r="13" spans="2:4" x14ac:dyDescent="0.25">
      <c r="B13" s="18" t="s">
        <v>18</v>
      </c>
      <c r="C13" s="19">
        <v>32000</v>
      </c>
      <c r="D13" s="4"/>
    </row>
    <row r="14" spans="2:4" ht="15.75" thickBot="1" x14ac:dyDescent="0.3">
      <c r="B14" s="25" t="s">
        <v>7</v>
      </c>
      <c r="C14" s="20">
        <v>52500</v>
      </c>
      <c r="D14" s="3" t="s">
        <v>10</v>
      </c>
    </row>
    <row r="15" spans="2:4" ht="15.75" hidden="1" thickBot="1" x14ac:dyDescent="0.3">
      <c r="B15" s="7"/>
      <c r="C15" s="20"/>
      <c r="D15" s="3"/>
    </row>
    <row r="16" spans="2:4" x14ac:dyDescent="0.25">
      <c r="C16" s="2"/>
    </row>
    <row r="17" spans="2:4" ht="15.75" thickBot="1" x14ac:dyDescent="0.3">
      <c r="C17" s="2"/>
    </row>
    <row r="18" spans="2:4" x14ac:dyDescent="0.25">
      <c r="B18" s="5"/>
      <c r="C18" s="8" t="s">
        <v>6</v>
      </c>
      <c r="D18" s="16"/>
    </row>
    <row r="19" spans="2:4" ht="15.75" thickBot="1" x14ac:dyDescent="0.3">
      <c r="B19" s="6" t="s">
        <v>6</v>
      </c>
      <c r="C19" s="10" t="s">
        <v>17</v>
      </c>
      <c r="D19" s="9"/>
    </row>
    <row r="20" spans="2:4" x14ac:dyDescent="0.25">
      <c r="B20" s="18" t="s">
        <v>0</v>
      </c>
      <c r="C20" s="19">
        <v>21000</v>
      </c>
      <c r="D20" s="4"/>
    </row>
    <row r="21" spans="2:4" x14ac:dyDescent="0.25">
      <c r="B21" s="18" t="s">
        <v>1</v>
      </c>
      <c r="C21" s="19">
        <v>16000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19">
        <v>28000</v>
      </c>
      <c r="D23" s="4" t="s">
        <v>9</v>
      </c>
    </row>
    <row r="24" spans="2:4" x14ac:dyDescent="0.25">
      <c r="B24" s="18" t="s">
        <v>18</v>
      </c>
      <c r="C24" s="22">
        <v>36000</v>
      </c>
      <c r="D24" s="4"/>
    </row>
    <row r="25" spans="2:4" ht="15.75" thickBot="1" x14ac:dyDescent="0.3">
      <c r="B25" s="25" t="s">
        <v>7</v>
      </c>
      <c r="C25" s="24">
        <v>54000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C28" s="23"/>
    </row>
    <row r="29" spans="2:4" x14ac:dyDescent="0.25">
      <c r="C29" s="23"/>
    </row>
    <row r="30" spans="2:4" x14ac:dyDescent="0.25">
      <c r="B30" s="15" t="s">
        <v>16</v>
      </c>
      <c r="C30" s="13"/>
      <c r="D30" s="13"/>
    </row>
    <row r="31" spans="2:4" x14ac:dyDescent="0.25">
      <c r="B31" s="15"/>
      <c r="C31" s="13"/>
      <c r="D31" s="13"/>
    </row>
    <row r="32" spans="2:4" x14ac:dyDescent="0.25">
      <c r="B32" s="14" t="s">
        <v>13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11</v>
      </c>
      <c r="C34" s="13"/>
      <c r="D34" s="13"/>
    </row>
    <row r="35" spans="2:4" x14ac:dyDescent="0.25">
      <c r="B35" s="14"/>
      <c r="C35" s="13"/>
      <c r="D35" s="13"/>
    </row>
    <row r="36" spans="2:4" x14ac:dyDescent="0.25">
      <c r="B36" s="14" t="s">
        <v>19</v>
      </c>
      <c r="C36" s="13"/>
      <c r="D36" s="13"/>
    </row>
    <row r="40" spans="2:4" x14ac:dyDescent="0.25">
      <c r="B40" s="11" t="s">
        <v>12</v>
      </c>
    </row>
    <row r="41" spans="2:4" x14ac:dyDescent="0.25">
      <c r="B41" s="12" t="s">
        <v>14</v>
      </c>
    </row>
  </sheetData>
  <mergeCells count="1">
    <mergeCell ref="B3:D3"/>
  </mergeCells>
  <pageMargins left="0.7" right="0.7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75B7-70F9-4BB1-8B5E-D5A9A34066AC}">
  <dimension ref="B2:D39"/>
  <sheetViews>
    <sheetView view="pageBreakPreview" zoomScaleNormal="100" zoomScaleSheetLayoutView="100" workbookViewId="0">
      <selection sqref="A1:XFD1048576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23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19000</v>
      </c>
      <c r="D8" s="4"/>
    </row>
    <row r="9" spans="2:4" x14ac:dyDescent="0.25">
      <c r="B9" s="18" t="s">
        <v>1</v>
      </c>
      <c r="C9" s="19">
        <v>16000</v>
      </c>
      <c r="D9" s="4"/>
    </row>
    <row r="10" spans="2:4" x14ac:dyDescent="0.25">
      <c r="B10" s="18" t="s">
        <v>2</v>
      </c>
      <c r="C10" s="19">
        <v>15000</v>
      </c>
      <c r="D10" s="4"/>
    </row>
    <row r="11" spans="2:4" x14ac:dyDescent="0.25">
      <c r="B11" s="18" t="s">
        <v>3</v>
      </c>
      <c r="C11" s="22">
        <v>39000</v>
      </c>
      <c r="D11" s="4" t="s">
        <v>8</v>
      </c>
    </row>
    <row r="12" spans="2:4" x14ac:dyDescent="0.25">
      <c r="B12" s="18" t="s">
        <v>4</v>
      </c>
      <c r="C12" s="22">
        <v>44000</v>
      </c>
      <c r="D12" s="4" t="s">
        <v>9</v>
      </c>
    </row>
    <row r="13" spans="2:4" x14ac:dyDescent="0.25">
      <c r="B13" s="18" t="s">
        <v>18</v>
      </c>
      <c r="C13" s="22">
        <v>44000</v>
      </c>
      <c r="D13" s="4" t="s">
        <v>9</v>
      </c>
    </row>
    <row r="14" spans="2:4" ht="15.75" thickBot="1" x14ac:dyDescent="0.3">
      <c r="B14" s="25" t="s">
        <v>7</v>
      </c>
      <c r="C14" s="24">
        <v>54000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/>
      <c r="C17" s="27" t="s">
        <v>25</v>
      </c>
      <c r="D17" s="16" t="s">
        <v>24</v>
      </c>
    </row>
    <row r="18" spans="2:4" ht="15.75" thickBot="1" x14ac:dyDescent="0.3">
      <c r="B18" s="6" t="s">
        <v>6</v>
      </c>
      <c r="C18" s="10" t="s">
        <v>17</v>
      </c>
      <c r="D18" s="9"/>
    </row>
    <row r="19" spans="2:4" x14ac:dyDescent="0.25">
      <c r="B19" s="18" t="s">
        <v>0</v>
      </c>
      <c r="C19" s="19">
        <v>21000</v>
      </c>
      <c r="D19" s="4"/>
    </row>
    <row r="20" spans="2:4" x14ac:dyDescent="0.25">
      <c r="B20" s="18" t="s">
        <v>1</v>
      </c>
      <c r="C20" s="19">
        <v>18000</v>
      </c>
      <c r="D20" s="4"/>
    </row>
    <row r="21" spans="2:4" x14ac:dyDescent="0.25">
      <c r="B21" s="18" t="s">
        <v>2</v>
      </c>
      <c r="C21" s="19">
        <v>17000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22">
        <v>46000</v>
      </c>
      <c r="D23" s="4" t="s">
        <v>9</v>
      </c>
    </row>
    <row r="24" spans="2:4" x14ac:dyDescent="0.25">
      <c r="B24" s="18" t="s">
        <v>18</v>
      </c>
      <c r="C24" s="22">
        <v>46000</v>
      </c>
      <c r="D24" s="4" t="s">
        <v>9</v>
      </c>
    </row>
    <row r="25" spans="2:4" ht="15.75" thickBot="1" x14ac:dyDescent="0.3">
      <c r="B25" s="25" t="s">
        <v>7</v>
      </c>
      <c r="C25" s="24">
        <v>58000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13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20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22</v>
      </c>
      <c r="C34" s="13"/>
      <c r="D34" s="13"/>
    </row>
    <row r="38" spans="2:4" x14ac:dyDescent="0.25">
      <c r="B38" s="11" t="s">
        <v>12</v>
      </c>
    </row>
    <row r="39" spans="2:4" x14ac:dyDescent="0.25">
      <c r="B39" s="12" t="s">
        <v>21</v>
      </c>
    </row>
  </sheetData>
  <mergeCells count="1">
    <mergeCell ref="B3:D3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1F958016D3074883CDCCABC69C8BB2" ma:contentTypeVersion="7" ma:contentTypeDescription="Crear nuevo documento." ma:contentTypeScope="" ma:versionID="1715fd3fe00ffb736a0127566902b823">
  <xsd:schema xmlns:xsd="http://www.w3.org/2001/XMLSchema" xmlns:xs="http://www.w3.org/2001/XMLSchema" xmlns:p="http://schemas.microsoft.com/office/2006/metadata/properties" xmlns:ns3="d682d499-232f-4991-81c5-9b40c0acfa57" targetNamespace="http://schemas.microsoft.com/office/2006/metadata/properties" ma:root="true" ma:fieldsID="ffb3343941f110539e4899ebcfc3156b" ns3:_="">
    <xsd:import namespace="d682d499-232f-4991-81c5-9b40c0acf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2d499-232f-4991-81c5-9b40c0acf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82d499-232f-4991-81c5-9b40c0acfa57" xsi:nil="true"/>
  </documentManagement>
</p:properties>
</file>

<file path=customXml/itemProps1.xml><?xml version="1.0" encoding="utf-8"?>
<ds:datastoreItem xmlns:ds="http://schemas.openxmlformats.org/officeDocument/2006/customXml" ds:itemID="{41685A0A-524C-425D-AA92-F980186AB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8E611E-9E31-44A2-87B8-AD8311018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82d499-232f-4991-81c5-9b40c0acf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6DBBA0-8445-459E-BEA3-21EE42E8B35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682d499-232f-4991-81c5-9b40c0acfa57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COSTOS TARIFAS 2026</vt:lpstr>
      <vt:lpstr>COSTOS TOTALES  2026</vt:lpstr>
      <vt:lpstr> COSTOS TARIFAS</vt:lpstr>
      <vt:lpstr>COSTOS 2024</vt:lpstr>
      <vt:lpstr>' COSTOS TARIFAS'!Área_de_impresión</vt:lpstr>
      <vt:lpstr>'COSTOS 2024'!Área_de_impresión</vt:lpstr>
      <vt:lpstr>'COSTOS TARIFAS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Petral Operations</dc:creator>
  <cp:lastModifiedBy>Petral Operations</cp:lastModifiedBy>
  <cp:lastPrinted>2024-01-22T17:32:59Z</cp:lastPrinted>
  <dcterms:created xsi:type="dcterms:W3CDTF">2024-01-19T18:32:18Z</dcterms:created>
  <dcterms:modified xsi:type="dcterms:W3CDTF">2026-07-01T16:13:29Z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0x010100B21F958016D3074883CDCCABC69C8BB2</vt:lpwstr>
  </property>
</Properties>
</file>
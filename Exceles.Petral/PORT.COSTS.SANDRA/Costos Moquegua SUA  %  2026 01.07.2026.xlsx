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rguti\PETRAL.SMART.DASHBOARD\Exceles.Petral\PORT.COSTS.SANDRA\"/>
    </mc:Choice>
  </mc:AlternateContent>
  <xr:revisionPtr revIDLastSave="0" documentId="8_{299172B2-92CD-465D-966D-15D8E8FDF195}" xr6:coauthVersionLast="47" xr6:coauthVersionMax="47" xr10:uidLastSave="{00000000-0000-0000-0000-000000000000}"/>
  <bookViews>
    <workbookView xWindow="-23148" yWindow="-108" windowWidth="23256" windowHeight="12576" activeTab="8" xr2:uid="{00000000-000D-0000-FFFF-FFFF00000000}"/>
  </bookViews>
  <sheets>
    <sheet name="ILO" sheetId="4" r:id="rId1"/>
    <sheet name="ilo patio puerto" sheetId="18" state="hidden" r:id="rId2"/>
    <sheet name="MATARANI" sheetId="7" r:id="rId3"/>
    <sheet name="MARCONA" sheetId="9" r:id="rId4"/>
    <sheet name="CALLAO" sheetId="8" r:id="rId5"/>
    <sheet name="MEJILLONES.A" sheetId="5" r:id="rId6"/>
    <sheet name="MEJILLONES.INTERACID" sheetId="12" r:id="rId7"/>
    <sheet name="MEJILLONES.TERQUIM" sheetId="16" r:id="rId8"/>
    <sheet name="BARQUITO" sheetId="6" r:id="rId9"/>
    <sheet name="RESUMEN PERU" sheetId="11" r:id="rId10"/>
    <sheet name=" RESUMEN CHILE" sheetId="13" r:id="rId11"/>
    <sheet name="Hoja2" sheetId="15" state="hidden" r:id="rId12"/>
    <sheet name="Hoja1" sheetId="17" state="hidden" r:id="rId13"/>
    <sheet name="BOMAR PORT COST 2021-2024" sheetId="14" state="hidden" r:id="rId14"/>
  </sheets>
  <definedNames>
    <definedName name="_xlnm.Print_Area" localSheetId="10">' RESUMEN CHILE'!$A$1:$H$28</definedName>
    <definedName name="_xlnm.Print_Area" localSheetId="8">BARQUITO!$A$1:$G$44</definedName>
    <definedName name="_xlnm.Print_Area" localSheetId="4">CALLAO!$A$1:$G$36</definedName>
    <definedName name="_xlnm.Print_Area" localSheetId="11">Hoja2!$A$1:$G$15</definedName>
    <definedName name="_xlnm.Print_Area" localSheetId="0">ILO!$A$1:$G$38</definedName>
    <definedName name="_xlnm.Print_Area" localSheetId="3">MARCONA!$A$1:$G$40</definedName>
    <definedName name="_xlnm.Print_Area" localSheetId="2">MATARANI!$A$1:$G$41</definedName>
    <definedName name="_xlnm.Print_Area" localSheetId="5">MEJILLONES.A!$A$1:$G$37</definedName>
    <definedName name="_xlnm.Print_Area" localSheetId="7">MEJILLONES.TERQUIM!$A$1:$G$40</definedName>
    <definedName name="_xlnm.Print_Area" localSheetId="9">'RESUMEN PERU'!$A$1:$I$31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6" l="1"/>
  <c r="E33" i="6" s="1"/>
  <c r="D19" i="8"/>
  <c r="D19" i="5"/>
  <c r="B26" i="13"/>
  <c r="E9" i="11"/>
  <c r="E10" i="11"/>
  <c r="E7" i="11"/>
  <c r="E13" i="11" s="1"/>
  <c r="E16" i="11" s="1"/>
  <c r="D24" i="18"/>
  <c r="D27" i="18"/>
  <c r="E11" i="11"/>
  <c r="E8" i="11"/>
  <c r="D7" i="11"/>
  <c r="D14" i="16"/>
  <c r="D12" i="5"/>
  <c r="D23" i="16"/>
  <c r="D22" i="16"/>
  <c r="D15" i="16"/>
  <c r="D14" i="12"/>
  <c r="D13" i="5"/>
  <c r="E26" i="4" l="1"/>
  <c r="B30" i="11"/>
  <c r="E24" i="18" l="1"/>
  <c r="E20" i="18"/>
  <c r="E17" i="18"/>
  <c r="E15" i="18"/>
  <c r="E23" i="18"/>
  <c r="E18" i="18"/>
  <c r="E16" i="18"/>
  <c r="E14" i="18"/>
  <c r="E12" i="18"/>
  <c r="E10" i="18"/>
  <c r="E22" i="18"/>
  <c r="E21" i="18"/>
  <c r="E19" i="18"/>
  <c r="E13" i="18"/>
  <c r="E11" i="18"/>
  <c r="D32" i="7"/>
  <c r="G10" i="11"/>
  <c r="D11" i="13"/>
  <c r="D10" i="13"/>
  <c r="D29" i="5"/>
  <c r="E29" i="5" l="1"/>
  <c r="E14" i="5"/>
  <c r="E13" i="5"/>
  <c r="E27" i="5"/>
  <c r="E25" i="5"/>
  <c r="E24" i="5"/>
  <c r="E22" i="5"/>
  <c r="E21" i="5"/>
  <c r="E20" i="5"/>
  <c r="E19" i="5"/>
  <c r="E18" i="5"/>
  <c r="E15" i="5"/>
  <c r="E23" i="5"/>
  <c r="E12" i="5"/>
  <c r="D18" i="17"/>
  <c r="E17" i="17" s="1"/>
  <c r="F12" i="13"/>
  <c r="F10" i="13"/>
  <c r="D32" i="16"/>
  <c r="B25" i="13"/>
  <c r="D13" i="14"/>
  <c r="F9" i="13" l="1"/>
  <c r="E21" i="16"/>
  <c r="E24" i="16"/>
  <c r="E25" i="16"/>
  <c r="E26" i="16"/>
  <c r="E27" i="16"/>
  <c r="E30" i="16"/>
  <c r="E31" i="16"/>
  <c r="E18" i="16"/>
  <c r="E28" i="16"/>
  <c r="E22" i="16"/>
  <c r="E23" i="16"/>
  <c r="E18" i="17"/>
  <c r="E13" i="17"/>
  <c r="E14" i="17"/>
  <c r="E16" i="17"/>
  <c r="E10" i="17"/>
  <c r="F13" i="13"/>
  <c r="F16" i="13" s="1"/>
  <c r="E32" i="16"/>
  <c r="E15" i="16"/>
  <c r="E17" i="16"/>
  <c r="E16" i="16"/>
  <c r="E14" i="16"/>
  <c r="F8" i="14"/>
  <c r="F13" i="14" s="1"/>
  <c r="F16" i="14" s="1"/>
  <c r="G13" i="14"/>
  <c r="G16" i="14" s="1"/>
  <c r="E13" i="14"/>
  <c r="E16" i="14" s="1"/>
  <c r="D16" i="14"/>
  <c r="E18" i="14" l="1"/>
  <c r="E21" i="14" s="1"/>
  <c r="G18" i="14"/>
  <c r="G21" i="14" s="1"/>
  <c r="F18" i="14"/>
  <c r="F21" i="14" s="1"/>
  <c r="D21" i="14"/>
  <c r="D9" i="13" l="1"/>
  <c r="F6" i="15" l="1"/>
  <c r="F7" i="15"/>
  <c r="F8" i="15"/>
  <c r="F9" i="15"/>
  <c r="F5" i="15"/>
  <c r="R3" i="15" l="1"/>
  <c r="M3" i="15" l="1"/>
  <c r="F10" i="15"/>
  <c r="E10" i="15"/>
  <c r="D10" i="15"/>
  <c r="G11" i="13" l="1"/>
  <c r="G7" i="11" l="1"/>
  <c r="G12" i="13" l="1"/>
  <c r="E12" i="13"/>
  <c r="D12" i="13"/>
  <c r="G10" i="13"/>
  <c r="E10" i="13"/>
  <c r="D13" i="13" l="1"/>
  <c r="D16" i="13" s="1"/>
  <c r="D31" i="12" l="1"/>
  <c r="H7" i="11"/>
  <c r="H9" i="11"/>
  <c r="H11" i="11"/>
  <c r="F7" i="11"/>
  <c r="F11" i="11"/>
  <c r="F10" i="11"/>
  <c r="D9" i="11"/>
  <c r="D10" i="11"/>
  <c r="D11" i="11"/>
  <c r="E30" i="7"/>
  <c r="E21" i="12" l="1"/>
  <c r="E9" i="13"/>
  <c r="E13" i="13" s="1"/>
  <c r="E16" i="13" s="1"/>
  <c r="H13" i="11"/>
  <c r="E14" i="12"/>
  <c r="E26" i="12"/>
  <c r="E16" i="12"/>
  <c r="E24" i="12"/>
  <c r="E29" i="12"/>
  <c r="E15" i="12"/>
  <c r="E31" i="12"/>
  <c r="E17" i="12"/>
  <c r="E22" i="12"/>
  <c r="E20" i="12"/>
  <c r="E23" i="12"/>
  <c r="E25" i="12"/>
  <c r="E27" i="12"/>
  <c r="E27" i="7"/>
  <c r="E32" i="7"/>
  <c r="D32" i="4"/>
  <c r="E16" i="4" l="1"/>
  <c r="E18" i="4"/>
  <c r="E19" i="4"/>
  <c r="E21" i="4"/>
  <c r="E30" i="4"/>
  <c r="E22" i="4"/>
  <c r="E23" i="4"/>
  <c r="E25" i="4"/>
  <c r="E28" i="4"/>
  <c r="E29" i="4"/>
  <c r="E31" i="4"/>
  <c r="E24" i="4"/>
  <c r="E17" i="4"/>
  <c r="E32" i="4"/>
  <c r="G9" i="13" l="1"/>
  <c r="H16" i="11"/>
  <c r="F13" i="11"/>
  <c r="F16" i="11" s="1"/>
  <c r="G13" i="13" l="1"/>
  <c r="G16" i="13" s="1"/>
  <c r="D13" i="11"/>
  <c r="D16" i="11" s="1"/>
  <c r="E28" i="6" l="1"/>
  <c r="E30" i="6"/>
  <c r="E21" i="6"/>
  <c r="D32" i="9" l="1"/>
  <c r="E32" i="9" s="1"/>
  <c r="G13" i="11"/>
  <c r="G16" i="11" s="1"/>
  <c r="D27" i="8"/>
  <c r="E27" i="8" s="1"/>
  <c r="E15" i="9" l="1"/>
  <c r="E21" i="9"/>
  <c r="E16" i="9"/>
  <c r="E14" i="9"/>
  <c r="E29" i="9"/>
  <c r="E24" i="9"/>
  <c r="E22" i="9"/>
  <c r="E20" i="9"/>
  <c r="E26" i="9"/>
  <c r="E23" i="9"/>
  <c r="E30" i="9"/>
  <c r="E27" i="9"/>
  <c r="E25" i="9"/>
  <c r="E18" i="8"/>
  <c r="E22" i="8"/>
  <c r="E20" i="8"/>
  <c r="E24" i="8"/>
  <c r="E14" i="8"/>
  <c r="E15" i="8"/>
  <c r="E19" i="8"/>
  <c r="E21" i="8"/>
  <c r="E25" i="8"/>
  <c r="E16" i="7" l="1"/>
  <c r="E17" i="7"/>
  <c r="E21" i="7"/>
  <c r="E25" i="7"/>
  <c r="E29" i="7"/>
  <c r="E15" i="7"/>
  <c r="E18" i="7"/>
  <c r="E24" i="7"/>
  <c r="E26" i="7"/>
  <c r="E22" i="7"/>
  <c r="E23" i="7"/>
  <c r="E20" i="6"/>
  <c r="E22" i="6" l="1"/>
  <c r="E17" i="6"/>
  <c r="E31" i="6"/>
  <c r="E16" i="6"/>
  <c r="E27" i="6"/>
  <c r="E26" i="6"/>
  <c r="E25" i="6"/>
  <c r="E14" i="6"/>
  <c r="E24" i="6"/>
  <c r="E23" i="6"/>
  <c r="E15" i="6"/>
  <c r="E15" i="4" l="1"/>
</calcChain>
</file>

<file path=xl/sharedStrings.xml><?xml version="1.0" encoding="utf-8"?>
<sst xmlns="http://schemas.openxmlformats.org/spreadsheetml/2006/main" count="557" uniqueCount="228">
  <si>
    <t>US$</t>
  </si>
  <si>
    <t>A)</t>
  </si>
  <si>
    <t>Shifting Expenses</t>
  </si>
  <si>
    <t>B)</t>
  </si>
  <si>
    <t>General Port Expenses</t>
  </si>
  <si>
    <t>C)</t>
  </si>
  <si>
    <t>Agency Expenses</t>
  </si>
  <si>
    <t>Agency Fee</t>
  </si>
  <si>
    <t>T O T A L</t>
  </si>
  <si>
    <t>OBSERVACIONES :</t>
  </si>
  <si>
    <t>OBSERVACIONES</t>
  </si>
  <si>
    <t>Tarifa fija según Sanidad maritima.</t>
  </si>
  <si>
    <t>Immigration Authorities.</t>
  </si>
  <si>
    <t>ISPS Fee.</t>
  </si>
  <si>
    <t>Launch Hire.</t>
  </si>
  <si>
    <t>COMPARATIVO DE COSTOS B/T MOQUEGUA</t>
  </si>
  <si>
    <t>%</t>
  </si>
  <si>
    <t>ILO</t>
  </si>
  <si>
    <t>Private &amp; Dangerous cargo Watchmen</t>
  </si>
  <si>
    <t>Tarifa Direccion de Hidrografia y navegacion</t>
  </si>
  <si>
    <t>Tarifa APN.</t>
  </si>
  <si>
    <t>Practicaje</t>
  </si>
  <si>
    <t>Dockage /Muellaje</t>
  </si>
  <si>
    <t>Transtotal. Tarifa Fija por Nave.</t>
  </si>
  <si>
    <t xml:space="preserve">Region Moquegua. Tarifa </t>
  </si>
  <si>
    <t>Tarifa fija. Transtotal por Agenciamiento de Nave.</t>
  </si>
  <si>
    <t>Tarifa fija. Transtotal por Nave.</t>
  </si>
  <si>
    <t>Tarifa Port Opeartions $ 1,500 por maniobra.</t>
  </si>
  <si>
    <t>Remolcaje</t>
  </si>
  <si>
    <t>SPCC, Tarifa deAmarre y desamarre $ 300.00 , y  Muelle SPCC $ 0.05 x Trb x dia.</t>
  </si>
  <si>
    <t>*NO INCLUYE IGV.</t>
  </si>
  <si>
    <t xml:space="preserve">MEJILLONES </t>
  </si>
  <si>
    <t>Pilotage.</t>
  </si>
  <si>
    <t>Tarifa fija  según Autoridad  Maritima.</t>
  </si>
  <si>
    <t>Towage.</t>
  </si>
  <si>
    <t>Pilot Insurance.</t>
  </si>
  <si>
    <t>Tarifa Fija por 2 seguros de practico $80.00 c/u.</t>
  </si>
  <si>
    <t>Linesmen.</t>
  </si>
  <si>
    <t>Tarifa fija según Puerto Mejillones amarradores en tierra.</t>
  </si>
  <si>
    <t>Ligth  Dues.</t>
  </si>
  <si>
    <t>T.Fija.Mooring /unmooring  por maniobra/por lancha.</t>
  </si>
  <si>
    <t>Pilot /Authorities Transport.</t>
  </si>
  <si>
    <t>Transporte en lancha de Piloto  $ 70.00  c/u y Autoridades $ 220.00  .</t>
  </si>
  <si>
    <t>Tarifa fija según Puerto Mejillones.</t>
  </si>
  <si>
    <t>Tarifa fija según Policia de Investigacion de Chile.</t>
  </si>
  <si>
    <t>Health authorities.</t>
  </si>
  <si>
    <t>Tarifa fija según Sanidad Maritima.</t>
  </si>
  <si>
    <t>* ADELANTOS  POR  CADA VIAJES MENSUALES  $ 18,000.00 para B&amp;M.</t>
  </si>
  <si>
    <t>BARQUITO</t>
  </si>
  <si>
    <t>Tarifa fija según SMPs amarradores en tierra.</t>
  </si>
  <si>
    <t>T.Fija.Mooring /unmooring  por maniobra/por lancha .Atlantic service.</t>
  </si>
  <si>
    <t>Other port services.</t>
  </si>
  <si>
    <t>Arriendo &amp; Handling de Espias segun necesidad.</t>
  </si>
  <si>
    <t>MATARANI</t>
  </si>
  <si>
    <t>Tarifa de servicio integral-Tramarsa . Incluye Remolcaje , Practicaje , Lancha</t>
  </si>
  <si>
    <t xml:space="preserve">Acceso </t>
  </si>
  <si>
    <t>Tarifa de servicio integral-Tramarsa . Acceso $ 70.00 + IGV</t>
  </si>
  <si>
    <t>Recargos</t>
  </si>
  <si>
    <t>Tarifa Direccion de Hidrografia y Navegacion.</t>
  </si>
  <si>
    <t>Tarifa de Transtotal.Fija.Mooring /unmooring  por maniobra/por lancha.</t>
  </si>
  <si>
    <t>Tarifa de Transtotal.Fija.</t>
  </si>
  <si>
    <t>Tarifa Region Moquegua.</t>
  </si>
  <si>
    <t xml:space="preserve">Tarifa fija Transtotal por Agenciamiento de Nave.         </t>
  </si>
  <si>
    <t xml:space="preserve">*INCLUYE MUELLAJE. </t>
  </si>
  <si>
    <t xml:space="preserve">Tarifa fija.B&amp;M por Agenciamiento de Nave.        </t>
  </si>
  <si>
    <t xml:space="preserve">Tarifa fija.B&amp;M por Agenciamiento de Nave.                </t>
  </si>
  <si>
    <t xml:space="preserve">*NO INCLUYE MUELLAJE </t>
  </si>
  <si>
    <t>Loading Master</t>
  </si>
  <si>
    <t>CALLAO</t>
  </si>
  <si>
    <t>MARCONA</t>
  </si>
  <si>
    <t>Tarifa PSA MARINE ($4,980*Mnver + 18%vat) por maniobra.</t>
  </si>
  <si>
    <t xml:space="preserve"> Linesmen /amarre y desamarre</t>
  </si>
  <si>
    <t>Towage /Remolcaje</t>
  </si>
  <si>
    <t>Linesmen /amarre y desamarre</t>
  </si>
  <si>
    <t>Coordinator</t>
  </si>
  <si>
    <t>$ 200 per day +18%</t>
  </si>
  <si>
    <t>Launch  for Authorities</t>
  </si>
  <si>
    <t>$ 250 * maneuver +18%</t>
  </si>
  <si>
    <t xml:space="preserve">*NO INCLUYE MUELLAJE. </t>
  </si>
  <si>
    <t>USD</t>
  </si>
  <si>
    <t>TOTAL  USD</t>
  </si>
  <si>
    <t>*</t>
  </si>
  <si>
    <t>Port Operation &amp; Services- Practicaje</t>
  </si>
  <si>
    <t>Remolcaje PSA Marine</t>
  </si>
  <si>
    <t>MEJILLONES</t>
  </si>
  <si>
    <t>Tarifa PSA MARINE ( $18,000*Mnver + 18%vat) por maniobra 2.</t>
  </si>
  <si>
    <t>Practicaje.</t>
  </si>
  <si>
    <t>Aún no consideran una tarifa por el Uso de Amarradero o si se requerirá de una Lancha de Permanencia para los operativos,</t>
  </si>
  <si>
    <t>Tarifa PSA MARINE ($4,250*Launchboat + 18%vat) .(incluye 2 lanchas  y gavieras )</t>
  </si>
  <si>
    <t>* NO APLICA RECARGOS.</t>
  </si>
  <si>
    <t xml:space="preserve">Sanitary Inspection (Reception/Dispatch) </t>
  </si>
  <si>
    <t>Clearance Expenses (In/Out)</t>
  </si>
  <si>
    <t>Tarifa Direccion de Hidrografia y navegacion($0.03*GT coming from a national port)</t>
  </si>
  <si>
    <t>Las tarifas resaltadas corresponden a servicios licitados por Marcobre, para el cual la empresa ganadora fue PSA Marine; dichas tarifas se encuentran confirmadas.
Servicio de Remolcaje Stand By  a partir de 60 horas aplica  USD  3,000.00 diario por cada remolcador por dia y fraccion.
Aún no se ha confirmado por el lado del terminal si estarán considerando una tarifa por el Uso de Amarradero o si se requerirá de una Lancha de Permanencia para los operativos, lo cual incrementaría los costos de la proforma en caso se confirmen.
Se está considerando que la nave procede de un Puerto Nacional y será despachada a un Puerto Nacional.</t>
  </si>
  <si>
    <t>$40X HORA aproximado de  40 horas (Tarifa PSA Marine SA)</t>
  </si>
  <si>
    <t>Transportation</t>
  </si>
  <si>
    <t>Clearance (In/Out)</t>
  </si>
  <si>
    <t xml:space="preserve">Coordinator on board     </t>
  </si>
  <si>
    <t>Remolcaje Stand by.</t>
  </si>
  <si>
    <t>$ 3,000.00  * a partir de 60 horas.</t>
  </si>
  <si>
    <t>2do Remolcador</t>
  </si>
  <si>
    <t>1er Remolcador</t>
  </si>
  <si>
    <t xml:space="preserve">Lighthouse Dues                 </t>
  </si>
  <si>
    <t xml:space="preserve">Tarifa fija Transtotal </t>
  </si>
  <si>
    <t xml:space="preserve">  *RECARGOS: PSA MARINE</t>
  </si>
  <si>
    <t xml:space="preserve"> 25%  ENTRE 18 Y 24 HRS. LUN-SAB</t>
  </si>
  <si>
    <t xml:space="preserve"> 50%  ENTRE 00 Y 07 HRS. LUN-SAB</t>
  </si>
  <si>
    <t xml:space="preserve"> 50%  DOMINGOS Y FERIADOS</t>
  </si>
  <si>
    <t>Tarifa de servicio integral-Tramarsa  min .25% max 50%</t>
  </si>
  <si>
    <t>Southern /TISUR/APM</t>
  </si>
  <si>
    <t>MEJILLONES INTERACID</t>
  </si>
  <si>
    <t>Tarifa Fija Puerto Mejillones.</t>
  </si>
  <si>
    <t>Tugboat stand by</t>
  </si>
  <si>
    <t>Launch Hire./Lanchas</t>
  </si>
  <si>
    <t>Tarifa Ultratug.(Tarifario Publico )</t>
  </si>
  <si>
    <t>Tarifa fija según Puerto Mejillones. $ 62 x th 36 H</t>
  </si>
  <si>
    <t>Tarifa fija según Puerto Mejillones.por nominacion usd 2401.90</t>
  </si>
  <si>
    <t>B&amp;M /Remolcaje Stand by ULTRATUG</t>
  </si>
  <si>
    <t>B&amp;M/Remolcaje ULTRATUG</t>
  </si>
  <si>
    <t xml:space="preserve">B&amp;M / Dockage-Muellaje </t>
  </si>
  <si>
    <t>B&amp;M Agencia Maritima/Puerto Mejillones /Autoridad Maritima</t>
  </si>
  <si>
    <t>B&amp;M AGENTES MARITIMOS</t>
  </si>
  <si>
    <t>PUERTOS DE DESTINO</t>
  </si>
  <si>
    <t>*TOTAL  USD  SIN MUELLAJE</t>
  </si>
  <si>
    <t>TRANSTOTAL AGENCIA MARITIMA</t>
  </si>
  <si>
    <t>Transtotal Agencia Maritima.</t>
  </si>
  <si>
    <t>Petranso-Petrolera Transoceanica</t>
  </si>
  <si>
    <t>*TOTAL  USD</t>
  </si>
  <si>
    <r>
      <t xml:space="preserve">SIN IGV </t>
    </r>
    <r>
      <rPr>
        <b/>
        <i/>
        <sz val="12"/>
        <color rgb="FFC00000"/>
        <rFont val="Calibri"/>
        <family val="2"/>
        <scheme val="minor"/>
      </rPr>
      <t>*</t>
    </r>
  </si>
  <si>
    <t xml:space="preserve">*CARGA DE 13,500 TM -SUA </t>
  </si>
  <si>
    <t xml:space="preserve">H/P Naviera Petral </t>
  </si>
  <si>
    <t>* Incluye cargo de remolcadores  correspondiente a regulacion local con tarifa correspondiente  según acuerdo con remolcador Ultratug.</t>
  </si>
  <si>
    <t>* No incluye IGV.</t>
  </si>
  <si>
    <t>* No incluye Muellaje</t>
  </si>
  <si>
    <t>* No incluye recargos.</t>
  </si>
  <si>
    <t>* Informacion preparada en base a  proformas de Agente Maritimo B&amp;M.</t>
  </si>
  <si>
    <t xml:space="preserve">  para Barquito un aproximado de 40 horas de estadia.</t>
  </si>
  <si>
    <t xml:space="preserve">TRANSTOTAL </t>
  </si>
  <si>
    <t xml:space="preserve">B&amp;M </t>
  </si>
  <si>
    <t>TRANSTOTAL</t>
  </si>
  <si>
    <t>* Costo PSA Marine en Puerto Marcona  ( sin incluir recargos )</t>
  </si>
  <si>
    <t>Petranso Remolcadores   Tarifa minima   $ 800 por maniobra (2)   2 in 2 out</t>
  </si>
  <si>
    <t>Transportation/comunication</t>
  </si>
  <si>
    <t xml:space="preserve">*LIGHT DUES CHILE = USD 3.74 /GRT POR AÑO : USD 30,888.66
</t>
  </si>
  <si>
    <t>TOTAL  USD  SIN MUELLAJE-REMOLCAJE STAND BY BARQUITO</t>
  </si>
  <si>
    <t>Tisur Tarifa  $0.57 X Hora  (24 )X Eslora (134.16)</t>
  </si>
  <si>
    <t>USD$150* por dia + 18% IGV</t>
  </si>
  <si>
    <t>Launchboats Costs</t>
  </si>
  <si>
    <t>2nd tug navigation/10hrs rountrip.</t>
  </si>
  <si>
    <r>
      <t xml:space="preserve">A. Detalle de servicios. </t>
    </r>
    <r>
      <rPr>
        <b/>
        <i/>
        <sz val="11"/>
        <color theme="1"/>
        <rFont val="Calibri"/>
        <family val="2"/>
        <scheme val="minor"/>
      </rPr>
      <t>USD 1,800</t>
    </r>
  </si>
  <si>
    <t>2 lanchas para Amarra</t>
  </si>
  <si>
    <t>1 lancha para desamarra</t>
  </si>
  <si>
    <t>1 recepción</t>
  </si>
  <si>
    <t xml:space="preserve">1 despacho </t>
  </si>
  <si>
    <t xml:space="preserve">B. Servicios adicionales </t>
  </si>
  <si>
    <t xml:space="preserve">Adicional horario normal (hábil) </t>
  </si>
  <si>
    <t>Fondeo                : USD 340 X HR</t>
  </si>
  <si>
    <t>Viajes                   : USD 150 X HR</t>
  </si>
  <si>
    <t>Adicional horario nocturno y festivos</t>
  </si>
  <si>
    <t>Fondeo                : USD 510 X HR</t>
  </si>
  <si>
    <t>Viajes                   : USD 225 X HR.</t>
  </si>
  <si>
    <t xml:space="preserve"> Serv.Transporte Maritimo Atlantic Service.</t>
  </si>
  <si>
    <t>2017-2023</t>
  </si>
  <si>
    <t>Servicio de lanchas marre, desamarre, recepcion , despacho</t>
  </si>
  <si>
    <t>Recargos adicionales  fondeo / feriados y horas nocturnas/ por hora</t>
  </si>
  <si>
    <t>Recargos adicionales por  viajes / feriados y horas nocturnas/ por hora</t>
  </si>
  <si>
    <t>Recargos adicionales  viajes /horario normal / por hora</t>
  </si>
  <si>
    <t>Recargos adicionales  fondeo/horario normal / por hora</t>
  </si>
  <si>
    <t>INCREMENTO</t>
  </si>
  <si>
    <t>Enero 2024.</t>
  </si>
  <si>
    <t xml:space="preserve">Tarifa-PSA  $ 0.16 x  Trb.8,259 . </t>
  </si>
  <si>
    <t>Transportation/Comunication</t>
  </si>
  <si>
    <t>Tarifa de Transtotal.Fija.Mooring /unmooring  por maniobra/por lanch USD .80.00 xh.</t>
  </si>
  <si>
    <t>Mtons 13,500.00</t>
  </si>
  <si>
    <t>PUERTO DE DESTINO</t>
  </si>
  <si>
    <t>B&amp;M Agencia Maritima/Puerto Mejillones /Autoridad Maritima/Lanchas/Faros y Balizas/Pilot/Loading Master/Salud.</t>
  </si>
  <si>
    <t xml:space="preserve">B&amp;M /Lancha Stand by </t>
  </si>
  <si>
    <t>B&amp;M/Remolcaje ULTRATUG *</t>
  </si>
  <si>
    <t>TOTAL  USD  SIN MUELLAJE</t>
  </si>
  <si>
    <t>DIFERENCIAL POR AÑO USD</t>
  </si>
  <si>
    <t>DIFERENCIAL POR AÑO  %</t>
  </si>
  <si>
    <t>Nota: El incremento de tarifa en los costos  se origina principalmente  por  el incremento de tarifa de Remolcaje con Ultratug.</t>
  </si>
  <si>
    <t>*Incluye cargo de remolcadores  correspondiente a regulacion local, con tarifa correspondiente  acuerdo con Ultratug vigente desde el mes de Agosto 2023 hasta Agosto 2024.</t>
  </si>
  <si>
    <t>** De acuerdo a proformas de Agentes Maritimos B&amp;M .</t>
  </si>
  <si>
    <t>BOMAR LYNX</t>
  </si>
  <si>
    <t>COSTOS PORTUARIOS  2021-2024</t>
  </si>
  <si>
    <t>640 *TH /36 H</t>
  </si>
  <si>
    <t>H/P Naviera Petral / Sandra Galvez</t>
  </si>
  <si>
    <t>TERQUIM</t>
  </si>
  <si>
    <t>USD 3.74 /GRT por año./3 viajes.</t>
  </si>
  <si>
    <t>Tarifa Fija. 2024  $ 5,200  por maniobra mooring/unmooring- Remolcadores Ultratug Ltd.</t>
  </si>
  <si>
    <t>Hose conection</t>
  </si>
  <si>
    <t>Tarifa Ultratug.( Concepto exigido por Autoridad Martima) $675 por hora.</t>
  </si>
  <si>
    <t>COSTOS PORTUARIOS   BT MOQUEGUA 2026 SIN IGV.</t>
  </si>
  <si>
    <t>COSTOS PORTUARIOS   BT MOQUEGUA 2026</t>
  </si>
  <si>
    <t>* Informacion preparada en base a  proformas y tarifas por Agente Maritimo Transtotal , Psa Marine,Petranso, TISUR,APM,Port Operation aplicables a partir de Febrero 2026.</t>
  </si>
  <si>
    <t>ILO-PATIO PUERTO</t>
  </si>
  <si>
    <t>SIN IGV *</t>
  </si>
  <si>
    <t xml:space="preserve">Hose conection/Portalon  </t>
  </si>
  <si>
    <t>Transtotal.Fija.Mooring /unmooring  por maniobra/por lancha.$ 90.00</t>
  </si>
  <si>
    <t>Launch autoridades.</t>
  </si>
  <si>
    <t>Lanchas de por transporte de Autoridades.</t>
  </si>
  <si>
    <t>Tarifa fija según Sanidad maritima. S/1,284.00</t>
  </si>
  <si>
    <t>ILO PATIO PUERTO</t>
  </si>
  <si>
    <t>Transtotal.Fija.Mooring /unmooring ,pilot,posicionamiento por maniobra/por lancha.</t>
  </si>
  <si>
    <t>*NO INCLUYE  RECARGOS PSA MARINE/PETRANSO</t>
  </si>
  <si>
    <t>Time in port (hrs) 30 -Carga de 13,500.00TN SUA.</t>
  </si>
  <si>
    <t>Tarifa Fija. 2024  $ 2,800 * 3  por maniobra mooring/unmooring- Remolcadores Ultratug Ltd.</t>
  </si>
  <si>
    <t>5.72*LOA*TH /30 H Puerto Mejillones terquim</t>
  </si>
  <si>
    <t>Tarifa Fija. 2026 $ 2,800. maniobra mooring/unmooring- Remolcadores Ultratug Ltd.</t>
  </si>
  <si>
    <t xml:space="preserve">* INCLUYE MUELLAJE </t>
  </si>
  <si>
    <t>Carga de 13,500.00TN SUA.</t>
  </si>
  <si>
    <t xml:space="preserve">*LIGHT DUES CHILE = USD 4.07 /GRT POR AÑO : USD 33,614.13( 0.11 incremento 2026  USD  4.07 en USD 1,250.15)
</t>
  </si>
  <si>
    <t>* ADELANTOS  POR  CADA VIAJE MENSUALES  $ 18,000.00 para B&amp;M.</t>
  </si>
  <si>
    <t>*LIGHT DUES CHILE = USD 4.07 /GRT POR AÑO : USD 33,614.13 /15 viajes aprox</t>
  </si>
  <si>
    <t>3.99 *loa*36 h</t>
  </si>
  <si>
    <t xml:space="preserve">USD71.92 por hora (28 H) </t>
  </si>
  <si>
    <t>Tarifa-PSA Marine  $ 0.16 x  Trb.8259</t>
  </si>
  <si>
    <t>Tarifa APM $1.50 por hora o fraccion.</t>
  </si>
  <si>
    <t>Petranso Remolcadores   Tarifa $ 0.18 x Trb 8,259, sujeta a 10% descuentos, posicionamiento $ 1400</t>
  </si>
  <si>
    <t>Petranso Remolcadores   Tarifa $ 0.1785 x Trb 8259 sujeta a 10% descuentos, posicionamiento $ 1400</t>
  </si>
  <si>
    <t>Tarifa fija.B&amp;M .</t>
  </si>
  <si>
    <t>En base a 30 horas de operación.</t>
  </si>
  <si>
    <t>Eslora        :          134.16 mtrs.</t>
  </si>
  <si>
    <t>DW            :          14,298.00 mtons.</t>
  </si>
  <si>
    <t>GRT           :          8,259.00 mtons.</t>
  </si>
  <si>
    <t>*DE ACUERDO A PROFORMA ENVIADA POR  B&amp;M .</t>
  </si>
  <si>
    <t>*DE ACUERDO A PROFORMA ENVIADA POR  B&amp;M.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</si>
</sst>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409]#,##0.00"/>
    <numFmt numFmtId="166" formatCode="[$$-540A]#,##0.00"/>
  </numFmts>
  <fonts count="81" x14ac:knownFonts="1">
    <font>
      <sz val="11"/>
      <color theme="1"/>
      <name val="Calibri"/>
      <family val="2"/>
      <scheme val="minor"/>
    </font>
    <font>
      <b/>
      <i/>
      <sz val="10"/>
      <name val="Arial"/>
      <family val="2"/>
    </font>
    <font>
      <b/>
      <i/>
      <sz val="12"/>
      <name val="Arial"/>
      <family val="2"/>
    </font>
    <font>
      <b/>
      <i/>
      <u/>
      <sz val="10"/>
      <name val="Arial"/>
      <family val="2"/>
    </font>
    <font>
      <sz val="10"/>
      <name val="Arial"/>
      <family val="2"/>
    </font>
    <font>
      <b/>
      <i/>
      <u/>
      <sz val="14"/>
      <name val="Arial"/>
      <family val="2"/>
    </font>
    <font>
      <b/>
      <i/>
      <u/>
      <sz val="12"/>
      <name val="Arial"/>
      <family val="2"/>
    </font>
    <font>
      <b/>
      <i/>
      <sz val="10"/>
      <color rgb="FFC00000"/>
      <name val="Arial"/>
      <family val="2"/>
    </font>
    <font>
      <b/>
      <sz val="10"/>
      <name val="Arial"/>
      <family val="2"/>
    </font>
    <font>
      <sz val="11"/>
      <color theme="1"/>
      <name val="Arial"/>
      <family val="2"/>
    </font>
    <font>
      <sz val="10"/>
      <color theme="1"/>
      <name val="Arial"/>
      <family val="2"/>
    </font>
    <font>
      <b/>
      <i/>
      <sz val="10"/>
      <color rgb="FFFF0000"/>
      <name val="Arial"/>
      <family val="2"/>
    </font>
    <font>
      <b/>
      <sz val="10"/>
      <color theme="1"/>
      <name val="Arial"/>
      <family val="2"/>
    </font>
    <font>
      <b/>
      <u/>
      <sz val="12"/>
      <name val="Arial"/>
      <family val="2"/>
    </font>
    <font>
      <b/>
      <sz val="12"/>
      <name val="Arial"/>
      <family val="2"/>
    </font>
    <font>
      <b/>
      <sz val="10"/>
      <color rgb="FFC00000"/>
      <name val="Arial"/>
      <family val="2"/>
    </font>
    <font>
      <sz val="12"/>
      <color rgb="FF201F1E"/>
      <name val="Arial"/>
      <family val="2"/>
    </font>
    <font>
      <sz val="12"/>
      <color rgb="FF201F1E"/>
      <name val="Calibri"/>
      <family val="2"/>
    </font>
    <font>
      <sz val="11"/>
      <color rgb="FF1F497D"/>
      <name val="Calibri"/>
      <family val="2"/>
    </font>
    <font>
      <sz val="11"/>
      <color theme="1"/>
      <name val="Calibri"/>
      <family val="2"/>
      <scheme val="minor"/>
    </font>
    <font>
      <b/>
      <sz val="16"/>
      <color theme="1"/>
      <name val="Calibri"/>
      <family val="2"/>
      <scheme val="minor"/>
    </font>
    <font>
      <b/>
      <i/>
      <sz val="16"/>
      <color theme="1"/>
      <name val="Calibri"/>
      <family val="2"/>
      <scheme val="minor"/>
    </font>
    <font>
      <b/>
      <i/>
      <sz val="18"/>
      <color theme="1"/>
      <name val="Calibri"/>
      <family val="2"/>
      <scheme val="minor"/>
    </font>
    <font>
      <b/>
      <i/>
      <sz val="18"/>
      <color rgb="FFC00000"/>
      <name val="Calibri"/>
      <family val="2"/>
      <scheme val="minor"/>
    </font>
    <font>
      <b/>
      <i/>
      <sz val="18"/>
      <name val="Calibri"/>
      <family val="2"/>
      <scheme val="minor"/>
    </font>
    <font>
      <b/>
      <i/>
      <u/>
      <sz val="20"/>
      <color theme="1"/>
      <name val="Calibri"/>
      <family val="2"/>
      <scheme val="minor"/>
    </font>
    <font>
      <sz val="11"/>
      <name val="Arial"/>
      <family val="2"/>
    </font>
    <font>
      <b/>
      <i/>
      <sz val="10"/>
      <color theme="8" tint="-0.499984740745262"/>
      <name val="Arial"/>
      <family val="2"/>
    </font>
    <font>
      <b/>
      <sz val="10"/>
      <color theme="8" tint="-0.499984740745262"/>
      <name val="Arial"/>
      <family val="2"/>
    </font>
    <font>
      <b/>
      <i/>
      <sz val="18"/>
      <color theme="1" tint="0.249977111117893"/>
      <name val="Calibri"/>
      <family val="2"/>
      <scheme val="minor"/>
    </font>
    <font>
      <b/>
      <sz val="10"/>
      <color rgb="FF002060"/>
      <name val="Arial"/>
      <family val="2"/>
    </font>
    <font>
      <b/>
      <u/>
      <sz val="12"/>
      <color rgb="FF002060"/>
      <name val="Arial"/>
      <family val="2"/>
    </font>
    <font>
      <b/>
      <sz val="12"/>
      <color rgb="FF002060"/>
      <name val="Arial"/>
      <family val="2"/>
    </font>
    <font>
      <b/>
      <i/>
      <sz val="12"/>
      <color rgb="FF002060"/>
      <name val="Arial"/>
      <family val="2"/>
    </font>
    <font>
      <sz val="18"/>
      <color theme="1"/>
      <name val="Calibri"/>
      <family val="2"/>
      <scheme val="minor"/>
    </font>
    <font>
      <b/>
      <i/>
      <sz val="14"/>
      <color theme="1"/>
      <name val="Arial"/>
      <family val="2"/>
    </font>
    <font>
      <b/>
      <i/>
      <sz val="14"/>
      <name val="Arial"/>
      <family val="2"/>
    </font>
    <font>
      <i/>
      <sz val="11"/>
      <color theme="1"/>
      <name val="Calibri"/>
      <family val="2"/>
      <scheme val="minor"/>
    </font>
    <font>
      <b/>
      <i/>
      <sz val="20"/>
      <name val="Calibri"/>
      <family val="2"/>
      <scheme val="minor"/>
    </font>
    <font>
      <b/>
      <i/>
      <sz val="20"/>
      <color theme="1"/>
      <name val="Calibri"/>
      <family val="2"/>
      <scheme val="minor"/>
    </font>
    <font>
      <sz val="20"/>
      <color theme="1"/>
      <name val="Calibri"/>
      <family val="2"/>
      <scheme val="minor"/>
    </font>
    <font>
      <b/>
      <i/>
      <sz val="11"/>
      <color theme="1"/>
      <name val="Calibri"/>
      <family val="2"/>
      <scheme val="minor"/>
    </font>
    <font>
      <b/>
      <i/>
      <sz val="12"/>
      <color theme="1"/>
      <name val="Calibri"/>
      <family val="2"/>
      <scheme val="minor"/>
    </font>
    <font>
      <b/>
      <i/>
      <sz val="12"/>
      <color rgb="FFC00000"/>
      <name val="Calibri"/>
      <family val="2"/>
      <scheme val="minor"/>
    </font>
    <font>
      <b/>
      <sz val="10"/>
      <color theme="4" tint="-0.499984740745262"/>
      <name val="Arial"/>
      <family val="2"/>
    </font>
    <font>
      <sz val="11"/>
      <color rgb="FFC00000"/>
      <name val="Calibri"/>
      <family val="2"/>
      <scheme val="minor"/>
    </font>
    <font>
      <sz val="12"/>
      <name val="Calibri"/>
      <family val="2"/>
      <scheme val="minor"/>
    </font>
    <font>
      <b/>
      <i/>
      <sz val="11"/>
      <name val="Arial"/>
      <family val="2"/>
    </font>
    <font>
      <sz val="11"/>
      <name val="Calibri"/>
      <family val="2"/>
      <scheme val="minor"/>
    </font>
    <font>
      <b/>
      <i/>
      <sz val="18"/>
      <color rgb="FF002060"/>
      <name val="Calibri"/>
      <family val="2"/>
      <scheme val="minor"/>
    </font>
    <font>
      <b/>
      <i/>
      <sz val="10"/>
      <color theme="1"/>
      <name val="Arial"/>
      <family val="2"/>
    </font>
    <font>
      <sz val="11"/>
      <color rgb="FF201F1E"/>
      <name val="Calibri"/>
      <family val="2"/>
      <scheme val="minor"/>
    </font>
    <font>
      <b/>
      <i/>
      <sz val="16"/>
      <name val="Calibri"/>
      <family val="2"/>
      <scheme val="minor"/>
    </font>
    <font>
      <b/>
      <i/>
      <sz val="26"/>
      <color theme="4" tint="-0.499984740745262"/>
      <name val="Calibri"/>
      <family val="2"/>
      <scheme val="minor"/>
    </font>
    <font>
      <b/>
      <i/>
      <sz val="26"/>
      <color theme="1"/>
      <name val="Calibri"/>
      <family val="2"/>
      <scheme val="minor"/>
    </font>
    <font>
      <b/>
      <u/>
      <sz val="20"/>
      <color theme="1"/>
      <name val="Arial"/>
      <family val="2"/>
    </font>
    <font>
      <b/>
      <sz val="12"/>
      <color rgb="FF201F1E"/>
      <name val="Arial"/>
      <family val="2"/>
    </font>
    <font>
      <b/>
      <sz val="11"/>
      <color theme="1"/>
      <name val="Arial"/>
      <family val="2"/>
    </font>
    <font>
      <b/>
      <sz val="18"/>
      <color theme="1"/>
      <name val="Calibri"/>
      <family val="2"/>
      <scheme val="minor"/>
    </font>
    <font>
      <b/>
      <sz val="18"/>
      <color rgb="FF002060"/>
      <name val="Calibri"/>
      <family val="2"/>
      <scheme val="minor"/>
    </font>
    <font>
      <b/>
      <sz val="18"/>
      <name val="Calibri"/>
      <family val="2"/>
      <scheme val="minor"/>
    </font>
    <font>
      <b/>
      <sz val="14"/>
      <color theme="1"/>
      <name val="Arial"/>
      <family val="2"/>
    </font>
    <font>
      <b/>
      <sz val="20"/>
      <name val="Calibri"/>
      <family val="2"/>
      <scheme val="minor"/>
    </font>
    <font>
      <b/>
      <sz val="20"/>
      <color theme="1"/>
      <name val="Calibri"/>
      <family val="2"/>
      <scheme val="minor"/>
    </font>
    <font>
      <b/>
      <sz val="14"/>
      <color theme="4" tint="-0.499984740745262"/>
      <name val="Calibri"/>
      <family val="2"/>
      <scheme val="minor"/>
    </font>
    <font>
      <b/>
      <sz val="18"/>
      <color theme="4" tint="-0.499984740745262"/>
      <name val="Calibri"/>
      <family val="2"/>
      <scheme val="minor"/>
    </font>
    <font>
      <b/>
      <sz val="20"/>
      <color theme="4" tint="-0.499984740745262"/>
      <name val="Calibri"/>
      <family val="2"/>
      <scheme val="minor"/>
    </font>
    <font>
      <b/>
      <sz val="18"/>
      <color theme="4" tint="-0.499984740745262"/>
      <name val="Arial"/>
      <family val="2"/>
    </font>
    <font>
      <sz val="11"/>
      <color rgb="FF002060"/>
      <name val="Calibri"/>
      <family val="2"/>
      <scheme val="minor"/>
    </font>
    <font>
      <b/>
      <i/>
      <sz val="10"/>
      <color theme="5" tint="-0.499984740745262"/>
      <name val="Arial"/>
      <family val="2"/>
    </font>
    <font>
      <i/>
      <sz val="10"/>
      <name val="Arial"/>
      <family val="2"/>
    </font>
    <font>
      <b/>
      <sz val="10"/>
      <color theme="3" tint="-0.249977111117893"/>
      <name val="Arial"/>
      <family val="2"/>
    </font>
    <font>
      <b/>
      <sz val="12"/>
      <color theme="1"/>
      <name val="Times New Roman"/>
      <family val="1"/>
    </font>
    <font>
      <b/>
      <i/>
      <sz val="12"/>
      <color theme="1"/>
      <name val="Times New Roman"/>
      <family val="1"/>
    </font>
    <font>
      <i/>
      <sz val="11"/>
      <color theme="1"/>
      <name val="Arial"/>
      <family val="2"/>
    </font>
    <font>
      <i/>
      <sz val="11"/>
      <color theme="5" tint="-0.499984740745262"/>
      <name val="Arial"/>
      <family val="2"/>
    </font>
    <font>
      <b/>
      <sz val="11"/>
      <name val="Arial"/>
      <family val="2"/>
    </font>
    <font>
      <i/>
      <sz val="11"/>
      <name val="Arial"/>
      <family val="2"/>
    </font>
    <font>
      <b/>
      <i/>
      <sz val="12"/>
      <name val="Times New Roman"/>
      <family val="1"/>
    </font>
    <font>
      <b/>
      <i/>
      <sz val="11"/>
      <name val="Times New Roman"/>
      <family val="1"/>
    </font>
    <font>
      <i/>
      <sz val="11"/>
      <name val="Times New Roman"/>
      <family val="1"/>
    </font>
  </fonts>
  <fills count="8">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9" tint="0.79998168889431442"/>
        <bgColor indexed="64"/>
      </patternFill>
    </fill>
  </fills>
  <borders count="46">
    <border>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s>
  <cellStyleXfs count="6">
    <xf numFmtId="0" fontId="0" fillId="0" borderId="0"/>
    <xf numFmtId="0" fontId="4" fillId="0" borderId="0"/>
    <xf numFmtId="0" fontId="4" fillId="0" borderId="0"/>
    <xf numFmtId="164" fontId="19" fillId="0" borderId="0" applyFont="0" applyFill="0" applyBorder="0" applyAlignment="0" applyProtection="0"/>
    <xf numFmtId="9" fontId="19" fillId="0" borderId="0" applyFont="0" applyFill="0" applyBorder="0" applyAlignment="0" applyProtection="0"/>
    <xf numFmtId="0" fontId="4" fillId="0" borderId="0"/>
  </cellStyleXfs>
  <cellXfs count="331">
    <xf numFmtId="0" fontId="0" fillId="0" borderId="0" xfId="0"/>
    <xf numFmtId="0" fontId="0" fillId="0" borderId="2" xfId="0" applyBorder="1"/>
    <xf numFmtId="0" fontId="0" fillId="0" borderId="5" xfId="0" applyBorder="1"/>
    <xf numFmtId="0" fontId="2" fillId="0" borderId="0" xfId="0" applyFont="1" applyAlignment="1">
      <alignment horizontal="center"/>
    </xf>
    <xf numFmtId="0" fontId="1" fillId="0" borderId="0" xfId="0" applyFont="1"/>
    <xf numFmtId="0" fontId="1" fillId="0" borderId="5" xfId="0" applyFont="1" applyBorder="1"/>
    <xf numFmtId="0" fontId="2" fillId="0" borderId="8" xfId="0" applyFont="1" applyBorder="1" applyAlignment="1">
      <alignment horizontal="left"/>
    </xf>
    <xf numFmtId="0" fontId="0" fillId="0" borderId="6" xfId="0" applyBorder="1"/>
    <xf numFmtId="0" fontId="9" fillId="0" borderId="0" xfId="0" applyFont="1"/>
    <xf numFmtId="0" fontId="9" fillId="0" borderId="1" xfId="0" applyFont="1" applyBorder="1"/>
    <xf numFmtId="0" fontId="11" fillId="0" borderId="0" xfId="0" applyFont="1" applyAlignment="1">
      <alignment vertical="center"/>
    </xf>
    <xf numFmtId="0" fontId="11" fillId="0" borderId="1" xfId="0" applyFont="1" applyBorder="1"/>
    <xf numFmtId="0" fontId="11" fillId="0" borderId="7" xfId="0" applyFont="1" applyBorder="1"/>
    <xf numFmtId="165" fontId="11" fillId="0" borderId="0" xfId="0" applyNumberFormat="1" applyFont="1"/>
    <xf numFmtId="165" fontId="9" fillId="0" borderId="0" xfId="0" applyNumberFormat="1" applyFont="1"/>
    <xf numFmtId="0" fontId="9" fillId="0" borderId="0" xfId="0" applyFont="1" applyAlignment="1">
      <alignment vertical="center"/>
    </xf>
    <xf numFmtId="0" fontId="6" fillId="2" borderId="12" xfId="1" applyFont="1" applyFill="1" applyBorder="1" applyAlignment="1">
      <alignment horizontal="center"/>
    </xf>
    <xf numFmtId="0" fontId="6" fillId="2" borderId="4" xfId="1" applyFont="1" applyFill="1" applyBorder="1" applyAlignment="1">
      <alignment horizontal="center"/>
    </xf>
    <xf numFmtId="0" fontId="2" fillId="2" borderId="13" xfId="1" applyFont="1" applyFill="1" applyBorder="1" applyAlignment="1">
      <alignment horizontal="center"/>
    </xf>
    <xf numFmtId="0" fontId="2" fillId="2" borderId="7" xfId="1" applyFont="1" applyFill="1" applyBorder="1" applyAlignment="1">
      <alignment horizontal="center"/>
    </xf>
    <xf numFmtId="0" fontId="1" fillId="2" borderId="14" xfId="1" applyFont="1" applyFill="1" applyBorder="1"/>
    <xf numFmtId="0" fontId="1" fillId="2" borderId="1" xfId="1" applyFont="1" applyFill="1" applyBorder="1"/>
    <xf numFmtId="4" fontId="8" fillId="2" borderId="14" xfId="1" applyNumberFormat="1" applyFont="1" applyFill="1" applyBorder="1" applyAlignment="1">
      <alignment horizontal="center" vertical="center"/>
    </xf>
    <xf numFmtId="4" fontId="8" fillId="2" borderId="1" xfId="1" applyNumberFormat="1" applyFont="1" applyFill="1" applyBorder="1" applyAlignment="1">
      <alignment horizontal="center" vertical="center"/>
    </xf>
    <xf numFmtId="4" fontId="8" fillId="2" borderId="14" xfId="1" applyNumberFormat="1" applyFont="1" applyFill="1" applyBorder="1" applyAlignment="1">
      <alignment horizontal="center"/>
    </xf>
    <xf numFmtId="4" fontId="7" fillId="2" borderId="14" xfId="1" quotePrefix="1" applyNumberFormat="1" applyFont="1" applyFill="1" applyBorder="1" applyAlignment="1">
      <alignment horizontal="center"/>
    </xf>
    <xf numFmtId="4" fontId="8" fillId="2" borderId="14" xfId="0" applyNumberFormat="1" applyFont="1" applyFill="1" applyBorder="1" applyAlignment="1">
      <alignment horizontal="center" vertical="center"/>
    </xf>
    <xf numFmtId="4" fontId="12" fillId="2" borderId="14" xfId="0" applyNumberFormat="1" applyFont="1" applyFill="1" applyBorder="1" applyAlignment="1">
      <alignment horizontal="center"/>
    </xf>
    <xf numFmtId="4" fontId="1" fillId="2" borderId="14" xfId="0" applyNumberFormat="1" applyFont="1" applyFill="1" applyBorder="1" applyAlignment="1">
      <alignment horizontal="center"/>
    </xf>
    <xf numFmtId="4" fontId="10" fillId="2" borderId="14" xfId="0" applyNumberFormat="1" applyFont="1" applyFill="1" applyBorder="1" applyAlignment="1">
      <alignment horizontal="center"/>
    </xf>
    <xf numFmtId="165" fontId="1" fillId="2" borderId="10" xfId="0" applyNumberFormat="1" applyFont="1" applyFill="1" applyBorder="1" applyAlignment="1">
      <alignment horizontal="center"/>
    </xf>
    <xf numFmtId="4" fontId="8" fillId="2" borderId="10" xfId="1" applyNumberFormat="1" applyFont="1" applyFill="1" applyBorder="1" applyAlignment="1">
      <alignment horizontal="center" vertical="center"/>
    </xf>
    <xf numFmtId="0" fontId="1" fillId="3" borderId="7" xfId="0" applyFont="1" applyFill="1" applyBorder="1" applyAlignment="1">
      <alignment horizontal="center"/>
    </xf>
    <xf numFmtId="0" fontId="9" fillId="3" borderId="1" xfId="0" applyFont="1" applyFill="1" applyBorder="1"/>
    <xf numFmtId="0" fontId="9" fillId="3" borderId="1" xfId="0" applyFont="1" applyFill="1" applyBorder="1" applyAlignment="1">
      <alignment horizontal="left" vertical="center"/>
    </xf>
    <xf numFmtId="0" fontId="9" fillId="3" borderId="1" xfId="0" applyFont="1" applyFill="1" applyBorder="1" applyAlignment="1">
      <alignment horizontal="left" vertical="center" wrapText="1"/>
    </xf>
    <xf numFmtId="0" fontId="9" fillId="3" borderId="1" xfId="0" applyFont="1" applyFill="1" applyBorder="1" applyAlignment="1">
      <alignment horizontal="left"/>
    </xf>
    <xf numFmtId="0" fontId="9" fillId="3" borderId="1" xfId="0" applyFont="1" applyFill="1" applyBorder="1" applyAlignment="1">
      <alignment horizontal="center"/>
    </xf>
    <xf numFmtId="0" fontId="3" fillId="3" borderId="4" xfId="0" applyFont="1" applyFill="1" applyBorder="1" applyAlignment="1">
      <alignment horizontal="center"/>
    </xf>
    <xf numFmtId="0" fontId="9" fillId="3" borderId="1" xfId="0" applyFont="1" applyFill="1" applyBorder="1" applyAlignment="1">
      <alignment horizontal="left" wrapText="1"/>
    </xf>
    <xf numFmtId="0" fontId="3" fillId="0" borderId="4" xfId="0" applyFont="1" applyBorder="1" applyAlignment="1">
      <alignment horizontal="center"/>
    </xf>
    <xf numFmtId="0" fontId="1" fillId="0" borderId="7" xfId="0" applyFont="1" applyBorder="1" applyAlignment="1">
      <alignment horizontal="center"/>
    </xf>
    <xf numFmtId="0" fontId="9" fillId="0" borderId="1" xfId="0" applyFont="1" applyBorder="1" applyAlignment="1">
      <alignment horizontal="left" vertical="center"/>
    </xf>
    <xf numFmtId="0" fontId="9" fillId="0" borderId="1" xfId="0" applyFont="1" applyBorder="1" applyAlignment="1">
      <alignment horizontal="left"/>
    </xf>
    <xf numFmtId="0" fontId="9" fillId="0" borderId="1" xfId="0" applyFont="1" applyBorder="1" applyAlignment="1">
      <alignment horizontal="left" vertical="center" wrapText="1"/>
    </xf>
    <xf numFmtId="0" fontId="9" fillId="0" borderId="1" xfId="0" applyFont="1" applyBorder="1" applyAlignment="1">
      <alignment horizontal="center"/>
    </xf>
    <xf numFmtId="4" fontId="1" fillId="2" borderId="14" xfId="1" quotePrefix="1" applyNumberFormat="1" applyFont="1" applyFill="1" applyBorder="1" applyAlignment="1">
      <alignment horizontal="center"/>
    </xf>
    <xf numFmtId="4" fontId="8" fillId="2" borderId="14" xfId="0" applyNumberFormat="1" applyFont="1" applyFill="1" applyBorder="1" applyAlignment="1">
      <alignment horizontal="center"/>
    </xf>
    <xf numFmtId="4" fontId="4" fillId="2" borderId="14" xfId="0" applyNumberFormat="1" applyFont="1" applyFill="1" applyBorder="1" applyAlignment="1">
      <alignment horizontal="center"/>
    </xf>
    <xf numFmtId="0" fontId="9" fillId="2" borderId="11" xfId="0" applyFont="1" applyFill="1" applyBorder="1" applyAlignment="1">
      <alignment horizontal="center"/>
    </xf>
    <xf numFmtId="0" fontId="13" fillId="2" borderId="12" xfId="1" applyFont="1" applyFill="1" applyBorder="1" applyAlignment="1">
      <alignment horizontal="center"/>
    </xf>
    <xf numFmtId="0" fontId="14" fillId="2" borderId="13" xfId="1" applyFont="1" applyFill="1" applyBorder="1" applyAlignment="1">
      <alignment horizontal="center"/>
    </xf>
    <xf numFmtId="0" fontId="8" fillId="2" borderId="14" xfId="1" applyFont="1" applyFill="1" applyBorder="1"/>
    <xf numFmtId="4" fontId="15" fillId="2" borderId="14" xfId="1" quotePrefix="1" applyNumberFormat="1" applyFont="1" applyFill="1" applyBorder="1" applyAlignment="1">
      <alignment horizontal="center"/>
    </xf>
    <xf numFmtId="165" fontId="8" fillId="2" borderId="10" xfId="0" applyNumberFormat="1" applyFont="1" applyFill="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5" xfId="0" applyBorder="1" applyAlignment="1">
      <alignment horizontal="center"/>
    </xf>
    <xf numFmtId="0" fontId="9" fillId="0" borderId="0" xfId="0" applyFont="1" applyAlignment="1">
      <alignment horizontal="center"/>
    </xf>
    <xf numFmtId="0" fontId="1" fillId="0" borderId="0" xfId="0" applyFont="1" applyAlignment="1">
      <alignment horizontal="center"/>
    </xf>
    <xf numFmtId="0" fontId="1" fillId="2" borderId="14" xfId="1" applyFont="1" applyFill="1" applyBorder="1" applyAlignment="1">
      <alignment horizontal="center"/>
    </xf>
    <xf numFmtId="165" fontId="9" fillId="0" borderId="0" xfId="0" applyNumberFormat="1" applyFont="1" applyAlignment="1">
      <alignment horizontal="center"/>
    </xf>
    <xf numFmtId="165" fontId="11" fillId="0" borderId="0" xfId="0" applyNumberFormat="1" applyFont="1" applyAlignment="1">
      <alignment horizontal="center"/>
    </xf>
    <xf numFmtId="0" fontId="11" fillId="0" borderId="1" xfId="0" applyFont="1" applyBorder="1" applyAlignment="1">
      <alignment horizontal="center"/>
    </xf>
    <xf numFmtId="0" fontId="11" fillId="0" borderId="0" xfId="0" applyFont="1" applyAlignment="1">
      <alignment horizontal="center"/>
    </xf>
    <xf numFmtId="0" fontId="0" fillId="0" borderId="6" xfId="0" applyBorder="1" applyAlignment="1">
      <alignment horizontal="center"/>
    </xf>
    <xf numFmtId="0" fontId="11" fillId="0" borderId="9" xfId="0" applyFont="1" applyBorder="1" applyAlignment="1">
      <alignment horizontal="center" vertical="top" wrapText="1"/>
    </xf>
    <xf numFmtId="0" fontId="11" fillId="0" borderId="7" xfId="0" applyFont="1" applyBorder="1" applyAlignment="1">
      <alignment horizontal="center"/>
    </xf>
    <xf numFmtId="0" fontId="1" fillId="0" borderId="5" xfId="0" applyFont="1" applyBorder="1" applyAlignment="1">
      <alignment horizontal="left"/>
    </xf>
    <xf numFmtId="0" fontId="1" fillId="0" borderId="0" xfId="0" applyFont="1" applyAlignment="1">
      <alignment horizontal="left"/>
    </xf>
    <xf numFmtId="0" fontId="0" fillId="0" borderId="5" xfId="0" applyBorder="1" applyAlignment="1">
      <alignment horizontal="left"/>
    </xf>
    <xf numFmtId="0" fontId="9" fillId="0" borderId="0" xfId="0" applyFont="1" applyAlignment="1">
      <alignment horizontal="left" vertical="center"/>
    </xf>
    <xf numFmtId="0" fontId="9" fillId="0" borderId="0" xfId="0" applyFont="1" applyAlignment="1">
      <alignment horizontal="left"/>
    </xf>
    <xf numFmtId="0" fontId="11" fillId="0" borderId="9" xfId="0" applyFont="1" applyBorder="1" applyAlignment="1">
      <alignment horizontal="left" vertical="top" wrapText="1"/>
    </xf>
    <xf numFmtId="0" fontId="6" fillId="2" borderId="12" xfId="1" applyFont="1" applyFill="1" applyBorder="1" applyAlignment="1">
      <alignment horizontal="center" wrapText="1"/>
    </xf>
    <xf numFmtId="0" fontId="2" fillId="2" borderId="13" xfId="1" applyFont="1" applyFill="1" applyBorder="1" applyAlignment="1">
      <alignment horizontal="center" wrapText="1"/>
    </xf>
    <xf numFmtId="0" fontId="0" fillId="0" borderId="1" xfId="0" applyBorder="1"/>
    <xf numFmtId="0" fontId="16"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20" fillId="3" borderId="0" xfId="0" applyFont="1" applyFill="1"/>
    <xf numFmtId="0" fontId="0" fillId="3" borderId="0" xfId="0" applyFill="1"/>
    <xf numFmtId="0" fontId="21" fillId="3" borderId="0" xfId="0" applyFont="1" applyFill="1"/>
    <xf numFmtId="0" fontId="25" fillId="3" borderId="0" xfId="0" applyFont="1" applyFill="1"/>
    <xf numFmtId="0" fontId="26" fillId="0" borderId="0" xfId="0" applyFont="1" applyAlignment="1">
      <alignment horizontal="left" vertical="center"/>
    </xf>
    <xf numFmtId="0" fontId="27" fillId="2" borderId="1" xfId="1" applyFont="1" applyFill="1" applyBorder="1" applyAlignment="1">
      <alignment horizontal="center"/>
    </xf>
    <xf numFmtId="4" fontId="28" fillId="2" borderId="1" xfId="1" applyNumberFormat="1" applyFont="1" applyFill="1" applyBorder="1" applyAlignment="1">
      <alignment horizontal="center" vertical="center"/>
    </xf>
    <xf numFmtId="4" fontId="28" fillId="2" borderId="10" xfId="1" applyNumberFormat="1" applyFont="1" applyFill="1" applyBorder="1" applyAlignment="1">
      <alignment horizontal="center" vertical="center"/>
    </xf>
    <xf numFmtId="0" fontId="3" fillId="4" borderId="4" xfId="0" applyFont="1" applyFill="1" applyBorder="1" applyAlignment="1">
      <alignment horizontal="center"/>
    </xf>
    <xf numFmtId="0" fontId="1" fillId="4" borderId="7" xfId="0" applyFont="1" applyFill="1" applyBorder="1" applyAlignment="1">
      <alignment horizontal="center"/>
    </xf>
    <xf numFmtId="4" fontId="12" fillId="2" borderId="14" xfId="0" applyNumberFormat="1" applyFont="1" applyFill="1" applyBorder="1" applyAlignment="1">
      <alignment horizontal="center" vertical="center"/>
    </xf>
    <xf numFmtId="0" fontId="9" fillId="3" borderId="0" xfId="0" applyFont="1" applyFill="1" applyAlignment="1">
      <alignment vertical="center"/>
    </xf>
    <xf numFmtId="4" fontId="30" fillId="2" borderId="1" xfId="1" applyNumberFormat="1" applyFont="1" applyFill="1" applyBorder="1" applyAlignment="1">
      <alignment horizontal="center" vertical="center"/>
    </xf>
    <xf numFmtId="4" fontId="30" fillId="2" borderId="10" xfId="1" applyNumberFormat="1" applyFont="1" applyFill="1" applyBorder="1" applyAlignment="1">
      <alignment horizontal="center" vertical="center"/>
    </xf>
    <xf numFmtId="0" fontId="31" fillId="2" borderId="4" xfId="1" applyFont="1" applyFill="1" applyBorder="1" applyAlignment="1">
      <alignment horizontal="center"/>
    </xf>
    <xf numFmtId="0" fontId="32" fillId="2" borderId="7" xfId="1" applyFont="1" applyFill="1" applyBorder="1" applyAlignment="1">
      <alignment horizontal="center"/>
    </xf>
    <xf numFmtId="0" fontId="30" fillId="2" borderId="1" xfId="1" applyFont="1" applyFill="1" applyBorder="1"/>
    <xf numFmtId="0" fontId="22" fillId="4" borderId="22" xfId="0" applyFont="1" applyFill="1" applyBorder="1" applyAlignment="1">
      <alignment horizontal="center" vertical="center" wrapText="1"/>
    </xf>
    <xf numFmtId="0" fontId="22" fillId="4" borderId="23" xfId="0" applyFont="1" applyFill="1" applyBorder="1" applyAlignment="1">
      <alignment horizontal="center" vertical="center" wrapText="1"/>
    </xf>
    <xf numFmtId="0" fontId="5" fillId="0" borderId="0" xfId="0" applyFont="1" applyAlignment="1">
      <alignment horizontal="center"/>
    </xf>
    <xf numFmtId="0" fontId="5" fillId="0" borderId="1" xfId="0" applyFont="1" applyBorder="1" applyAlignment="1">
      <alignment horizontal="center"/>
    </xf>
    <xf numFmtId="0" fontId="34" fillId="0" borderId="0" xfId="0" applyFont="1"/>
    <xf numFmtId="166" fontId="36" fillId="0" borderId="17" xfId="0" applyNumberFormat="1" applyFont="1" applyBorder="1" applyAlignment="1">
      <alignment horizontal="right" vertical="center"/>
    </xf>
    <xf numFmtId="166" fontId="36" fillId="3" borderId="17" xfId="0" applyNumberFormat="1" applyFont="1" applyFill="1" applyBorder="1" applyAlignment="1">
      <alignment horizontal="right" vertical="center"/>
    </xf>
    <xf numFmtId="166" fontId="35" fillId="0" borderId="17" xfId="3" applyNumberFormat="1" applyFont="1" applyBorder="1" applyAlignment="1">
      <alignment horizontal="right" vertical="center"/>
    </xf>
    <xf numFmtId="166" fontId="35" fillId="0" borderId="25" xfId="3" applyNumberFormat="1" applyFont="1" applyBorder="1" applyAlignment="1">
      <alignment horizontal="right" vertical="center"/>
    </xf>
    <xf numFmtId="166" fontId="35" fillId="0" borderId="17" xfId="3" applyNumberFormat="1" applyFont="1" applyFill="1" applyBorder="1" applyAlignment="1">
      <alignment horizontal="right" vertical="center"/>
    </xf>
    <xf numFmtId="166" fontId="36" fillId="0" borderId="17" xfId="3" applyNumberFormat="1" applyFont="1" applyBorder="1" applyAlignment="1">
      <alignment horizontal="right" vertical="center"/>
    </xf>
    <xf numFmtId="166" fontId="36" fillId="3" borderId="17" xfId="3" applyNumberFormat="1" applyFont="1" applyFill="1" applyBorder="1" applyAlignment="1">
      <alignment horizontal="right" vertical="center"/>
    </xf>
    <xf numFmtId="166" fontId="35" fillId="0" borderId="19" xfId="3" applyNumberFormat="1" applyFont="1" applyFill="1" applyBorder="1" applyAlignment="1">
      <alignment horizontal="right" vertical="center"/>
    </xf>
    <xf numFmtId="166" fontId="35" fillId="0" borderId="19" xfId="3" applyNumberFormat="1" applyFont="1" applyBorder="1" applyAlignment="1">
      <alignment horizontal="right" vertical="center"/>
    </xf>
    <xf numFmtId="166" fontId="35" fillId="0" borderId="28" xfId="3" applyNumberFormat="1" applyFont="1" applyBorder="1" applyAlignment="1">
      <alignment horizontal="right" vertical="center"/>
    </xf>
    <xf numFmtId="166" fontId="22" fillId="5" borderId="21" xfId="3" applyNumberFormat="1" applyFont="1" applyFill="1" applyBorder="1" applyAlignment="1">
      <alignment horizontal="center"/>
    </xf>
    <xf numFmtId="166" fontId="22" fillId="5" borderId="29" xfId="3" applyNumberFormat="1" applyFont="1" applyFill="1" applyBorder="1" applyAlignment="1">
      <alignment horizontal="center"/>
    </xf>
    <xf numFmtId="166" fontId="37" fillId="0" borderId="0" xfId="0" applyNumberFormat="1" applyFont="1"/>
    <xf numFmtId="166" fontId="39" fillId="5" borderId="21" xfId="3" applyNumberFormat="1" applyFont="1" applyFill="1" applyBorder="1" applyAlignment="1">
      <alignment horizontal="center"/>
    </xf>
    <xf numFmtId="0" fontId="40" fillId="0" borderId="0" xfId="0" applyFont="1"/>
    <xf numFmtId="166" fontId="35" fillId="0" borderId="17" xfId="3" applyNumberFormat="1" applyFont="1" applyBorder="1" applyAlignment="1">
      <alignment vertical="center"/>
    </xf>
    <xf numFmtId="166" fontId="35" fillId="0" borderId="19" xfId="3" applyNumberFormat="1" applyFont="1" applyBorder="1" applyAlignment="1">
      <alignment vertical="center"/>
    </xf>
    <xf numFmtId="166" fontId="22" fillId="5" borderId="21" xfId="3" applyNumberFormat="1" applyFont="1" applyFill="1" applyBorder="1" applyAlignment="1"/>
    <xf numFmtId="0" fontId="41" fillId="4" borderId="17" xfId="0" applyFont="1" applyFill="1" applyBorder="1" applyAlignment="1">
      <alignment horizontal="center" wrapText="1"/>
    </xf>
    <xf numFmtId="0" fontId="41" fillId="4" borderId="17" xfId="0" applyFont="1" applyFill="1" applyBorder="1" applyAlignment="1">
      <alignment horizontal="center" vertical="top"/>
    </xf>
    <xf numFmtId="0" fontId="41" fillId="4" borderId="25" xfId="0" applyFont="1" applyFill="1" applyBorder="1" applyAlignment="1">
      <alignment horizontal="center" wrapText="1"/>
    </xf>
    <xf numFmtId="0" fontId="41" fillId="4" borderId="25" xfId="0" applyFont="1" applyFill="1" applyBorder="1" applyAlignment="1">
      <alignment horizontal="center" vertical="top"/>
    </xf>
    <xf numFmtId="166" fontId="35" fillId="0" borderId="25" xfId="3" applyNumberFormat="1" applyFont="1" applyBorder="1" applyAlignment="1">
      <alignment vertical="center"/>
    </xf>
    <xf numFmtId="166" fontId="36" fillId="3" borderId="25" xfId="0" applyNumberFormat="1" applyFont="1" applyFill="1" applyBorder="1" applyAlignment="1">
      <alignment vertical="center"/>
    </xf>
    <xf numFmtId="166" fontId="35" fillId="0" borderId="28" xfId="3" applyNumberFormat="1" applyFont="1" applyBorder="1" applyAlignment="1">
      <alignment vertical="center"/>
    </xf>
    <xf numFmtId="166" fontId="37" fillId="0" borderId="1" xfId="0" applyNumberFormat="1" applyFont="1" applyBorder="1"/>
    <xf numFmtId="166" fontId="22" fillId="5" borderId="29" xfId="3" applyNumberFormat="1" applyFont="1" applyFill="1" applyBorder="1" applyAlignment="1"/>
    <xf numFmtId="0" fontId="42" fillId="4" borderId="17" xfId="0" applyFont="1" applyFill="1" applyBorder="1" applyAlignment="1">
      <alignment horizontal="center" wrapText="1"/>
    </xf>
    <xf numFmtId="0" fontId="42" fillId="4" borderId="25" xfId="0" applyFont="1" applyFill="1" applyBorder="1" applyAlignment="1">
      <alignment horizontal="center" wrapText="1"/>
    </xf>
    <xf numFmtId="0" fontId="11" fillId="0" borderId="9" xfId="0" applyFont="1" applyBorder="1" applyAlignment="1">
      <alignment vertical="top" wrapText="1"/>
    </xf>
    <xf numFmtId="0" fontId="11" fillId="0" borderId="0" xfId="0" applyFont="1" applyAlignment="1">
      <alignment horizontal="left" vertical="top" wrapText="1"/>
    </xf>
    <xf numFmtId="4" fontId="44" fillId="2" borderId="1" xfId="1" applyNumberFormat="1" applyFont="1" applyFill="1" applyBorder="1" applyAlignment="1">
      <alignment horizontal="center" vertical="center"/>
    </xf>
    <xf numFmtId="4" fontId="44" fillId="2" borderId="10" xfId="1" applyNumberFormat="1" applyFont="1" applyFill="1" applyBorder="1" applyAlignment="1">
      <alignment horizontal="center" vertical="center"/>
    </xf>
    <xf numFmtId="0" fontId="45" fillId="0" borderId="0" xfId="0" applyFont="1" applyAlignment="1">
      <alignment horizontal="center"/>
    </xf>
    <xf numFmtId="0" fontId="48" fillId="0" borderId="0" xfId="0" applyFont="1"/>
    <xf numFmtId="0" fontId="2" fillId="0" borderId="0" xfId="0" applyFont="1" applyAlignment="1">
      <alignment vertical="center"/>
    </xf>
    <xf numFmtId="0" fontId="47" fillId="0" borderId="0" xfId="0" applyFont="1" applyAlignment="1">
      <alignment horizontal="left" vertical="top" wrapText="1"/>
    </xf>
    <xf numFmtId="0" fontId="2" fillId="0" borderId="0" xfId="0" applyFont="1" applyAlignment="1">
      <alignment horizontal="left" vertical="top" wrapText="1"/>
    </xf>
    <xf numFmtId="0" fontId="33" fillId="2" borderId="7" xfId="1" applyFont="1" applyFill="1" applyBorder="1" applyAlignment="1">
      <alignment horizontal="center"/>
    </xf>
    <xf numFmtId="0" fontId="51" fillId="0" borderId="0" xfId="0" applyFont="1" applyAlignment="1">
      <alignment vertical="center" wrapText="1"/>
    </xf>
    <xf numFmtId="0" fontId="51" fillId="0" borderId="7" xfId="0" applyFont="1" applyBorder="1" applyAlignment="1">
      <alignment vertical="center" wrapText="1"/>
    </xf>
    <xf numFmtId="0" fontId="3" fillId="2" borderId="4" xfId="0" applyFont="1" applyFill="1" applyBorder="1" applyAlignment="1">
      <alignment horizontal="center"/>
    </xf>
    <xf numFmtId="0" fontId="1" fillId="2" borderId="7" xfId="0" applyFont="1" applyFill="1" applyBorder="1" applyAlignment="1">
      <alignment horizontal="center"/>
    </xf>
    <xf numFmtId="0" fontId="11" fillId="0" borderId="0" xfId="0" applyFont="1" applyAlignment="1">
      <alignment vertical="center" wrapText="1"/>
    </xf>
    <xf numFmtId="0" fontId="40" fillId="3" borderId="0" xfId="0" applyFont="1" applyFill="1"/>
    <xf numFmtId="166" fontId="37" fillId="3" borderId="0" xfId="0" applyNumberFormat="1" applyFont="1" applyFill="1"/>
    <xf numFmtId="0" fontId="2" fillId="3" borderId="0" xfId="0" applyFont="1" applyFill="1" applyAlignment="1">
      <alignment horizontal="left" vertical="top" wrapText="1"/>
    </xf>
    <xf numFmtId="0" fontId="46" fillId="3" borderId="0" xfId="0" applyFont="1" applyFill="1"/>
    <xf numFmtId="0" fontId="2" fillId="3" borderId="0" xfId="0" applyFont="1" applyFill="1" applyAlignment="1">
      <alignment vertical="center"/>
    </xf>
    <xf numFmtId="0" fontId="2" fillId="3" borderId="0" xfId="0" applyFont="1" applyFill="1" applyAlignment="1">
      <alignment horizontal="left" vertical="center"/>
    </xf>
    <xf numFmtId="0" fontId="48" fillId="3" borderId="0" xfId="0" applyFont="1" applyFill="1"/>
    <xf numFmtId="0" fontId="1" fillId="3" borderId="0" xfId="0" applyFont="1" applyFill="1"/>
    <xf numFmtId="0" fontId="37" fillId="0" borderId="0" xfId="0" applyFont="1" applyAlignment="1">
      <alignment horizontal="left" vertical="center" indent="1"/>
    </xf>
    <xf numFmtId="0" fontId="0" fillId="0" borderId="0" xfId="0" applyAlignment="1">
      <alignment vertical="center"/>
    </xf>
    <xf numFmtId="0" fontId="37" fillId="0" borderId="0" xfId="0" applyFont="1" applyAlignment="1">
      <alignment vertical="center"/>
    </xf>
    <xf numFmtId="0" fontId="37" fillId="0" borderId="0" xfId="0" applyFont="1" applyAlignment="1">
      <alignment horizontal="left" vertical="center" indent="5"/>
    </xf>
    <xf numFmtId="0" fontId="41" fillId="3" borderId="17" xfId="0" applyFont="1" applyFill="1" applyBorder="1" applyAlignment="1">
      <alignment horizontal="center" vertical="top"/>
    </xf>
    <xf numFmtId="0" fontId="41" fillId="3" borderId="25" xfId="0" applyFont="1" applyFill="1" applyBorder="1" applyAlignment="1">
      <alignment horizontal="center" vertical="top"/>
    </xf>
    <xf numFmtId="0" fontId="39" fillId="4" borderId="17" xfId="0" applyFont="1" applyFill="1" applyBorder="1" applyAlignment="1">
      <alignment horizontal="center" vertical="top"/>
    </xf>
    <xf numFmtId="0" fontId="39" fillId="4" borderId="25" xfId="0" applyFont="1" applyFill="1" applyBorder="1" applyAlignment="1">
      <alignment horizontal="center" vertical="top"/>
    </xf>
    <xf numFmtId="0" fontId="21" fillId="5" borderId="32" xfId="0" applyFont="1" applyFill="1" applyBorder="1" applyAlignment="1">
      <alignment horizontal="center" wrapText="1"/>
    </xf>
    <xf numFmtId="0" fontId="21" fillId="5" borderId="23" xfId="0" applyFont="1" applyFill="1" applyBorder="1" applyAlignment="1">
      <alignment horizontal="center" wrapText="1"/>
    </xf>
    <xf numFmtId="166" fontId="22" fillId="5" borderId="34" xfId="3" applyNumberFormat="1" applyFont="1" applyFill="1" applyBorder="1" applyAlignment="1"/>
    <xf numFmtId="166" fontId="22" fillId="5" borderId="35" xfId="3" applyNumberFormat="1" applyFont="1" applyFill="1" applyBorder="1" applyAlignment="1"/>
    <xf numFmtId="0" fontId="55" fillId="3" borderId="0" xfId="0" applyFont="1" applyFill="1"/>
    <xf numFmtId="4" fontId="56" fillId="3" borderId="0" xfId="0" applyNumberFormat="1" applyFont="1" applyFill="1"/>
    <xf numFmtId="0" fontId="57" fillId="3" borderId="0" xfId="0" applyFont="1" applyFill="1"/>
    <xf numFmtId="0" fontId="9" fillId="3" borderId="0" xfId="0" applyFont="1" applyFill="1"/>
    <xf numFmtId="0" fontId="58" fillId="4" borderId="21" xfId="0" applyFont="1" applyFill="1" applyBorder="1" applyAlignment="1">
      <alignment horizontal="center" vertical="center" wrapText="1"/>
    </xf>
    <xf numFmtId="0" fontId="58" fillId="4" borderId="29" xfId="0" applyFont="1" applyFill="1" applyBorder="1" applyAlignment="1">
      <alignment horizontal="center" vertical="center" wrapText="1"/>
    </xf>
    <xf numFmtId="0" fontId="58" fillId="6" borderId="38" xfId="0" applyFont="1" applyFill="1" applyBorder="1" applyAlignment="1">
      <alignment horizontal="center" vertical="center"/>
    </xf>
    <xf numFmtId="0" fontId="58" fillId="6" borderId="39" xfId="0" applyFont="1" applyFill="1" applyBorder="1" applyAlignment="1">
      <alignment horizontal="center" vertical="center"/>
    </xf>
    <xf numFmtId="0" fontId="20" fillId="4" borderId="17" xfId="0" applyFont="1" applyFill="1" applyBorder="1" applyAlignment="1">
      <alignment horizontal="center" vertical="top"/>
    </xf>
    <xf numFmtId="0" fontId="20" fillId="4" borderId="25" xfId="0" applyFont="1" applyFill="1" applyBorder="1" applyAlignment="1">
      <alignment horizontal="center" vertical="top"/>
    </xf>
    <xf numFmtId="166" fontId="61" fillId="0" borderId="17" xfId="3" applyNumberFormat="1" applyFont="1" applyBorder="1" applyAlignment="1">
      <alignment vertical="center"/>
    </xf>
    <xf numFmtId="166" fontId="61" fillId="0" borderId="17" xfId="3" applyNumberFormat="1" applyFont="1" applyBorder="1" applyAlignment="1">
      <alignment horizontal="right" vertical="center"/>
    </xf>
    <xf numFmtId="166" fontId="61" fillId="0" borderId="25" xfId="3" applyNumberFormat="1" applyFont="1" applyBorder="1" applyAlignment="1">
      <alignment vertical="center"/>
    </xf>
    <xf numFmtId="165" fontId="61" fillId="0" borderId="17" xfId="3" applyNumberFormat="1" applyFont="1" applyBorder="1" applyAlignment="1">
      <alignment horizontal="center" vertical="center"/>
    </xf>
    <xf numFmtId="165" fontId="61" fillId="0" borderId="17" xfId="3" applyNumberFormat="1" applyFont="1" applyBorder="1" applyAlignment="1">
      <alignment horizontal="right" vertical="center"/>
    </xf>
    <xf numFmtId="165" fontId="61" fillId="0" borderId="25" xfId="3" applyNumberFormat="1" applyFont="1" applyBorder="1" applyAlignment="1">
      <alignment horizontal="center" vertical="center"/>
    </xf>
    <xf numFmtId="165" fontId="61" fillId="0" borderId="25" xfId="3" applyNumberFormat="1" applyFont="1" applyBorder="1" applyAlignment="1">
      <alignment horizontal="right" vertical="center"/>
    </xf>
    <xf numFmtId="166" fontId="60" fillId="5" borderId="34" xfId="3" applyNumberFormat="1" applyFont="1" applyFill="1" applyBorder="1" applyAlignment="1" applyProtection="1">
      <alignment horizontal="right" vertical="center" wrapText="1"/>
      <protection locked="0"/>
    </xf>
    <xf numFmtId="165" fontId="58" fillId="5" borderId="35" xfId="3" applyNumberFormat="1" applyFont="1" applyFill="1" applyBorder="1" applyAlignment="1">
      <alignment horizontal="right"/>
    </xf>
    <xf numFmtId="0" fontId="0" fillId="3" borderId="40" xfId="0" applyFill="1" applyBorder="1"/>
    <xf numFmtId="165" fontId="0" fillId="3" borderId="41" xfId="0" applyNumberFormat="1" applyFill="1" applyBorder="1" applyAlignment="1">
      <alignment horizontal="center"/>
    </xf>
    <xf numFmtId="165" fontId="63" fillId="5" borderId="32" xfId="3" applyNumberFormat="1" applyFont="1" applyFill="1" applyBorder="1" applyAlignment="1">
      <alignment horizontal="right"/>
    </xf>
    <xf numFmtId="165" fontId="63" fillId="5" borderId="32" xfId="3" applyNumberFormat="1" applyFont="1" applyFill="1" applyBorder="1" applyAlignment="1">
      <alignment horizontal="center"/>
    </xf>
    <xf numFmtId="0" fontId="64" fillId="7" borderId="8" xfId="0" applyFont="1" applyFill="1" applyBorder="1"/>
    <xf numFmtId="0" fontId="65" fillId="7" borderId="42" xfId="0" applyFont="1" applyFill="1" applyBorder="1" applyAlignment="1">
      <alignment horizontal="right"/>
    </xf>
    <xf numFmtId="165" fontId="66" fillId="7" borderId="10" xfId="0" applyNumberFormat="1" applyFont="1" applyFill="1" applyBorder="1" applyAlignment="1">
      <alignment horizontal="right"/>
    </xf>
    <xf numFmtId="165" fontId="66" fillId="7" borderId="11" xfId="0" applyNumberFormat="1" applyFont="1" applyFill="1" applyBorder="1" applyAlignment="1">
      <alignment horizontal="right"/>
    </xf>
    <xf numFmtId="165" fontId="66" fillId="7" borderId="20" xfId="0" applyNumberFormat="1" applyFont="1" applyFill="1" applyBorder="1" applyAlignment="1">
      <alignment horizontal="right"/>
    </xf>
    <xf numFmtId="0" fontId="58" fillId="2" borderId="8" xfId="0" applyFont="1" applyFill="1" applyBorder="1" applyAlignment="1">
      <alignment horizontal="right"/>
    </xf>
    <xf numFmtId="0" fontId="65" fillId="2" borderId="42" xfId="0" applyFont="1" applyFill="1" applyBorder="1" applyAlignment="1">
      <alignment horizontal="right"/>
    </xf>
    <xf numFmtId="9" fontId="67" fillId="2" borderId="10" xfId="4" applyFont="1" applyFill="1" applyBorder="1" applyAlignment="1">
      <alignment horizontal="right" vertical="center"/>
    </xf>
    <xf numFmtId="9" fontId="67" fillId="2" borderId="42" xfId="4" applyFont="1" applyFill="1" applyBorder="1" applyAlignment="1">
      <alignment horizontal="right" vertical="center"/>
    </xf>
    <xf numFmtId="9" fontId="67" fillId="2" borderId="11" xfId="4" applyFont="1" applyFill="1" applyBorder="1" applyAlignment="1">
      <alignment horizontal="right" vertical="center"/>
    </xf>
    <xf numFmtId="0" fontId="68" fillId="3" borderId="0" xfId="0" applyFont="1" applyFill="1"/>
    <xf numFmtId="17" fontId="1" fillId="0" borderId="0" xfId="0" applyNumberFormat="1" applyFont="1" applyAlignment="1">
      <alignment horizontal="left"/>
    </xf>
    <xf numFmtId="4" fontId="44" fillId="2" borderId="1" xfId="1" applyNumberFormat="1" applyFont="1" applyFill="1" applyBorder="1" applyAlignment="1">
      <alignment vertical="center"/>
    </xf>
    <xf numFmtId="0" fontId="22" fillId="4" borderId="43" xfId="0" applyFont="1" applyFill="1" applyBorder="1" applyAlignment="1">
      <alignment horizontal="center" vertical="center" wrapText="1"/>
    </xf>
    <xf numFmtId="0" fontId="41" fillId="4" borderId="44" xfId="0" applyFont="1" applyFill="1" applyBorder="1" applyAlignment="1">
      <alignment horizontal="center" wrapText="1"/>
    </xf>
    <xf numFmtId="0" fontId="41" fillId="4" borderId="44" xfId="0" applyFont="1" applyFill="1" applyBorder="1" applyAlignment="1">
      <alignment horizontal="center" vertical="top"/>
    </xf>
    <xf numFmtId="166" fontId="35" fillId="0" borderId="44" xfId="3" applyNumberFormat="1" applyFont="1" applyBorder="1" applyAlignment="1">
      <alignment vertical="center"/>
    </xf>
    <xf numFmtId="166" fontId="36" fillId="3" borderId="44" xfId="0" applyNumberFormat="1" applyFont="1" applyFill="1" applyBorder="1" applyAlignment="1">
      <alignment vertical="center"/>
    </xf>
    <xf numFmtId="166" fontId="35" fillId="0" borderId="45" xfId="3" applyNumberFormat="1" applyFont="1" applyBorder="1" applyAlignment="1">
      <alignment vertical="center"/>
    </xf>
    <xf numFmtId="166" fontId="22" fillId="5" borderId="43" xfId="3" applyNumberFormat="1" applyFont="1" applyFill="1" applyBorder="1" applyAlignment="1"/>
    <xf numFmtId="166" fontId="22" fillId="5" borderId="11" xfId="3" applyNumberFormat="1" applyFont="1" applyFill="1" applyBorder="1" applyAlignment="1"/>
    <xf numFmtId="14" fontId="50" fillId="0" borderId="0" xfId="0" applyNumberFormat="1" applyFont="1"/>
    <xf numFmtId="14" fontId="50" fillId="3" borderId="0" xfId="0" applyNumberFormat="1" applyFont="1" applyFill="1" applyAlignment="1">
      <alignment horizontal="left"/>
    </xf>
    <xf numFmtId="0" fontId="69" fillId="0" borderId="0" xfId="0" applyFont="1" applyAlignment="1">
      <alignment horizontal="left" vertical="center"/>
    </xf>
    <xf numFmtId="0" fontId="69" fillId="0" borderId="9" xfId="0" applyFont="1" applyBorder="1" applyAlignment="1">
      <alignment horizontal="left" vertical="center"/>
    </xf>
    <xf numFmtId="0" fontId="0" fillId="3" borderId="9" xfId="0" applyFill="1" applyBorder="1" applyAlignment="1">
      <alignment vertical="center"/>
    </xf>
    <xf numFmtId="4" fontId="11" fillId="2" borderId="14" xfId="0" applyNumberFormat="1" applyFont="1" applyFill="1" applyBorder="1" applyAlignment="1">
      <alignment horizontal="center"/>
    </xf>
    <xf numFmtId="0" fontId="69" fillId="0" borderId="0" xfId="0" applyFont="1" applyAlignment="1">
      <alignment vertical="center"/>
    </xf>
    <xf numFmtId="165" fontId="69" fillId="0" borderId="0" xfId="0" applyNumberFormat="1" applyFont="1"/>
    <xf numFmtId="0" fontId="0" fillId="0" borderId="0" xfId="0" applyAlignment="1">
      <alignment wrapText="1"/>
    </xf>
    <xf numFmtId="0" fontId="70" fillId="0" borderId="0" xfId="0" applyFont="1"/>
    <xf numFmtId="4" fontId="71" fillId="2" borderId="1" xfId="1" applyNumberFormat="1" applyFont="1" applyFill="1" applyBorder="1" applyAlignment="1">
      <alignment horizontal="center" vertical="center"/>
    </xf>
    <xf numFmtId="0" fontId="72" fillId="0" borderId="0" xfId="0" applyFont="1" applyAlignment="1">
      <alignment horizontal="left" vertical="center" indent="1"/>
    </xf>
    <xf numFmtId="0" fontId="74" fillId="0" borderId="1" xfId="0" applyFont="1" applyBorder="1"/>
    <xf numFmtId="165" fontId="75" fillId="0" borderId="0" xfId="0" applyNumberFormat="1" applyFont="1"/>
    <xf numFmtId="0" fontId="1" fillId="0" borderId="1" xfId="0" applyFont="1" applyBorder="1"/>
    <xf numFmtId="0" fontId="1" fillId="0" borderId="0" xfId="0" applyFont="1" applyAlignment="1">
      <alignment vertical="center"/>
    </xf>
    <xf numFmtId="165" fontId="76" fillId="0" borderId="0" xfId="0" applyNumberFormat="1" applyFont="1"/>
    <xf numFmtId="165" fontId="1" fillId="0" borderId="0" xfId="0" applyNumberFormat="1" applyFont="1"/>
    <xf numFmtId="0" fontId="70" fillId="0" borderId="0" xfId="0" applyFont="1" applyAlignment="1">
      <alignment vertical="center"/>
    </xf>
    <xf numFmtId="0" fontId="1" fillId="0" borderId="7" xfId="0" applyFont="1" applyBorder="1"/>
    <xf numFmtId="0" fontId="1" fillId="0" borderId="1" xfId="0" applyFont="1" applyBorder="1" applyAlignment="1">
      <alignment horizontal="left" vertical="center" indent="1"/>
    </xf>
    <xf numFmtId="165" fontId="77" fillId="0" borderId="0" xfId="0" applyNumberFormat="1" applyFont="1"/>
    <xf numFmtId="0" fontId="77" fillId="0" borderId="1" xfId="0" applyFont="1" applyBorder="1"/>
    <xf numFmtId="165" fontId="26" fillId="0" borderId="0" xfId="0" applyNumberFormat="1" applyFont="1"/>
    <xf numFmtId="0" fontId="26" fillId="0" borderId="1" xfId="0" applyFont="1" applyBorder="1"/>
    <xf numFmtId="0" fontId="78" fillId="0" borderId="1" xfId="0" applyFont="1" applyBorder="1" applyAlignment="1">
      <alignment horizontal="left" vertical="center" indent="1"/>
    </xf>
    <xf numFmtId="0" fontId="73" fillId="0" borderId="0" xfId="0" applyFont="1" applyAlignment="1">
      <alignment horizontal="left" vertical="center" indent="1"/>
    </xf>
    <xf numFmtId="0" fontId="47" fillId="0" borderId="0" xfId="0" applyFont="1" applyAlignment="1">
      <alignment vertical="center"/>
    </xf>
    <xf numFmtId="165" fontId="47" fillId="0" borderId="0" xfId="0" applyNumberFormat="1" applyFont="1"/>
    <xf numFmtId="0" fontId="79" fillId="0" borderId="0" xfId="0" applyFont="1" applyAlignment="1">
      <alignment horizontal="left" vertical="center" indent="1"/>
    </xf>
    <xf numFmtId="165" fontId="26" fillId="0" borderId="0" xfId="0" applyNumberFormat="1" applyFont="1" applyAlignment="1">
      <alignment horizontal="center"/>
    </xf>
    <xf numFmtId="0" fontId="26" fillId="0" borderId="1" xfId="0" applyFont="1" applyBorder="1" applyAlignment="1">
      <alignment horizontal="center"/>
    </xf>
    <xf numFmtId="0" fontId="70" fillId="0" borderId="0" xfId="0" applyFont="1" applyAlignment="1">
      <alignment horizontal="left" vertical="center"/>
    </xf>
    <xf numFmtId="0" fontId="70" fillId="0" borderId="9" xfId="0" applyFont="1" applyBorder="1" applyAlignment="1">
      <alignment horizontal="center" vertical="top" wrapText="1"/>
    </xf>
    <xf numFmtId="0" fontId="70" fillId="0" borderId="7" xfId="0" applyFont="1" applyBorder="1" applyAlignment="1">
      <alignment horizontal="center"/>
    </xf>
    <xf numFmtId="0" fontId="74" fillId="0" borderId="0" xfId="0" applyFont="1" applyAlignment="1">
      <alignment horizontal="center"/>
    </xf>
    <xf numFmtId="0" fontId="74" fillId="0" borderId="1" xfId="0" applyFont="1" applyBorder="1" applyAlignment="1">
      <alignment horizontal="center"/>
    </xf>
    <xf numFmtId="0" fontId="47" fillId="0" borderId="0" xfId="0" applyFont="1"/>
    <xf numFmtId="0" fontId="47" fillId="0" borderId="1" xfId="0" applyFont="1" applyBorder="1"/>
    <xf numFmtId="165" fontId="1" fillId="0" borderId="0" xfId="0" applyNumberFormat="1" applyFont="1" applyAlignment="1">
      <alignment vertical="center"/>
    </xf>
    <xf numFmtId="0" fontId="1" fillId="0" borderId="1" xfId="0" applyFont="1" applyBorder="1" applyAlignment="1">
      <alignment vertical="center"/>
    </xf>
    <xf numFmtId="165" fontId="76" fillId="0" borderId="0" xfId="0" applyNumberFormat="1" applyFont="1" applyAlignment="1">
      <alignment horizontal="center"/>
    </xf>
    <xf numFmtId="0" fontId="69" fillId="0" borderId="9" xfId="0" applyFont="1" applyBorder="1" applyAlignment="1">
      <alignment horizontal="left" vertical="top" wrapText="1"/>
    </xf>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left" vertical="top" wrapText="1"/>
    </xf>
    <xf numFmtId="0" fontId="80" fillId="0" borderId="0" xfId="0" applyFont="1" applyAlignment="1">
      <alignment horizontal="center" vertical="center"/>
    </xf>
    <xf numFmtId="0" fontId="80" fillId="0" borderId="1" xfId="0" applyFont="1" applyBorder="1" applyAlignment="1">
      <alignment horizontal="center" vertical="center"/>
    </xf>
    <xf numFmtId="0" fontId="74" fillId="0" borderId="0" xfId="0" applyFont="1" applyAlignment="1">
      <alignment horizontal="center"/>
    </xf>
    <xf numFmtId="0" fontId="74" fillId="0" borderId="1" xfId="0" applyFont="1" applyBorder="1" applyAlignment="1">
      <alignment horizontal="center"/>
    </xf>
    <xf numFmtId="0" fontId="1" fillId="0" borderId="9" xfId="0" applyFont="1" applyBorder="1" applyAlignment="1">
      <alignment vertical="center" wrapText="1"/>
    </xf>
    <xf numFmtId="0" fontId="2" fillId="2" borderId="12" xfId="1" applyFont="1" applyFill="1" applyBorder="1" applyAlignment="1">
      <alignment horizontal="center" vertical="center"/>
    </xf>
    <xf numFmtId="0" fontId="2" fillId="2" borderId="13" xfId="1" applyFont="1" applyFill="1" applyBorder="1" applyAlignment="1">
      <alignment horizontal="center" vertical="center"/>
    </xf>
    <xf numFmtId="0" fontId="1" fillId="0" borderId="9" xfId="0" applyFont="1" applyBorder="1" applyAlignment="1">
      <alignment horizontal="left" vertical="top" wrapText="1"/>
    </xf>
    <xf numFmtId="165" fontId="1" fillId="0" borderId="0" xfId="0" applyNumberFormat="1" applyFont="1" applyAlignment="1">
      <alignment horizontal="left" vertical="center"/>
    </xf>
    <xf numFmtId="165" fontId="1" fillId="0" borderId="1" xfId="0" applyNumberFormat="1" applyFont="1" applyBorder="1" applyAlignment="1">
      <alignment horizontal="left" vertical="center"/>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70" fillId="0" borderId="9" xfId="0" applyFont="1" applyBorder="1" applyAlignment="1">
      <alignment horizontal="left" vertical="top" wrapText="1"/>
    </xf>
    <xf numFmtId="165" fontId="70" fillId="0" borderId="0" xfId="0" applyNumberFormat="1" applyFont="1" applyAlignment="1">
      <alignment horizontal="left" wrapText="1"/>
    </xf>
    <xf numFmtId="165" fontId="70" fillId="0" borderId="1" xfId="0" applyNumberFormat="1" applyFont="1" applyBorder="1" applyAlignment="1">
      <alignment horizontal="left" wrapText="1"/>
    </xf>
    <xf numFmtId="0" fontId="11" fillId="0" borderId="9" xfId="0" applyFont="1" applyBorder="1" applyAlignment="1">
      <alignment horizontal="left" vertical="top" wrapText="1"/>
    </xf>
    <xf numFmtId="0" fontId="6" fillId="0" borderId="0" xfId="0" applyFont="1" applyAlignment="1">
      <alignment horizontal="center"/>
    </xf>
    <xf numFmtId="0" fontId="6" fillId="0" borderId="1" xfId="0" applyFont="1" applyBorder="1" applyAlignment="1">
      <alignment horizontal="center"/>
    </xf>
    <xf numFmtId="0" fontId="69" fillId="0" borderId="0" xfId="0" applyFont="1" applyAlignment="1">
      <alignment vertical="center" wrapText="1"/>
    </xf>
    <xf numFmtId="0" fontId="69" fillId="0" borderId="0" xfId="0" applyFont="1" applyAlignment="1">
      <alignment vertical="center"/>
    </xf>
    <xf numFmtId="0" fontId="69" fillId="0" borderId="0" xfId="0" applyFont="1" applyAlignment="1">
      <alignment horizontal="left" vertical="top" wrapText="1"/>
    </xf>
    <xf numFmtId="0" fontId="2" fillId="3" borderId="0" xfId="0" applyFont="1" applyFill="1" applyAlignment="1">
      <alignment horizontal="left" vertical="top" wrapText="1"/>
    </xf>
    <xf numFmtId="165" fontId="24" fillId="3" borderId="26" xfId="1" applyNumberFormat="1" applyFont="1" applyFill="1" applyBorder="1" applyAlignment="1" applyProtection="1">
      <alignment horizontal="center" vertical="center" wrapText="1"/>
      <protection locked="0"/>
    </xf>
    <xf numFmtId="165" fontId="24" fillId="3" borderId="17" xfId="1" applyNumberFormat="1" applyFont="1" applyFill="1" applyBorder="1" applyAlignment="1" applyProtection="1">
      <alignment horizontal="center" vertical="center" wrapText="1"/>
      <protection locked="0"/>
    </xf>
    <xf numFmtId="0" fontId="22" fillId="4" borderId="15" xfId="0" applyFont="1" applyFill="1" applyBorder="1" applyAlignment="1">
      <alignment horizontal="center" vertical="center"/>
    </xf>
    <xf numFmtId="0" fontId="22" fillId="4" borderId="16" xfId="0" applyFont="1" applyFill="1" applyBorder="1" applyAlignment="1">
      <alignment horizontal="center" vertical="center"/>
    </xf>
    <xf numFmtId="0" fontId="22" fillId="4" borderId="24"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16" xfId="0" applyFont="1" applyFill="1" applyBorder="1" applyAlignment="1">
      <alignment horizontal="center" vertical="center"/>
    </xf>
    <xf numFmtId="164" fontId="38" fillId="5" borderId="20" xfId="3" applyFont="1" applyFill="1" applyBorder="1" applyAlignment="1" applyProtection="1">
      <alignment horizontal="center" vertical="center" wrapText="1"/>
      <protection locked="0"/>
    </xf>
    <xf numFmtId="164" fontId="38" fillId="5" borderId="21" xfId="3" applyFont="1" applyFill="1" applyBorder="1" applyAlignment="1" applyProtection="1">
      <alignment horizontal="center" vertical="center" wrapText="1"/>
      <protection locked="0"/>
    </xf>
    <xf numFmtId="164" fontId="24" fillId="5" borderId="20" xfId="3" applyFont="1" applyFill="1" applyBorder="1" applyAlignment="1" applyProtection="1">
      <alignment horizontal="center" vertical="center" wrapText="1"/>
      <protection locked="0"/>
    </xf>
    <xf numFmtId="164" fontId="24" fillId="5" borderId="21" xfId="3" applyFont="1" applyFill="1" applyBorder="1" applyAlignment="1" applyProtection="1">
      <alignment horizontal="center" vertical="center" wrapText="1"/>
      <protection locked="0"/>
    </xf>
    <xf numFmtId="165" fontId="24" fillId="3" borderId="24" xfId="1" applyNumberFormat="1" applyFont="1" applyFill="1" applyBorder="1" applyAlignment="1" applyProtection="1">
      <alignment horizontal="center" vertical="center"/>
      <protection locked="0"/>
    </xf>
    <xf numFmtId="165" fontId="24" fillId="3" borderId="16" xfId="1" applyNumberFormat="1" applyFont="1" applyFill="1" applyBorder="1" applyAlignment="1" applyProtection="1">
      <alignment horizontal="center" vertical="center"/>
      <protection locked="0"/>
    </xf>
    <xf numFmtId="165" fontId="24" fillId="3" borderId="27" xfId="1" applyNumberFormat="1" applyFont="1" applyFill="1" applyBorder="1" applyAlignment="1" applyProtection="1">
      <alignment horizontal="center" vertical="center" wrapText="1"/>
      <protection locked="0"/>
    </xf>
    <xf numFmtId="165" fontId="24" fillId="3" borderId="18" xfId="1" applyNumberFormat="1" applyFont="1" applyFill="1" applyBorder="1" applyAlignment="1" applyProtection="1">
      <alignment horizontal="center" vertical="center" wrapText="1"/>
      <protection locked="0"/>
    </xf>
    <xf numFmtId="0" fontId="47" fillId="0" borderId="0" xfId="0" applyFont="1" applyAlignment="1">
      <alignment horizontal="left" vertical="top" wrapText="1"/>
    </xf>
    <xf numFmtId="0" fontId="2" fillId="0" borderId="0" xfId="0" applyFont="1" applyAlignment="1">
      <alignment horizontal="left" vertical="top" wrapText="1"/>
    </xf>
    <xf numFmtId="0" fontId="22" fillId="4" borderId="30" xfId="0" applyFont="1" applyFill="1" applyBorder="1" applyAlignment="1">
      <alignment horizontal="center" vertical="center"/>
    </xf>
    <xf numFmtId="0" fontId="22" fillId="4" borderId="31" xfId="0" applyFont="1" applyFill="1" applyBorder="1" applyAlignment="1">
      <alignment horizontal="center" vertical="center"/>
    </xf>
    <xf numFmtId="0" fontId="49" fillId="4" borderId="24" xfId="0" applyFont="1" applyFill="1" applyBorder="1" applyAlignment="1">
      <alignment horizontal="center" vertical="center"/>
    </xf>
    <xf numFmtId="0" fontId="49" fillId="4" borderId="16" xfId="0" applyFont="1" applyFill="1" applyBorder="1" applyAlignment="1">
      <alignment horizontal="center" vertical="center"/>
    </xf>
    <xf numFmtId="0" fontId="29" fillId="3" borderId="24" xfId="0" applyFont="1" applyFill="1" applyBorder="1" applyAlignment="1">
      <alignment horizontal="center" vertical="center" wrapText="1"/>
    </xf>
    <xf numFmtId="0" fontId="29" fillId="3" borderId="16" xfId="0" applyFont="1" applyFill="1" applyBorder="1" applyAlignment="1">
      <alignment horizontal="center" vertical="center" wrapText="1"/>
    </xf>
    <xf numFmtId="164" fontId="52" fillId="5" borderId="20" xfId="3" applyFont="1" applyFill="1" applyBorder="1" applyAlignment="1" applyProtection="1">
      <alignment horizontal="center" vertical="center" wrapText="1"/>
      <protection locked="0"/>
    </xf>
    <xf numFmtId="164" fontId="52" fillId="5" borderId="21" xfId="3" applyFont="1" applyFill="1" applyBorder="1" applyAlignment="1" applyProtection="1">
      <alignment horizontal="center" vertical="center" wrapText="1"/>
      <protection locked="0"/>
    </xf>
    <xf numFmtId="0" fontId="54" fillId="5" borderId="30" xfId="0" applyFont="1" applyFill="1" applyBorder="1" applyAlignment="1">
      <alignment horizontal="center" vertical="center"/>
    </xf>
    <xf numFmtId="0" fontId="54" fillId="5" borderId="31" xfId="0" applyFont="1" applyFill="1" applyBorder="1" applyAlignment="1">
      <alignment horizontal="center" vertical="center"/>
    </xf>
    <xf numFmtId="165" fontId="24" fillId="3" borderId="26" xfId="1" applyNumberFormat="1" applyFont="1" applyFill="1" applyBorder="1" applyAlignment="1" applyProtection="1">
      <alignment horizontal="center" vertical="center"/>
      <protection locked="0"/>
    </xf>
    <xf numFmtId="165" fontId="24" fillId="3" borderId="17" xfId="1" applyNumberFormat="1" applyFont="1" applyFill="1" applyBorder="1" applyAlignment="1" applyProtection="1">
      <alignment horizontal="center" vertical="center"/>
      <protection locked="0"/>
    </xf>
    <xf numFmtId="164" fontId="24" fillId="5" borderId="33" xfId="3" applyFont="1" applyFill="1" applyBorder="1" applyAlignment="1" applyProtection="1">
      <alignment horizontal="center" vertical="center" wrapText="1"/>
      <protection locked="0"/>
    </xf>
    <xf numFmtId="164" fontId="24" fillId="5" borderId="34" xfId="3" applyFont="1" applyFill="1" applyBorder="1" applyAlignment="1" applyProtection="1">
      <alignment horizontal="center" vertical="center" wrapText="1"/>
      <protection locked="0"/>
    </xf>
    <xf numFmtId="0" fontId="53" fillId="4" borderId="24" xfId="0" applyFont="1" applyFill="1" applyBorder="1" applyAlignment="1">
      <alignment horizontal="center" vertical="center" wrapText="1"/>
    </xf>
    <xf numFmtId="0" fontId="53" fillId="4" borderId="16" xfId="0" applyFont="1" applyFill="1" applyBorder="1" applyAlignment="1">
      <alignment horizontal="center" vertical="center" wrapText="1"/>
    </xf>
    <xf numFmtId="0" fontId="0" fillId="0" borderId="24" xfId="0" applyBorder="1" applyAlignment="1">
      <alignment horizontal="center"/>
    </xf>
    <xf numFmtId="0" fontId="0" fillId="0" borderId="16" xfId="0" applyBorder="1" applyAlignment="1">
      <alignment horizontal="center"/>
    </xf>
    <xf numFmtId="0" fontId="11" fillId="0" borderId="0" xfId="0" applyFont="1" applyAlignment="1">
      <alignment horizontal="left" vertical="top" wrapText="1"/>
    </xf>
    <xf numFmtId="165" fontId="60" fillId="3" borderId="26" xfId="5" applyNumberFormat="1" applyFont="1" applyFill="1" applyBorder="1" applyAlignment="1" applyProtection="1">
      <alignment horizontal="left" vertical="center" wrapText="1"/>
      <protection locked="0"/>
    </xf>
    <xf numFmtId="165" fontId="60" fillId="3" borderId="17" xfId="5" applyNumberFormat="1" applyFont="1" applyFill="1" applyBorder="1" applyAlignment="1" applyProtection="1">
      <alignment horizontal="left" vertical="center" wrapText="1"/>
      <protection locked="0"/>
    </xf>
    <xf numFmtId="0" fontId="58" fillId="4" borderId="8" xfId="0" applyFont="1" applyFill="1" applyBorder="1" applyAlignment="1">
      <alignment horizontal="center" vertical="center"/>
    </xf>
    <xf numFmtId="0" fontId="58" fillId="4" borderId="36" xfId="0" applyFont="1" applyFill="1" applyBorder="1" applyAlignment="1">
      <alignment horizontal="center" vertical="center"/>
    </xf>
    <xf numFmtId="0" fontId="58" fillId="6" borderId="37" xfId="0" applyFont="1" applyFill="1" applyBorder="1" applyAlignment="1">
      <alignment horizontal="center" vertical="center"/>
    </xf>
    <xf numFmtId="0" fontId="58" fillId="6" borderId="38" xfId="0" applyFont="1" applyFill="1" applyBorder="1" applyAlignment="1">
      <alignment horizontal="center" vertical="center"/>
    </xf>
    <xf numFmtId="0" fontId="59" fillId="4" borderId="24" xfId="0" applyFont="1" applyFill="1" applyBorder="1" applyAlignment="1">
      <alignment horizontal="center" vertical="center"/>
    </xf>
    <xf numFmtId="0" fontId="59" fillId="4" borderId="16" xfId="0" applyFont="1" applyFill="1" applyBorder="1" applyAlignment="1">
      <alignment horizontal="center" vertical="center"/>
    </xf>
    <xf numFmtId="0" fontId="60" fillId="3" borderId="24" xfId="0" applyFont="1" applyFill="1" applyBorder="1" applyAlignment="1">
      <alignment horizontal="left" vertical="center" wrapText="1"/>
    </xf>
    <xf numFmtId="0" fontId="60" fillId="3" borderId="16" xfId="0" applyFont="1" applyFill="1" applyBorder="1" applyAlignment="1">
      <alignment horizontal="left" vertical="center" wrapText="1"/>
    </xf>
    <xf numFmtId="164" fontId="60" fillId="5" borderId="20" xfId="3" applyFont="1" applyFill="1" applyBorder="1" applyAlignment="1" applyProtection="1">
      <alignment horizontal="center" vertical="center" wrapText="1"/>
      <protection locked="0"/>
    </xf>
    <xf numFmtId="164" fontId="60" fillId="5" borderId="21" xfId="3" applyFont="1" applyFill="1" applyBorder="1" applyAlignment="1" applyProtection="1">
      <alignment horizontal="center" vertical="center" wrapText="1"/>
      <protection locked="0"/>
    </xf>
    <xf numFmtId="164" fontId="62" fillId="5" borderId="32" xfId="3" applyFont="1" applyFill="1" applyBorder="1" applyAlignment="1" applyProtection="1">
      <alignment horizontal="center" vertical="center" wrapText="1"/>
      <protection locked="0"/>
    </xf>
  </cellXfs>
  <cellStyles count="6">
    <cellStyle name="Comma" xfId="3" builtinId="3"/>
    <cellStyle name="Normal" xfId="0" builtinId="0"/>
    <cellStyle name="Normal 2" xfId="2" xr:uid="{00000000-0005-0000-0000-000002000000}"/>
    <cellStyle name="Normal 4" xfId="1" xr:uid="{00000000-0005-0000-0000-000003000000}"/>
    <cellStyle name="Normal 4 2" xfId="5" xr:uid="{00000000-0005-0000-0000-00000400000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G48"/>
  <sheetViews>
    <sheetView view="pageBreakPreview" topLeftCell="A18" zoomScale="90" zoomScaleNormal="100" zoomScaleSheetLayoutView="90" workbookViewId="0">
      <selection activeCell="B14" sqref="B14:C31"/>
    </sheetView>
  </sheetViews>
  <sheetFormatPr defaultColWidth="11.5546875" defaultRowHeight="14.4" x14ac:dyDescent="0.3"/>
  <cols>
    <col min="1" max="1" width="2.88671875" customWidth="1"/>
    <col min="2" max="2" width="5.5546875" customWidth="1"/>
    <col min="3" max="3" width="36.44140625" customWidth="1"/>
    <col min="4" max="4" width="23.109375" customWidth="1"/>
    <col min="5" max="5" width="14.5546875" customWidth="1"/>
    <col min="6" max="6" width="77.44140625" customWidth="1"/>
    <col min="7" max="7" width="4.6640625" customWidth="1"/>
    <col min="8" max="8" width="24.5546875" customWidth="1"/>
    <col min="10" max="10" width="20" customWidth="1"/>
  </cols>
  <sheetData>
    <row r="1" spans="1:7" x14ac:dyDescent="0.3">
      <c r="A1" s="55"/>
      <c r="B1" s="55"/>
      <c r="C1" s="55"/>
      <c r="D1" s="55"/>
      <c r="E1" s="55"/>
      <c r="F1" s="55"/>
      <c r="G1" s="55"/>
    </row>
    <row r="2" spans="1:7" x14ac:dyDescent="0.3">
      <c r="A2" s="55"/>
      <c r="B2" s="55"/>
      <c r="C2" s="55"/>
      <c r="D2" s="55"/>
      <c r="E2" s="55"/>
      <c r="F2" s="55"/>
      <c r="G2" s="55"/>
    </row>
    <row r="3" spans="1:7" ht="15" thickBot="1" x14ac:dyDescent="0.35">
      <c r="A3" s="55"/>
      <c r="B3" s="55"/>
      <c r="C3" s="55"/>
      <c r="D3" s="55"/>
      <c r="E3" s="55"/>
      <c r="F3" s="55"/>
      <c r="G3" s="55"/>
    </row>
    <row r="4" spans="1:7" ht="33" customHeight="1" x14ac:dyDescent="0.3">
      <c r="A4" s="55"/>
      <c r="B4" s="56"/>
      <c r="C4" s="253" t="s">
        <v>15</v>
      </c>
      <c r="D4" s="253"/>
      <c r="E4" s="253"/>
      <c r="F4" s="254"/>
      <c r="G4" s="55"/>
    </row>
    <row r="5" spans="1:7" ht="17.399999999999999" x14ac:dyDescent="0.3">
      <c r="A5" s="55"/>
      <c r="B5" s="57"/>
      <c r="C5" s="255" t="s">
        <v>17</v>
      </c>
      <c r="D5" s="255"/>
      <c r="E5" s="255"/>
      <c r="F5" s="256"/>
      <c r="G5" s="55"/>
    </row>
    <row r="6" spans="1:7" ht="17.399999999999999" x14ac:dyDescent="0.3">
      <c r="A6" s="55"/>
      <c r="B6" s="57"/>
      <c r="C6" s="99"/>
      <c r="D6" s="99"/>
      <c r="E6" s="99"/>
      <c r="F6" s="100"/>
      <c r="G6" s="55"/>
    </row>
    <row r="7" spans="1:7" x14ac:dyDescent="0.3">
      <c r="A7" s="55"/>
      <c r="B7" s="57"/>
      <c r="C7" s="260" t="s">
        <v>223</v>
      </c>
      <c r="D7" s="260"/>
      <c r="E7" s="260"/>
      <c r="F7" s="261"/>
      <c r="G7" s="55"/>
    </row>
    <row r="8" spans="1:7" x14ac:dyDescent="0.3">
      <c r="A8" s="55"/>
      <c r="B8" s="57"/>
      <c r="C8" s="260" t="s">
        <v>224</v>
      </c>
      <c r="D8" s="260"/>
      <c r="E8" s="260"/>
      <c r="F8" s="261"/>
      <c r="G8" s="55"/>
    </row>
    <row r="9" spans="1:7" x14ac:dyDescent="0.3">
      <c r="A9" s="55"/>
      <c r="B9" s="57"/>
      <c r="C9" s="262" t="s">
        <v>225</v>
      </c>
      <c r="D9" s="262"/>
      <c r="E9" s="262"/>
      <c r="F9" s="263"/>
      <c r="G9" s="55"/>
    </row>
    <row r="10" spans="1:7" ht="17.399999999999999" x14ac:dyDescent="0.3">
      <c r="A10" s="55"/>
      <c r="B10" s="57"/>
      <c r="C10" s="99"/>
      <c r="D10" s="99"/>
      <c r="E10" s="99"/>
      <c r="F10" s="100"/>
      <c r="G10" s="55"/>
    </row>
    <row r="11" spans="1:7" ht="16.2" thickBot="1" x14ac:dyDescent="0.35">
      <c r="A11" s="55"/>
      <c r="B11" s="57"/>
      <c r="C11" s="3"/>
      <c r="D11" s="58"/>
      <c r="E11" s="58"/>
      <c r="F11" s="45"/>
      <c r="G11" s="55"/>
    </row>
    <row r="12" spans="1:7" ht="15.6" x14ac:dyDescent="0.3">
      <c r="A12" s="55"/>
      <c r="B12" s="57"/>
      <c r="C12" s="59"/>
      <c r="D12" s="16" t="s">
        <v>137</v>
      </c>
      <c r="E12" s="17"/>
      <c r="F12" s="143" t="s">
        <v>10</v>
      </c>
      <c r="G12" s="55"/>
    </row>
    <row r="13" spans="1:7" ht="16.2" thickBot="1" x14ac:dyDescent="0.35">
      <c r="A13" s="55"/>
      <c r="B13" s="57"/>
      <c r="C13" s="58"/>
      <c r="D13" s="18" t="s">
        <v>0</v>
      </c>
      <c r="E13" s="19" t="s">
        <v>16</v>
      </c>
      <c r="F13" s="144"/>
      <c r="G13" s="55"/>
    </row>
    <row r="14" spans="1:7" x14ac:dyDescent="0.3">
      <c r="A14" s="55"/>
      <c r="B14" s="68" t="s">
        <v>1</v>
      </c>
      <c r="C14" s="69" t="s">
        <v>2</v>
      </c>
      <c r="D14" s="60"/>
      <c r="E14" s="85"/>
      <c r="F14" s="36"/>
      <c r="G14" s="55"/>
    </row>
    <row r="15" spans="1:7" ht="33.75" customHeight="1" x14ac:dyDescent="0.3">
      <c r="A15" s="55"/>
      <c r="B15" s="70"/>
      <c r="C15" s="71" t="s">
        <v>21</v>
      </c>
      <c r="D15" s="22">
        <v>3000</v>
      </c>
      <c r="E15" s="86">
        <f>+D15*100/D32</f>
        <v>14.583637159107482</v>
      </c>
      <c r="F15" s="34" t="s">
        <v>27</v>
      </c>
      <c r="G15" s="55"/>
    </row>
    <row r="16" spans="1:7" ht="29.25" customHeight="1" x14ac:dyDescent="0.3">
      <c r="A16" s="55"/>
      <c r="B16" s="70"/>
      <c r="C16" s="71" t="s">
        <v>73</v>
      </c>
      <c r="D16" s="22">
        <v>5200</v>
      </c>
      <c r="E16" s="86">
        <f t="shared" ref="E16:E25" si="0">+D16*100/$D$32</f>
        <v>25.278304409119634</v>
      </c>
      <c r="F16" s="34" t="s">
        <v>170</v>
      </c>
      <c r="G16" s="55"/>
    </row>
    <row r="17" spans="1:7" ht="67.5" customHeight="1" x14ac:dyDescent="0.3">
      <c r="A17" s="55"/>
      <c r="B17" s="70"/>
      <c r="C17" s="71" t="s">
        <v>72</v>
      </c>
      <c r="D17" s="22">
        <v>4000</v>
      </c>
      <c r="E17" s="86">
        <f t="shared" si="0"/>
        <v>19.444849545476643</v>
      </c>
      <c r="F17" s="35" t="s">
        <v>219</v>
      </c>
      <c r="G17" s="55"/>
    </row>
    <row r="18" spans="1:7" ht="0.75" customHeight="1" x14ac:dyDescent="0.3">
      <c r="A18" s="55"/>
      <c r="B18" s="70"/>
      <c r="C18" s="71"/>
      <c r="D18" s="22"/>
      <c r="E18" s="86">
        <f t="shared" si="0"/>
        <v>0</v>
      </c>
      <c r="F18" s="35"/>
      <c r="G18" s="55"/>
    </row>
    <row r="19" spans="1:7" x14ac:dyDescent="0.3">
      <c r="A19" s="55"/>
      <c r="B19" s="70"/>
      <c r="C19" s="72" t="s">
        <v>57</v>
      </c>
      <c r="D19" s="24">
        <v>1500</v>
      </c>
      <c r="E19" s="86">
        <f t="shared" si="0"/>
        <v>7.2918185795537411</v>
      </c>
      <c r="F19" s="36"/>
      <c r="G19" s="55"/>
    </row>
    <row r="20" spans="1:7" x14ac:dyDescent="0.3">
      <c r="A20" s="55"/>
      <c r="B20" s="70"/>
      <c r="C20" s="72"/>
      <c r="D20" s="24"/>
      <c r="E20" s="86"/>
      <c r="F20" s="36"/>
      <c r="G20" s="55"/>
    </row>
    <row r="21" spans="1:7" x14ac:dyDescent="0.3">
      <c r="A21" s="55"/>
      <c r="B21" s="68" t="s">
        <v>3</v>
      </c>
      <c r="C21" s="69" t="s">
        <v>4</v>
      </c>
      <c r="D21" s="25"/>
      <c r="E21" s="86">
        <f t="shared" si="0"/>
        <v>0</v>
      </c>
      <c r="F21" s="36"/>
      <c r="G21" s="55"/>
    </row>
    <row r="22" spans="1:7" ht="32.25" customHeight="1" x14ac:dyDescent="0.3">
      <c r="A22" s="55"/>
      <c r="B22" s="70"/>
      <c r="C22" s="71" t="s">
        <v>102</v>
      </c>
      <c r="D22" s="22">
        <v>991</v>
      </c>
      <c r="E22" s="86">
        <f t="shared" si="0"/>
        <v>4.8174614748918376</v>
      </c>
      <c r="F22" s="34" t="s">
        <v>19</v>
      </c>
      <c r="G22" s="55"/>
    </row>
    <row r="23" spans="1:7" ht="32.25" customHeight="1" x14ac:dyDescent="0.3">
      <c r="A23" s="55"/>
      <c r="B23" s="70"/>
      <c r="C23" s="71" t="s">
        <v>22</v>
      </c>
      <c r="D23" s="22">
        <v>830</v>
      </c>
      <c r="E23" s="86">
        <f t="shared" si="0"/>
        <v>4.0348062806864036</v>
      </c>
      <c r="F23" s="34" t="s">
        <v>29</v>
      </c>
      <c r="G23" s="55"/>
    </row>
    <row r="24" spans="1:7" ht="29.25" customHeight="1" x14ac:dyDescent="0.3">
      <c r="A24" s="55"/>
      <c r="B24" s="70"/>
      <c r="C24" s="71" t="s">
        <v>14</v>
      </c>
      <c r="D24" s="22">
        <v>2580</v>
      </c>
      <c r="E24" s="86">
        <f t="shared" si="0"/>
        <v>12.541927956832435</v>
      </c>
      <c r="F24" s="34" t="s">
        <v>199</v>
      </c>
      <c r="G24" s="55"/>
    </row>
    <row r="25" spans="1:7" ht="37.5" customHeight="1" x14ac:dyDescent="0.3">
      <c r="A25" s="55"/>
      <c r="B25" s="70"/>
      <c r="C25" s="71" t="s">
        <v>97</v>
      </c>
      <c r="D25" s="22">
        <v>400</v>
      </c>
      <c r="E25" s="86">
        <f t="shared" si="0"/>
        <v>1.9444849545476641</v>
      </c>
      <c r="F25" s="35" t="s">
        <v>23</v>
      </c>
      <c r="G25" s="55"/>
    </row>
    <row r="26" spans="1:7" ht="30" customHeight="1" x14ac:dyDescent="0.3">
      <c r="A26" s="55"/>
      <c r="B26" s="70"/>
      <c r="C26" s="71" t="s">
        <v>90</v>
      </c>
      <c r="D26" s="26">
        <v>520</v>
      </c>
      <c r="E26" s="86">
        <f t="shared" ref="E26" si="1">+D26*100/$D$30</f>
        <v>52</v>
      </c>
      <c r="F26" s="34" t="s">
        <v>202</v>
      </c>
      <c r="G26" s="55"/>
    </row>
    <row r="27" spans="1:7" ht="25.5" customHeight="1" x14ac:dyDescent="0.3">
      <c r="A27" s="55"/>
      <c r="B27" s="70"/>
      <c r="C27" s="71" t="s">
        <v>200</v>
      </c>
      <c r="D27" s="26">
        <v>150</v>
      </c>
      <c r="E27" s="86">
        <v>0.65416484954208465</v>
      </c>
      <c r="F27" s="34" t="s">
        <v>201</v>
      </c>
      <c r="G27" s="55"/>
    </row>
    <row r="28" spans="1:7" ht="24" customHeight="1" x14ac:dyDescent="0.3">
      <c r="A28" s="55"/>
      <c r="B28" s="70"/>
      <c r="C28" s="72" t="s">
        <v>96</v>
      </c>
      <c r="D28" s="27">
        <v>150</v>
      </c>
      <c r="E28" s="86">
        <f>+D28*100/$D$32</f>
        <v>0.72918185795537405</v>
      </c>
      <c r="F28" s="34" t="s">
        <v>11</v>
      </c>
      <c r="G28" s="55"/>
    </row>
    <row r="29" spans="1:7" ht="25.5" customHeight="1" x14ac:dyDescent="0.3">
      <c r="A29" s="55"/>
      <c r="B29" s="68" t="s">
        <v>5</v>
      </c>
      <c r="C29" s="69" t="s">
        <v>6</v>
      </c>
      <c r="D29" s="28"/>
      <c r="E29" s="86">
        <f>+D29*100/$D$32</f>
        <v>0</v>
      </c>
      <c r="F29" s="36"/>
      <c r="G29" s="55"/>
    </row>
    <row r="30" spans="1:7" ht="57" customHeight="1" x14ac:dyDescent="0.3">
      <c r="A30" s="55"/>
      <c r="B30" s="70"/>
      <c r="C30" s="71" t="s">
        <v>7</v>
      </c>
      <c r="D30" s="22">
        <v>1000</v>
      </c>
      <c r="E30" s="86">
        <f>+D30*100/$D$32</f>
        <v>4.8612123863691608</v>
      </c>
      <c r="F30" s="35" t="s">
        <v>25</v>
      </c>
      <c r="G30" s="55"/>
    </row>
    <row r="31" spans="1:7" ht="34.5" customHeight="1" thickBot="1" x14ac:dyDescent="0.35">
      <c r="A31" s="55"/>
      <c r="B31" s="70"/>
      <c r="C31" s="71" t="s">
        <v>95</v>
      </c>
      <c r="D31" s="90">
        <v>250</v>
      </c>
      <c r="E31" s="86">
        <f>+D31*100/$D$32</f>
        <v>1.2153030965922902</v>
      </c>
      <c r="F31" s="36" t="s">
        <v>26</v>
      </c>
      <c r="G31" s="55"/>
    </row>
    <row r="32" spans="1:7" ht="16.2" thickBot="1" x14ac:dyDescent="0.35">
      <c r="A32" s="55"/>
      <c r="B32" s="70"/>
      <c r="C32" s="6" t="s">
        <v>8</v>
      </c>
      <c r="D32" s="30">
        <f>SUM(D14:D31)</f>
        <v>20571</v>
      </c>
      <c r="E32" s="31">
        <f>+D32*100/$D$32</f>
        <v>100</v>
      </c>
      <c r="F32" s="49"/>
      <c r="G32" s="55"/>
    </row>
    <row r="33" spans="1:7" x14ac:dyDescent="0.3">
      <c r="A33" s="55"/>
      <c r="B33" s="57"/>
      <c r="C33" s="58"/>
      <c r="D33" s="61"/>
      <c r="E33" s="61"/>
      <c r="F33" s="45"/>
      <c r="G33" s="55"/>
    </row>
    <row r="34" spans="1:7" ht="21.75" customHeight="1" x14ac:dyDescent="0.3">
      <c r="A34" s="55"/>
      <c r="B34" s="57"/>
      <c r="C34" s="225" t="s">
        <v>211</v>
      </c>
      <c r="D34" s="251"/>
      <c r="E34" s="61"/>
      <c r="F34" s="45"/>
      <c r="G34" s="55"/>
    </row>
    <row r="35" spans="1:7" ht="35.25" customHeight="1" x14ac:dyDescent="0.3">
      <c r="A35" s="55"/>
      <c r="B35" s="57"/>
      <c r="C35" s="225" t="s">
        <v>9</v>
      </c>
      <c r="D35" s="227"/>
      <c r="E35" s="221"/>
      <c r="F35" s="63"/>
      <c r="G35" s="55"/>
    </row>
    <row r="36" spans="1:7" ht="26.25" customHeight="1" x14ac:dyDescent="0.3">
      <c r="A36" s="55"/>
      <c r="B36" s="57"/>
      <c r="C36" s="225" t="s">
        <v>63</v>
      </c>
      <c r="D36" s="227"/>
      <c r="E36" s="221"/>
      <c r="F36" s="63"/>
      <c r="G36" s="55"/>
    </row>
    <row r="37" spans="1:7" ht="22.5" customHeight="1" x14ac:dyDescent="0.3">
      <c r="A37" s="55"/>
      <c r="B37" s="57"/>
      <c r="C37" s="225" t="s">
        <v>30</v>
      </c>
      <c r="D37" s="4"/>
      <c r="E37" s="221"/>
      <c r="F37" s="63"/>
      <c r="G37" s="55"/>
    </row>
    <row r="38" spans="1:7" ht="21.75" customHeight="1" thickBot="1" x14ac:dyDescent="0.35">
      <c r="A38" s="55"/>
      <c r="B38" s="65"/>
      <c r="C38" s="264" t="s">
        <v>129</v>
      </c>
      <c r="D38" s="264"/>
      <c r="E38" s="66"/>
      <c r="F38" s="67"/>
      <c r="G38" s="55"/>
    </row>
    <row r="39" spans="1:7" ht="15" customHeight="1" x14ac:dyDescent="0.3">
      <c r="A39" s="55"/>
      <c r="B39" s="55"/>
      <c r="C39" s="55"/>
      <c r="D39" s="55"/>
      <c r="E39" s="55"/>
      <c r="F39" s="55"/>
      <c r="G39" s="55"/>
    </row>
    <row r="40" spans="1:7" x14ac:dyDescent="0.3">
      <c r="A40" s="55"/>
      <c r="B40" s="55"/>
      <c r="C40" s="55"/>
      <c r="D40" s="55"/>
      <c r="E40" s="55"/>
      <c r="F40" s="55"/>
      <c r="G40" s="55"/>
    </row>
    <row r="41" spans="1:7" x14ac:dyDescent="0.3">
      <c r="A41" s="55"/>
      <c r="B41" s="55"/>
      <c r="C41" s="55"/>
      <c r="D41" s="55"/>
      <c r="E41" s="55"/>
      <c r="F41" s="55"/>
      <c r="G41" s="55"/>
    </row>
    <row r="42" spans="1:7" x14ac:dyDescent="0.3">
      <c r="A42" s="55"/>
      <c r="B42" s="55"/>
      <c r="C42" s="55"/>
      <c r="D42" s="55"/>
      <c r="E42" s="55"/>
      <c r="F42" s="55"/>
      <c r="G42" s="55"/>
    </row>
    <row r="43" spans="1:7" x14ac:dyDescent="0.3">
      <c r="A43" s="55"/>
      <c r="B43" s="55"/>
      <c r="C43" s="55"/>
      <c r="D43" s="55"/>
      <c r="E43" s="55"/>
      <c r="F43" s="55"/>
      <c r="G43" s="55"/>
    </row>
    <row r="44" spans="1:7" x14ac:dyDescent="0.3">
      <c r="A44" s="55"/>
      <c r="B44" s="55"/>
      <c r="C44" s="55"/>
      <c r="D44" s="55"/>
      <c r="E44" s="55"/>
      <c r="F44" s="55"/>
      <c r="G44" s="55"/>
    </row>
    <row r="45" spans="1:7" x14ac:dyDescent="0.3">
      <c r="A45" s="55"/>
      <c r="B45" s="55"/>
      <c r="C45" s="55"/>
      <c r="D45" s="55"/>
      <c r="E45" s="55"/>
      <c r="F45" s="55"/>
      <c r="G45" s="55"/>
    </row>
    <row r="46" spans="1:7" x14ac:dyDescent="0.3">
      <c r="A46" s="55"/>
      <c r="B46" s="55"/>
      <c r="C46" s="55"/>
      <c r="D46" s="55"/>
      <c r="E46" s="55"/>
      <c r="F46" s="55"/>
      <c r="G46" s="55"/>
    </row>
    <row r="47" spans="1:7" x14ac:dyDescent="0.3">
      <c r="A47" s="55"/>
      <c r="B47" s="55"/>
      <c r="C47" s="55"/>
      <c r="D47" s="55"/>
      <c r="E47" s="55"/>
      <c r="F47" s="55"/>
      <c r="G47" s="55"/>
    </row>
    <row r="48" spans="1:7" x14ac:dyDescent="0.3">
      <c r="A48" s="55"/>
      <c r="B48" s="55"/>
      <c r="C48" s="55"/>
      <c r="D48" s="55"/>
      <c r="E48" s="55"/>
      <c r="F48" s="55"/>
      <c r="G48" s="55"/>
    </row>
  </sheetData>
  <mergeCells count="6">
    <mergeCell ref="C38:D38"/>
    <mergeCell ref="C4:F4"/>
    <mergeCell ref="C5:F5"/>
    <mergeCell ref="C7:F7"/>
    <mergeCell ref="C8:F8"/>
    <mergeCell ref="C9:F9"/>
  </mergeCells>
  <printOptions horizontalCentered="1"/>
  <pageMargins left="0.59055118110236227" right="0.59055118110236227" top="0.78740157480314965" bottom="0.74803149606299213" header="0.31496062992125984" footer="0.31496062992125984"/>
  <pageSetup paperSize="9" scale="5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5E941-C497-4BC7-9FED-C1C799713FB6}">
  <sheetPr>
    <tabColor rgb="FFFFC000"/>
  </sheetPr>
  <dimension ref="A1:G41"/>
  <sheetViews>
    <sheetView topLeftCell="A6" workbookViewId="0">
      <selection activeCell="D13" sqref="D13"/>
    </sheetView>
  </sheetViews>
  <sheetFormatPr defaultColWidth="11.5546875" defaultRowHeight="14.4" x14ac:dyDescent="0.3"/>
  <cols>
    <col min="1" max="1" width="2.88671875" customWidth="1"/>
    <col min="2" max="2" width="5.5546875" customWidth="1"/>
    <col min="3" max="3" width="39.6640625" customWidth="1"/>
    <col min="4" max="4" width="24.6640625" customWidth="1"/>
    <col min="5" max="5" width="20.44140625" customWidth="1"/>
    <col min="6" max="6" width="86.88671875" bestFit="1" customWidth="1"/>
    <col min="7" max="7" width="4.6640625" customWidth="1"/>
    <col min="8" max="8" width="24.5546875" customWidth="1"/>
    <col min="10" max="10" width="20" customWidth="1"/>
  </cols>
  <sheetData>
    <row r="1" spans="1:7" x14ac:dyDescent="0.3">
      <c r="A1" s="55"/>
      <c r="B1" s="55"/>
      <c r="C1" s="55"/>
      <c r="D1" s="55"/>
      <c r="E1" s="55"/>
      <c r="F1" s="55"/>
      <c r="G1" s="55"/>
    </row>
    <row r="2" spans="1:7" x14ac:dyDescent="0.3">
      <c r="A2" s="55"/>
      <c r="B2" s="55"/>
      <c r="C2" s="55"/>
      <c r="D2" s="55"/>
      <c r="E2" s="55"/>
      <c r="F2" s="55"/>
      <c r="G2" s="55"/>
    </row>
    <row r="3" spans="1:7" ht="15" thickBot="1" x14ac:dyDescent="0.35">
      <c r="A3" s="55"/>
      <c r="B3" s="55"/>
      <c r="C3" s="55"/>
      <c r="D3" s="55"/>
      <c r="E3" s="55"/>
      <c r="F3" s="55"/>
      <c r="G3" s="55"/>
    </row>
    <row r="4" spans="1:7" ht="17.399999999999999" x14ac:dyDescent="0.3">
      <c r="A4" s="55"/>
      <c r="B4" s="56"/>
      <c r="C4" s="253" t="s">
        <v>15</v>
      </c>
      <c r="D4" s="253"/>
      <c r="E4" s="253"/>
      <c r="F4" s="254"/>
      <c r="G4" s="55"/>
    </row>
    <row r="5" spans="1:7" ht="17.399999999999999" x14ac:dyDescent="0.3">
      <c r="A5" s="55"/>
      <c r="B5" s="57"/>
      <c r="C5" s="255" t="s">
        <v>203</v>
      </c>
      <c r="D5" s="255"/>
      <c r="E5" s="255"/>
      <c r="F5" s="256"/>
      <c r="G5" s="55"/>
    </row>
    <row r="6" spans="1:7" ht="16.2" thickBot="1" x14ac:dyDescent="0.35">
      <c r="A6" s="55"/>
      <c r="B6" s="57"/>
      <c r="C6" s="3"/>
      <c r="D6" s="58"/>
      <c r="E6" s="58"/>
      <c r="F6" s="45"/>
      <c r="G6" s="55"/>
    </row>
    <row r="7" spans="1:7" ht="15.6" x14ac:dyDescent="0.3">
      <c r="A7" s="55"/>
      <c r="B7" s="57"/>
      <c r="C7" s="59"/>
      <c r="D7" s="16" t="s">
        <v>137</v>
      </c>
      <c r="E7" s="265" t="s">
        <v>16</v>
      </c>
      <c r="F7" s="38" t="s">
        <v>10</v>
      </c>
      <c r="G7" s="55"/>
    </row>
    <row r="8" spans="1:7" ht="16.2" thickBot="1" x14ac:dyDescent="0.35">
      <c r="A8" s="55"/>
      <c r="B8" s="57"/>
      <c r="C8" s="58"/>
      <c r="D8" s="18" t="s">
        <v>0</v>
      </c>
      <c r="E8" s="266"/>
      <c r="F8" s="32"/>
      <c r="G8" s="55"/>
    </row>
    <row r="9" spans="1:7" x14ac:dyDescent="0.3">
      <c r="A9" s="55"/>
      <c r="B9" s="68" t="s">
        <v>1</v>
      </c>
      <c r="C9" s="69" t="s">
        <v>2</v>
      </c>
      <c r="D9" s="60"/>
      <c r="E9" s="85"/>
      <c r="F9" s="36"/>
      <c r="G9" s="55"/>
    </row>
    <row r="10" spans="1:7" ht="33.75" customHeight="1" x14ac:dyDescent="0.3">
      <c r="A10" s="55"/>
      <c r="B10" s="70"/>
      <c r="C10" s="71" t="s">
        <v>21</v>
      </c>
      <c r="D10" s="22">
        <v>3000</v>
      </c>
      <c r="E10" s="86">
        <f>+D10*100/D24</f>
        <v>16.059097478721696</v>
      </c>
      <c r="F10" s="34" t="s">
        <v>27</v>
      </c>
      <c r="G10" s="55"/>
    </row>
    <row r="11" spans="1:7" ht="29.25" customHeight="1" x14ac:dyDescent="0.3">
      <c r="A11" s="55"/>
      <c r="B11" s="70"/>
      <c r="C11" s="71" t="s">
        <v>72</v>
      </c>
      <c r="D11" s="22">
        <v>4600</v>
      </c>
      <c r="E11" s="86">
        <f t="shared" ref="E11:E24" si="0">+D11*100/$D$24</f>
        <v>24.623949467373269</v>
      </c>
      <c r="F11" s="34" t="s">
        <v>217</v>
      </c>
      <c r="G11" s="55"/>
    </row>
    <row r="12" spans="1:7" ht="27.6" x14ac:dyDescent="0.3">
      <c r="A12" s="55"/>
      <c r="B12" s="70"/>
      <c r="C12" s="71" t="s">
        <v>72</v>
      </c>
      <c r="D12" s="22">
        <v>4000</v>
      </c>
      <c r="E12" s="86">
        <f t="shared" si="0"/>
        <v>21.412129971628929</v>
      </c>
      <c r="F12" s="35" t="s">
        <v>220</v>
      </c>
      <c r="G12" s="55"/>
    </row>
    <row r="13" spans="1:7" ht="57.75" customHeight="1" x14ac:dyDescent="0.3">
      <c r="A13" s="55"/>
      <c r="B13" s="70"/>
      <c r="C13" s="71" t="s">
        <v>57</v>
      </c>
      <c r="D13" s="22">
        <v>1500</v>
      </c>
      <c r="E13" s="86">
        <f t="shared" si="0"/>
        <v>8.0295487393608482</v>
      </c>
      <c r="F13" s="35"/>
      <c r="G13" s="55"/>
    </row>
    <row r="14" spans="1:7" x14ac:dyDescent="0.3">
      <c r="A14" s="55"/>
      <c r="B14" s="68" t="s">
        <v>3</v>
      </c>
      <c r="C14" s="69" t="s">
        <v>4</v>
      </c>
      <c r="D14" s="25"/>
      <c r="E14" s="86">
        <f t="shared" si="0"/>
        <v>0</v>
      </c>
      <c r="F14" s="36"/>
      <c r="G14" s="55"/>
    </row>
    <row r="15" spans="1:7" ht="32.25" customHeight="1" x14ac:dyDescent="0.3">
      <c r="A15" s="55"/>
      <c r="B15" s="70"/>
      <c r="C15" s="71" t="s">
        <v>102</v>
      </c>
      <c r="D15" s="22">
        <v>891</v>
      </c>
      <c r="E15" s="86">
        <f t="shared" si="0"/>
        <v>4.7695519511803433</v>
      </c>
      <c r="F15" s="34" t="s">
        <v>19</v>
      </c>
      <c r="G15" s="55"/>
    </row>
    <row r="16" spans="1:7" ht="32.25" customHeight="1" x14ac:dyDescent="0.3">
      <c r="A16" s="55"/>
      <c r="B16" s="70"/>
      <c r="C16" s="71" t="s">
        <v>22</v>
      </c>
      <c r="D16" s="22">
        <v>1245</v>
      </c>
      <c r="E16" s="86">
        <f t="shared" si="0"/>
        <v>6.664525453669504</v>
      </c>
      <c r="F16" s="34" t="s">
        <v>29</v>
      </c>
      <c r="G16" s="55"/>
    </row>
    <row r="17" spans="1:7" ht="29.25" customHeight="1" x14ac:dyDescent="0.3">
      <c r="A17" s="55"/>
      <c r="B17" s="70"/>
      <c r="C17" s="71" t="s">
        <v>14</v>
      </c>
      <c r="D17" s="22">
        <v>1300</v>
      </c>
      <c r="E17" s="86">
        <f t="shared" si="0"/>
        <v>6.9589422407794013</v>
      </c>
      <c r="F17" s="34" t="s">
        <v>204</v>
      </c>
      <c r="G17" s="55"/>
    </row>
    <row r="18" spans="1:7" x14ac:dyDescent="0.3">
      <c r="A18" s="55"/>
      <c r="B18" s="70"/>
      <c r="C18" s="71" t="s">
        <v>97</v>
      </c>
      <c r="D18" s="22">
        <v>225</v>
      </c>
      <c r="E18" s="86">
        <f t="shared" si="0"/>
        <v>1.2044323109041273</v>
      </c>
      <c r="F18" s="35" t="s">
        <v>23</v>
      </c>
      <c r="G18" s="55"/>
    </row>
    <row r="19" spans="1:7" ht="30" customHeight="1" x14ac:dyDescent="0.3">
      <c r="A19" s="55"/>
      <c r="B19" s="70"/>
      <c r="C19" s="71" t="s">
        <v>96</v>
      </c>
      <c r="D19" s="22">
        <v>200</v>
      </c>
      <c r="E19" s="86">
        <f t="shared" si="0"/>
        <v>1.0706064985814463</v>
      </c>
      <c r="F19" s="34" t="s">
        <v>24</v>
      </c>
      <c r="G19" s="55"/>
    </row>
    <row r="20" spans="1:7" ht="25.5" customHeight="1" x14ac:dyDescent="0.3">
      <c r="A20" s="55"/>
      <c r="B20" s="70"/>
      <c r="C20" s="71" t="s">
        <v>90</v>
      </c>
      <c r="D20" s="26">
        <v>520</v>
      </c>
      <c r="E20" s="86">
        <f t="shared" si="0"/>
        <v>2.7835768963117604</v>
      </c>
      <c r="F20" s="34" t="s">
        <v>11</v>
      </c>
      <c r="G20" s="55"/>
    </row>
    <row r="21" spans="1:7" ht="25.5" customHeight="1" x14ac:dyDescent="0.3">
      <c r="A21" s="55"/>
      <c r="B21" s="68" t="s">
        <v>5</v>
      </c>
      <c r="C21" s="69" t="s">
        <v>6</v>
      </c>
      <c r="D21" s="28"/>
      <c r="E21" s="86">
        <f t="shared" si="0"/>
        <v>0</v>
      </c>
      <c r="F21" s="36"/>
      <c r="G21" s="55"/>
    </row>
    <row r="22" spans="1:7" x14ac:dyDescent="0.3">
      <c r="A22" s="55"/>
      <c r="B22" s="70"/>
      <c r="C22" s="71" t="s">
        <v>7</v>
      </c>
      <c r="D22" s="22">
        <v>1000</v>
      </c>
      <c r="E22" s="86">
        <f t="shared" si="0"/>
        <v>5.3530324929072322</v>
      </c>
      <c r="F22" s="35" t="s">
        <v>25</v>
      </c>
      <c r="G22" s="55"/>
    </row>
    <row r="23" spans="1:7" ht="15" thickBot="1" x14ac:dyDescent="0.35">
      <c r="A23" s="55"/>
      <c r="B23" s="70"/>
      <c r="C23" s="71" t="s">
        <v>95</v>
      </c>
      <c r="D23" s="90">
        <v>200</v>
      </c>
      <c r="E23" s="86">
        <f t="shared" si="0"/>
        <v>1.0706064985814463</v>
      </c>
      <c r="F23" s="36" t="s">
        <v>26</v>
      </c>
      <c r="G23" s="55"/>
    </row>
    <row r="24" spans="1:7" ht="16.2" thickBot="1" x14ac:dyDescent="0.35">
      <c r="A24" s="55"/>
      <c r="B24" s="70"/>
      <c r="C24" s="6" t="s">
        <v>8</v>
      </c>
      <c r="D24" s="30">
        <f>SUM(D9:D23)</f>
        <v>18681</v>
      </c>
      <c r="E24" s="31">
        <f t="shared" si="0"/>
        <v>100</v>
      </c>
      <c r="F24" s="49"/>
      <c r="G24" s="55"/>
    </row>
    <row r="25" spans="1:7" x14ac:dyDescent="0.3">
      <c r="A25" s="55"/>
      <c r="B25" s="57"/>
      <c r="C25" s="58"/>
      <c r="D25" s="61"/>
      <c r="E25" s="61"/>
      <c r="F25" s="45"/>
      <c r="G25" s="55"/>
    </row>
    <row r="26" spans="1:7" ht="21.75" customHeight="1" x14ac:dyDescent="0.3">
      <c r="A26" s="55"/>
      <c r="B26" s="57"/>
      <c r="C26" s="72"/>
      <c r="D26" s="61">
        <v>19181</v>
      </c>
      <c r="E26" s="61"/>
      <c r="F26" s="45"/>
      <c r="G26" s="55"/>
    </row>
    <row r="27" spans="1:7" ht="35.25" customHeight="1" x14ac:dyDescent="0.3">
      <c r="A27" s="55"/>
      <c r="B27" s="57"/>
      <c r="C27" s="212" t="s">
        <v>9</v>
      </c>
      <c r="D27" s="62">
        <f>+D26-D24</f>
        <v>500</v>
      </c>
      <c r="E27" s="62"/>
      <c r="F27" s="63"/>
      <c r="G27" s="55"/>
    </row>
    <row r="28" spans="1:7" ht="26.25" customHeight="1" x14ac:dyDescent="0.3">
      <c r="A28" s="55"/>
      <c r="B28" s="57"/>
      <c r="C28" s="212" t="s">
        <v>63</v>
      </c>
      <c r="D28" s="62"/>
      <c r="E28" s="62"/>
      <c r="F28" s="63"/>
      <c r="G28" s="55"/>
    </row>
    <row r="29" spans="1:7" ht="22.5" customHeight="1" x14ac:dyDescent="0.3">
      <c r="A29" s="55"/>
      <c r="B29" s="57"/>
      <c r="C29" s="212" t="s">
        <v>30</v>
      </c>
      <c r="D29" s="64"/>
      <c r="E29" s="64"/>
      <c r="F29" s="63"/>
      <c r="G29" s="55"/>
    </row>
    <row r="30" spans="1:7" ht="22.5" customHeight="1" x14ac:dyDescent="0.3">
      <c r="A30" s="55"/>
      <c r="B30" s="57"/>
      <c r="C30" s="212" t="s">
        <v>205</v>
      </c>
      <c r="D30" s="64"/>
      <c r="E30" s="64"/>
      <c r="F30" s="63"/>
      <c r="G30" s="55"/>
    </row>
    <row r="31" spans="1:7" ht="15" thickBot="1" x14ac:dyDescent="0.35">
      <c r="A31" s="55"/>
      <c r="B31" s="65"/>
      <c r="C31" s="213" t="s">
        <v>206</v>
      </c>
      <c r="D31" s="214"/>
      <c r="E31" s="214"/>
      <c r="F31" s="67"/>
      <c r="G31" s="55"/>
    </row>
    <row r="32" spans="1:7" ht="15" customHeight="1" x14ac:dyDescent="0.3">
      <c r="A32" s="55"/>
      <c r="B32" s="55"/>
      <c r="C32" s="55"/>
      <c r="D32" s="55"/>
      <c r="E32" s="55"/>
      <c r="F32" s="55"/>
      <c r="G32" s="55"/>
    </row>
    <row r="33" spans="1:7" x14ac:dyDescent="0.3">
      <c r="A33" s="55"/>
      <c r="B33" s="55"/>
      <c r="C33" s="55"/>
      <c r="D33" s="55"/>
      <c r="E33" s="55"/>
      <c r="F33" s="55"/>
      <c r="G33" s="55"/>
    </row>
    <row r="34" spans="1:7" x14ac:dyDescent="0.3">
      <c r="A34" s="55"/>
      <c r="B34" s="55"/>
      <c r="C34" s="55"/>
      <c r="D34" s="55"/>
      <c r="E34" s="55"/>
      <c r="F34" s="55"/>
      <c r="G34" s="55"/>
    </row>
    <row r="35" spans="1:7" x14ac:dyDescent="0.3">
      <c r="A35" s="55"/>
      <c r="B35" s="55"/>
      <c r="C35" s="55"/>
      <c r="D35" s="55"/>
      <c r="E35" s="55"/>
      <c r="F35" s="55"/>
      <c r="G35" s="55"/>
    </row>
    <row r="36" spans="1:7" x14ac:dyDescent="0.3">
      <c r="A36" s="55"/>
      <c r="B36" s="55"/>
      <c r="C36" s="55"/>
      <c r="D36" s="55"/>
      <c r="E36" s="55"/>
      <c r="F36" s="55"/>
      <c r="G36" s="55"/>
    </row>
    <row r="37" spans="1:7" x14ac:dyDescent="0.3">
      <c r="A37" s="55"/>
      <c r="B37" s="55"/>
      <c r="C37" s="55"/>
      <c r="D37" s="55"/>
      <c r="E37" s="55"/>
      <c r="F37" s="55"/>
      <c r="G37" s="55"/>
    </row>
    <row r="38" spans="1:7" x14ac:dyDescent="0.3">
      <c r="A38" s="55"/>
      <c r="B38" s="55"/>
      <c r="C38" s="55"/>
      <c r="D38" s="55"/>
      <c r="E38" s="55"/>
      <c r="F38" s="55"/>
      <c r="G38" s="55"/>
    </row>
    <row r="39" spans="1:7" x14ac:dyDescent="0.3">
      <c r="A39" s="55"/>
      <c r="B39" s="55"/>
      <c r="C39" s="55"/>
      <c r="D39" s="55"/>
      <c r="E39" s="55"/>
      <c r="F39" s="55"/>
      <c r="G39" s="55"/>
    </row>
    <row r="40" spans="1:7" x14ac:dyDescent="0.3">
      <c r="A40" s="55"/>
      <c r="B40" s="55"/>
      <c r="C40" s="55"/>
      <c r="D40" s="55"/>
      <c r="E40" s="55"/>
      <c r="F40" s="55"/>
      <c r="G40" s="55"/>
    </row>
    <row r="41" spans="1:7" x14ac:dyDescent="0.3">
      <c r="A41" s="55"/>
      <c r="B41" s="55"/>
      <c r="C41" s="55"/>
      <c r="D41" s="55"/>
      <c r="E41" s="55"/>
      <c r="F41" s="55"/>
      <c r="G41" s="55"/>
    </row>
  </sheetData>
  <mergeCells count="3">
    <mergeCell ref="C4:F4"/>
    <mergeCell ref="C5:F5"/>
    <mergeCell ref="E7:E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B3:F39"/>
  <sheetViews>
    <sheetView view="pageBreakPreview" topLeftCell="B11" zoomScale="90" zoomScaleNormal="100" zoomScaleSheetLayoutView="90" workbookViewId="0">
      <selection activeCell="E18" sqref="E18"/>
    </sheetView>
  </sheetViews>
  <sheetFormatPr defaultColWidth="11.5546875" defaultRowHeight="14.4" x14ac:dyDescent="0.3"/>
  <cols>
    <col min="1" max="1" width="7" customWidth="1"/>
    <col min="2" max="2" width="5.5546875" customWidth="1"/>
    <col min="3" max="3" width="43" customWidth="1"/>
    <col min="4" max="4" width="26.44140625" customWidth="1"/>
    <col min="5" max="5" width="14" customWidth="1"/>
    <col min="6" max="6" width="74.88671875" customWidth="1"/>
    <col min="7" max="7" width="7.33203125" customWidth="1"/>
    <col min="8" max="8" width="24.5546875" customWidth="1"/>
    <col min="10" max="10" width="20" customWidth="1"/>
  </cols>
  <sheetData>
    <row r="3" spans="2:6" ht="15" thickBot="1" x14ac:dyDescent="0.35"/>
    <row r="4" spans="2:6" ht="33" customHeight="1" x14ac:dyDescent="0.3">
      <c r="B4" s="1"/>
      <c r="C4" s="253" t="s">
        <v>15</v>
      </c>
      <c r="D4" s="253"/>
      <c r="E4" s="253"/>
      <c r="F4" s="254"/>
    </row>
    <row r="5" spans="2:6" ht="17.399999999999999" x14ac:dyDescent="0.3">
      <c r="B5" s="2"/>
      <c r="C5" s="255" t="s">
        <v>53</v>
      </c>
      <c r="D5" s="255"/>
      <c r="E5" s="255"/>
      <c r="F5" s="256"/>
    </row>
    <row r="6" spans="2:6" ht="15.6" x14ac:dyDescent="0.3">
      <c r="B6" s="2"/>
      <c r="C6" s="3"/>
      <c r="D6" s="8"/>
      <c r="E6" s="8"/>
      <c r="F6" s="9"/>
    </row>
    <row r="7" spans="2:6" x14ac:dyDescent="0.3">
      <c r="B7" s="2"/>
      <c r="C7" s="260" t="s">
        <v>223</v>
      </c>
      <c r="D7" s="260"/>
      <c r="E7" s="260"/>
      <c r="F7" s="261"/>
    </row>
    <row r="8" spans="2:6" x14ac:dyDescent="0.3">
      <c r="B8" s="2"/>
      <c r="C8" s="260" t="s">
        <v>224</v>
      </c>
      <c r="D8" s="260"/>
      <c r="E8" s="260"/>
      <c r="F8" s="261"/>
    </row>
    <row r="9" spans="2:6" x14ac:dyDescent="0.3">
      <c r="B9" s="2"/>
      <c r="C9" s="262" t="s">
        <v>225</v>
      </c>
      <c r="D9" s="262"/>
      <c r="E9" s="262"/>
      <c r="F9" s="263"/>
    </row>
    <row r="10" spans="2:6" x14ac:dyDescent="0.3">
      <c r="B10" s="2"/>
      <c r="C10" s="245"/>
      <c r="D10" s="245"/>
      <c r="E10" s="245"/>
      <c r="F10" s="246"/>
    </row>
    <row r="11" spans="2:6" ht="15" thickBot="1" x14ac:dyDescent="0.35">
      <c r="B11" s="2"/>
      <c r="C11" s="245"/>
      <c r="D11" s="245"/>
      <c r="E11" s="245"/>
      <c r="F11" s="246"/>
    </row>
    <row r="12" spans="2:6" ht="15.6" x14ac:dyDescent="0.3">
      <c r="B12" s="2"/>
      <c r="C12" s="4"/>
      <c r="D12" s="16" t="s">
        <v>137</v>
      </c>
      <c r="E12" s="17"/>
      <c r="F12" s="40" t="s">
        <v>10</v>
      </c>
    </row>
    <row r="13" spans="2:6" ht="16.2" thickBot="1" x14ac:dyDescent="0.35">
      <c r="B13" s="2"/>
      <c r="C13" s="8"/>
      <c r="D13" s="18" t="s">
        <v>0</v>
      </c>
      <c r="E13" s="19" t="s">
        <v>16</v>
      </c>
      <c r="F13" s="41"/>
    </row>
    <row r="14" spans="2:6" x14ac:dyDescent="0.3">
      <c r="B14" s="5" t="s">
        <v>1</v>
      </c>
      <c r="C14" s="4" t="s">
        <v>2</v>
      </c>
      <c r="D14" s="20"/>
      <c r="E14" s="21"/>
      <c r="F14" s="9"/>
    </row>
    <row r="15" spans="2:6" ht="33.75" customHeight="1" x14ac:dyDescent="0.3">
      <c r="B15" s="2"/>
      <c r="C15" s="15" t="s">
        <v>101</v>
      </c>
      <c r="D15" s="22">
        <v>3500</v>
      </c>
      <c r="E15" s="133">
        <f>+D15*100/D32</f>
        <v>22.521073290007077</v>
      </c>
      <c r="F15" s="42" t="s">
        <v>54</v>
      </c>
    </row>
    <row r="16" spans="2:6" ht="29.25" customHeight="1" x14ac:dyDescent="0.3">
      <c r="B16" s="2"/>
      <c r="C16" s="15" t="s">
        <v>100</v>
      </c>
      <c r="D16" s="22">
        <v>3500</v>
      </c>
      <c r="E16" s="133">
        <f>+D16*100/$D$32</f>
        <v>22.521073290007077</v>
      </c>
      <c r="F16" s="42" t="s">
        <v>54</v>
      </c>
    </row>
    <row r="17" spans="2:6" ht="31.5" customHeight="1" x14ac:dyDescent="0.3">
      <c r="B17" s="2"/>
      <c r="C17" s="15" t="s">
        <v>55</v>
      </c>
      <c r="D17" s="22">
        <v>280</v>
      </c>
      <c r="E17" s="133">
        <f t="shared" ref="E17:E18" si="0">+D17*100/$D$32</f>
        <v>1.8016858632005663</v>
      </c>
      <c r="F17" s="42" t="s">
        <v>56</v>
      </c>
    </row>
    <row r="18" spans="2:6" ht="27" customHeight="1" x14ac:dyDescent="0.3">
      <c r="B18" s="2"/>
      <c r="C18" s="8" t="s">
        <v>57</v>
      </c>
      <c r="D18" s="24">
        <v>1000</v>
      </c>
      <c r="E18" s="133">
        <f t="shared" si="0"/>
        <v>6.4345923685734512</v>
      </c>
      <c r="F18" s="42" t="s">
        <v>108</v>
      </c>
    </row>
    <row r="19" spans="2:6" ht="27" customHeight="1" x14ac:dyDescent="0.3">
      <c r="B19" s="2"/>
      <c r="C19" s="8"/>
      <c r="D19" s="24"/>
      <c r="E19" s="133"/>
      <c r="F19" s="42"/>
    </row>
    <row r="20" spans="2:6" ht="14.25" customHeight="1" x14ac:dyDescent="0.3">
      <c r="B20" s="5" t="s">
        <v>3</v>
      </c>
      <c r="C20" s="4" t="s">
        <v>4</v>
      </c>
      <c r="D20" s="46"/>
      <c r="E20" s="133"/>
      <c r="F20" s="43"/>
    </row>
    <row r="21" spans="2:6" ht="32.25" customHeight="1" x14ac:dyDescent="0.3">
      <c r="B21" s="2"/>
      <c r="C21" s="15" t="s">
        <v>102</v>
      </c>
      <c r="D21" s="22">
        <v>891</v>
      </c>
      <c r="E21" s="133">
        <f t="shared" ref="E21:E27" si="1">+D21*100/$D$32</f>
        <v>5.7332218003989448</v>
      </c>
      <c r="F21" s="42" t="s">
        <v>58</v>
      </c>
    </row>
    <row r="22" spans="2:6" ht="32.25" customHeight="1" x14ac:dyDescent="0.3">
      <c r="B22" s="2"/>
      <c r="C22" s="91" t="s">
        <v>22</v>
      </c>
      <c r="D22" s="22">
        <v>3000</v>
      </c>
      <c r="E22" s="133">
        <f t="shared" si="1"/>
        <v>19.303777105720354</v>
      </c>
      <c r="F22" s="42" t="s">
        <v>145</v>
      </c>
    </row>
    <row r="23" spans="2:6" ht="29.25" customHeight="1" x14ac:dyDescent="0.3">
      <c r="B23" s="2"/>
      <c r="C23" s="15" t="s">
        <v>14</v>
      </c>
      <c r="D23" s="22">
        <v>550</v>
      </c>
      <c r="E23" s="133">
        <f t="shared" si="1"/>
        <v>3.5390258027153978</v>
      </c>
      <c r="F23" s="42" t="s">
        <v>59</v>
      </c>
    </row>
    <row r="24" spans="2:6" ht="37.5" customHeight="1" x14ac:dyDescent="0.3">
      <c r="B24" s="2"/>
      <c r="C24" s="15" t="s">
        <v>18</v>
      </c>
      <c r="D24" s="22"/>
      <c r="E24" s="133">
        <f t="shared" si="1"/>
        <v>0</v>
      </c>
      <c r="F24" s="44" t="s">
        <v>60</v>
      </c>
    </row>
    <row r="25" spans="2:6" ht="30" customHeight="1" x14ac:dyDescent="0.3">
      <c r="B25" s="2"/>
      <c r="C25" s="15" t="s">
        <v>90</v>
      </c>
      <c r="D25" s="22">
        <v>670</v>
      </c>
      <c r="E25" s="133">
        <f t="shared" si="1"/>
        <v>4.311176886944212</v>
      </c>
      <c r="F25" s="42" t="s">
        <v>61</v>
      </c>
    </row>
    <row r="26" spans="2:6" ht="25.5" customHeight="1" x14ac:dyDescent="0.3">
      <c r="B26" s="2"/>
      <c r="C26" s="15" t="s">
        <v>96</v>
      </c>
      <c r="D26" s="26">
        <v>200</v>
      </c>
      <c r="E26" s="133">
        <f t="shared" si="1"/>
        <v>1.2869184737146901</v>
      </c>
      <c r="F26" s="42" t="s">
        <v>20</v>
      </c>
    </row>
    <row r="27" spans="2:6" ht="24" customHeight="1" x14ac:dyDescent="0.3">
      <c r="B27" s="2"/>
      <c r="C27" s="8" t="s">
        <v>97</v>
      </c>
      <c r="D27" s="47">
        <v>450</v>
      </c>
      <c r="E27" s="133">
        <f t="shared" si="1"/>
        <v>2.8955665658580529</v>
      </c>
      <c r="F27" s="42" t="s">
        <v>146</v>
      </c>
    </row>
    <row r="28" spans="2:6" ht="25.5" customHeight="1" x14ac:dyDescent="0.3">
      <c r="B28" s="5" t="s">
        <v>5</v>
      </c>
      <c r="C28" s="4" t="s">
        <v>6</v>
      </c>
      <c r="D28" s="28"/>
      <c r="E28" s="133"/>
      <c r="F28" s="45"/>
    </row>
    <row r="29" spans="2:6" ht="57" customHeight="1" x14ac:dyDescent="0.3">
      <c r="B29" s="2"/>
      <c r="C29" s="15" t="s">
        <v>7</v>
      </c>
      <c r="D29" s="22">
        <v>1100</v>
      </c>
      <c r="E29" s="133">
        <f>+D29*100/$D$32</f>
        <v>7.0780516054307956</v>
      </c>
      <c r="F29" s="44" t="s">
        <v>62</v>
      </c>
    </row>
    <row r="30" spans="2:6" x14ac:dyDescent="0.3">
      <c r="B30" s="2"/>
      <c r="C30" s="8" t="s">
        <v>171</v>
      </c>
      <c r="D30" s="47">
        <v>400</v>
      </c>
      <c r="E30" s="133">
        <f>+D30*100/$D$32</f>
        <v>2.5738369474293803</v>
      </c>
      <c r="F30" s="43" t="s">
        <v>103</v>
      </c>
    </row>
    <row r="31" spans="2:6" ht="15" thickBot="1" x14ac:dyDescent="0.35">
      <c r="B31" s="2"/>
      <c r="C31" s="8"/>
      <c r="D31" s="48"/>
      <c r="E31" s="23"/>
      <c r="F31" s="45"/>
    </row>
    <row r="32" spans="2:6" ht="16.2" thickBot="1" x14ac:dyDescent="0.35">
      <c r="B32" s="2"/>
      <c r="C32" s="6" t="s">
        <v>8</v>
      </c>
      <c r="D32" s="30">
        <f>SUM(D15:D30)</f>
        <v>15541</v>
      </c>
      <c r="E32" s="31">
        <f>+D32*100/$D$32</f>
        <v>100</v>
      </c>
      <c r="F32" s="49"/>
    </row>
    <row r="33" spans="2:6" x14ac:dyDescent="0.3">
      <c r="B33" s="2"/>
      <c r="C33" s="8"/>
      <c r="D33" s="14"/>
      <c r="E33" s="14"/>
      <c r="F33" s="9"/>
    </row>
    <row r="34" spans="2:6" ht="21.75" customHeight="1" x14ac:dyDescent="0.3">
      <c r="B34" s="2"/>
      <c r="C34" s="247" t="s">
        <v>211</v>
      </c>
      <c r="D34" s="238"/>
      <c r="E34" s="238"/>
      <c r="F34" s="248"/>
    </row>
    <row r="35" spans="2:6" ht="35.25" customHeight="1" x14ac:dyDescent="0.3">
      <c r="B35" s="2"/>
      <c r="C35" s="225" t="s">
        <v>9</v>
      </c>
      <c r="D35" s="227"/>
      <c r="E35" s="268" t="s">
        <v>104</v>
      </c>
      <c r="F35" s="269"/>
    </row>
    <row r="36" spans="2:6" ht="26.25" customHeight="1" x14ac:dyDescent="0.3">
      <c r="B36" s="2"/>
      <c r="C36" s="225" t="s">
        <v>63</v>
      </c>
      <c r="D36" s="227"/>
      <c r="E36" s="249" t="s">
        <v>105</v>
      </c>
      <c r="F36" s="250"/>
    </row>
    <row r="37" spans="2:6" ht="34.5" customHeight="1" x14ac:dyDescent="0.3">
      <c r="B37" s="2"/>
      <c r="C37" s="225" t="s">
        <v>30</v>
      </c>
      <c r="D37" s="227"/>
      <c r="E37" s="249" t="s">
        <v>106</v>
      </c>
      <c r="F37" s="250"/>
    </row>
    <row r="38" spans="2:6" ht="32.25" customHeight="1" thickBot="1" x14ac:dyDescent="0.35">
      <c r="B38" s="7"/>
      <c r="C38" s="267"/>
      <c r="D38" s="267"/>
      <c r="E38" s="270" t="s">
        <v>107</v>
      </c>
      <c r="F38" s="271"/>
    </row>
    <row r="39" spans="2:6" ht="15" customHeight="1" x14ac:dyDescent="0.3"/>
  </sheetData>
  <mergeCells count="8">
    <mergeCell ref="C4:F4"/>
    <mergeCell ref="C5:F5"/>
    <mergeCell ref="C38:D38"/>
    <mergeCell ref="E35:F35"/>
    <mergeCell ref="E38:F38"/>
    <mergeCell ref="C7:F7"/>
    <mergeCell ref="C8:F8"/>
    <mergeCell ref="C9:F9"/>
  </mergeCells>
  <pageMargins left="0.70866141732283472" right="0.31496062992125984" top="0.74803149606299213" bottom="0.74803149606299213" header="0.31496062992125984" footer="0.31496062992125984"/>
  <pageSetup paperSize="9" scale="51" orientation="portrait" r:id="rId1"/>
  <colBreaks count="1" manualBreakCount="1">
    <brk id="7" max="36"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H48"/>
  <sheetViews>
    <sheetView view="pageBreakPreview" topLeftCell="A21" zoomScale="90" zoomScaleNormal="90" zoomScaleSheetLayoutView="90" workbookViewId="0">
      <selection activeCell="C13" sqref="C13:C30"/>
    </sheetView>
  </sheetViews>
  <sheetFormatPr defaultColWidth="11.5546875" defaultRowHeight="14.4" x14ac:dyDescent="0.3"/>
  <cols>
    <col min="1" max="1" width="2.88671875" customWidth="1"/>
    <col min="2" max="2" width="5.5546875" customWidth="1"/>
    <col min="3" max="3" width="46.5546875" customWidth="1"/>
    <col min="4" max="4" width="17.88671875" customWidth="1"/>
    <col min="5" max="5" width="14.5546875" customWidth="1"/>
    <col min="6" max="6" width="80.109375" bestFit="1" customWidth="1"/>
    <col min="7" max="7" width="4.6640625" customWidth="1"/>
    <col min="8" max="8" width="24.5546875" customWidth="1"/>
    <col min="10" max="10" width="20" customWidth="1"/>
  </cols>
  <sheetData>
    <row r="1" spans="1:8" x14ac:dyDescent="0.3">
      <c r="A1" s="55"/>
      <c r="B1" s="55"/>
      <c r="C1" s="55"/>
      <c r="D1" s="55"/>
      <c r="E1" s="55"/>
      <c r="F1" s="55"/>
      <c r="G1" s="55"/>
    </row>
    <row r="2" spans="1:8" x14ac:dyDescent="0.3">
      <c r="A2" s="55"/>
      <c r="B2" s="55"/>
      <c r="C2" s="55"/>
      <c r="D2" s="55"/>
      <c r="E2" s="55"/>
      <c r="F2" s="55"/>
      <c r="G2" s="55"/>
    </row>
    <row r="3" spans="1:8" ht="15" thickBot="1" x14ac:dyDescent="0.35">
      <c r="A3" s="55"/>
      <c r="B3" s="55"/>
      <c r="C3" s="55"/>
      <c r="D3" s="55"/>
      <c r="E3" s="55"/>
      <c r="F3" s="55"/>
      <c r="G3" s="55"/>
    </row>
    <row r="4" spans="1:8" ht="33" customHeight="1" x14ac:dyDescent="0.3">
      <c r="A4" s="55"/>
      <c r="B4" s="56"/>
      <c r="C4" s="253" t="s">
        <v>15</v>
      </c>
      <c r="D4" s="253"/>
      <c r="E4" s="253"/>
      <c r="F4" s="254"/>
      <c r="G4" s="55"/>
    </row>
    <row r="5" spans="1:8" ht="17.399999999999999" x14ac:dyDescent="0.3">
      <c r="A5" s="55"/>
      <c r="B5" s="57"/>
      <c r="C5" s="255" t="s">
        <v>69</v>
      </c>
      <c r="D5" s="255"/>
      <c r="E5" s="255"/>
      <c r="F5" s="256"/>
      <c r="G5" s="55"/>
    </row>
    <row r="6" spans="1:8" x14ac:dyDescent="0.3">
      <c r="A6" s="55"/>
      <c r="B6" s="57"/>
      <c r="C6" s="260" t="s">
        <v>223</v>
      </c>
      <c r="D6" s="260"/>
      <c r="E6" s="260"/>
      <c r="F6" s="261"/>
      <c r="G6" s="55"/>
    </row>
    <row r="7" spans="1:8" x14ac:dyDescent="0.3">
      <c r="A7" s="55"/>
      <c r="B7" s="57"/>
      <c r="C7" s="260" t="s">
        <v>224</v>
      </c>
      <c r="D7" s="260"/>
      <c r="E7" s="260"/>
      <c r="F7" s="261"/>
      <c r="G7" s="55"/>
    </row>
    <row r="8" spans="1:8" x14ac:dyDescent="0.3">
      <c r="A8" s="55"/>
      <c r="B8" s="57"/>
      <c r="C8" s="262" t="s">
        <v>225</v>
      </c>
      <c r="D8" s="262"/>
      <c r="E8" s="262"/>
      <c r="F8" s="263"/>
      <c r="G8" s="55"/>
    </row>
    <row r="9" spans="1:8" ht="15.6" x14ac:dyDescent="0.3">
      <c r="A9" s="55"/>
      <c r="B9" s="57"/>
      <c r="C9" s="3"/>
      <c r="D9" s="58"/>
      <c r="E9" s="58"/>
      <c r="F9" s="45"/>
      <c r="G9" s="55"/>
    </row>
    <row r="10" spans="1:8" ht="16.2" thickBot="1" x14ac:dyDescent="0.35">
      <c r="A10" s="55"/>
      <c r="B10" s="57"/>
      <c r="C10" s="3"/>
      <c r="D10" s="58"/>
      <c r="E10" s="58"/>
      <c r="F10" s="45"/>
      <c r="G10" s="55"/>
    </row>
    <row r="11" spans="1:8" ht="15.6" x14ac:dyDescent="0.3">
      <c r="A11" s="55"/>
      <c r="B11" s="57"/>
      <c r="C11" s="59"/>
      <c r="D11" s="74" t="s">
        <v>137</v>
      </c>
      <c r="E11" s="265" t="s">
        <v>16</v>
      </c>
      <c r="F11" s="88" t="s">
        <v>10</v>
      </c>
      <c r="G11" s="55"/>
    </row>
    <row r="12" spans="1:8" ht="16.2" thickBot="1" x14ac:dyDescent="0.35">
      <c r="A12" s="55"/>
      <c r="B12" s="57"/>
      <c r="C12" s="58"/>
      <c r="D12" s="75" t="s">
        <v>0</v>
      </c>
      <c r="E12" s="266"/>
      <c r="F12" s="89"/>
      <c r="G12" s="55"/>
    </row>
    <row r="13" spans="1:8" x14ac:dyDescent="0.3">
      <c r="A13" s="55"/>
      <c r="B13" s="68" t="s">
        <v>1</v>
      </c>
      <c r="C13" s="69" t="s">
        <v>2</v>
      </c>
      <c r="D13" s="60"/>
      <c r="E13" s="85"/>
      <c r="F13" s="36"/>
      <c r="G13" s="55"/>
    </row>
    <row r="14" spans="1:8" ht="33.75" customHeight="1" x14ac:dyDescent="0.3">
      <c r="A14" s="55"/>
      <c r="B14" s="70"/>
      <c r="C14" s="15" t="s">
        <v>86</v>
      </c>
      <c r="D14" s="22"/>
      <c r="E14" s="86">
        <f>+D14*100/D32</f>
        <v>0</v>
      </c>
      <c r="F14" s="34" t="s">
        <v>70</v>
      </c>
      <c r="G14" s="55"/>
      <c r="H14" s="239"/>
    </row>
    <row r="15" spans="1:8" ht="29.25" customHeight="1" x14ac:dyDescent="0.3">
      <c r="A15" s="55"/>
      <c r="B15" s="70"/>
      <c r="C15" s="71" t="s">
        <v>71</v>
      </c>
      <c r="D15" s="22"/>
      <c r="E15" s="86">
        <f>+D15*100/$D$32</f>
        <v>0</v>
      </c>
      <c r="F15" s="34" t="s">
        <v>88</v>
      </c>
      <c r="G15" s="55"/>
      <c r="H15" s="239"/>
    </row>
    <row r="16" spans="1:8" ht="67.5" customHeight="1" x14ac:dyDescent="0.3">
      <c r="A16" s="55"/>
      <c r="B16" s="70"/>
      <c r="C16" s="71" t="s">
        <v>72</v>
      </c>
      <c r="D16" s="22">
        <v>36000</v>
      </c>
      <c r="E16" s="86">
        <f>+D16*100/$D$32</f>
        <v>92.194222495390292</v>
      </c>
      <c r="F16" s="34" t="s">
        <v>85</v>
      </c>
      <c r="G16" s="55"/>
      <c r="H16" s="239"/>
    </row>
    <row r="17" spans="1:7" ht="0.75" customHeight="1" x14ac:dyDescent="0.3">
      <c r="A17" s="55"/>
      <c r="B17" s="70"/>
      <c r="C17" s="71"/>
      <c r="D17" s="22"/>
      <c r="E17" s="86"/>
      <c r="F17" s="35"/>
      <c r="G17" s="55"/>
    </row>
    <row r="18" spans="1:7" hidden="1" x14ac:dyDescent="0.3">
      <c r="A18" s="55"/>
      <c r="B18" s="70"/>
      <c r="C18" s="72"/>
      <c r="D18" s="24"/>
      <c r="E18" s="86"/>
      <c r="F18" s="36"/>
      <c r="G18" s="55"/>
    </row>
    <row r="19" spans="1:7" x14ac:dyDescent="0.3">
      <c r="A19" s="55"/>
      <c r="B19" s="68" t="s">
        <v>3</v>
      </c>
      <c r="C19" s="69" t="s">
        <v>4</v>
      </c>
      <c r="D19" s="25"/>
      <c r="E19" s="86"/>
      <c r="F19" s="36"/>
      <c r="G19" s="55"/>
    </row>
    <row r="20" spans="1:7" ht="32.25" customHeight="1" x14ac:dyDescent="0.3">
      <c r="A20" s="55"/>
      <c r="B20" s="70"/>
      <c r="C20" s="15" t="s">
        <v>39</v>
      </c>
      <c r="D20" s="22">
        <v>248</v>
      </c>
      <c r="E20" s="86">
        <f t="shared" ref="E20:E30" si="0">+D20*100/$D$32</f>
        <v>0.63511575496824424</v>
      </c>
      <c r="F20" s="34" t="s">
        <v>92</v>
      </c>
      <c r="G20" s="55"/>
    </row>
    <row r="21" spans="1:7" ht="48.75" customHeight="1" x14ac:dyDescent="0.3">
      <c r="A21" s="55"/>
      <c r="B21" s="70"/>
      <c r="C21" s="71" t="s">
        <v>22</v>
      </c>
      <c r="D21" s="22">
        <v>0</v>
      </c>
      <c r="E21" s="86">
        <f t="shared" si="0"/>
        <v>0</v>
      </c>
      <c r="F21" s="35" t="s">
        <v>87</v>
      </c>
      <c r="G21" s="55"/>
    </row>
    <row r="22" spans="1:7" ht="47.25" customHeight="1" x14ac:dyDescent="0.3">
      <c r="A22" s="55"/>
      <c r="B22" s="70"/>
      <c r="C22" s="84" t="s">
        <v>14</v>
      </c>
      <c r="D22" s="22"/>
      <c r="E22" s="86">
        <f t="shared" si="0"/>
        <v>0</v>
      </c>
      <c r="F22" s="35" t="s">
        <v>94</v>
      </c>
      <c r="G22" s="55"/>
    </row>
    <row r="23" spans="1:7" ht="37.5" customHeight="1" x14ac:dyDescent="0.3">
      <c r="A23" s="55"/>
      <c r="B23" s="70"/>
      <c r="C23" s="71" t="s">
        <v>74</v>
      </c>
      <c r="D23" s="22">
        <v>600</v>
      </c>
      <c r="E23" s="86">
        <f t="shared" si="0"/>
        <v>1.5365703749231714</v>
      </c>
      <c r="F23" s="35" t="s">
        <v>75</v>
      </c>
      <c r="G23" s="55"/>
    </row>
    <row r="24" spans="1:7" ht="30" customHeight="1" x14ac:dyDescent="0.3">
      <c r="A24" s="55"/>
      <c r="B24" s="70"/>
      <c r="C24" s="71" t="s">
        <v>91</v>
      </c>
      <c r="D24" s="22">
        <v>200</v>
      </c>
      <c r="E24" s="86">
        <f t="shared" si="0"/>
        <v>0.51219012497439054</v>
      </c>
      <c r="F24" s="34" t="s">
        <v>24</v>
      </c>
      <c r="G24" s="55"/>
    </row>
    <row r="25" spans="1:7" ht="25.5" customHeight="1" x14ac:dyDescent="0.3">
      <c r="A25" s="55"/>
      <c r="B25" s="70"/>
      <c r="C25" s="71" t="s">
        <v>90</v>
      </c>
      <c r="D25" s="26"/>
      <c r="E25" s="86">
        <f t="shared" si="0"/>
        <v>0</v>
      </c>
      <c r="F25" s="34" t="s">
        <v>20</v>
      </c>
      <c r="G25" s="55"/>
    </row>
    <row r="26" spans="1:7" ht="24" customHeight="1" x14ac:dyDescent="0.3">
      <c r="A26" s="55"/>
      <c r="B26" s="70"/>
      <c r="C26" s="71" t="s">
        <v>76</v>
      </c>
      <c r="D26" s="27">
        <v>200</v>
      </c>
      <c r="E26" s="86">
        <f t="shared" si="0"/>
        <v>0.51219012497439054</v>
      </c>
      <c r="F26" s="35" t="s">
        <v>77</v>
      </c>
      <c r="G26" s="55"/>
    </row>
    <row r="27" spans="1:7" ht="24" customHeight="1" x14ac:dyDescent="0.3">
      <c r="A27" s="55"/>
      <c r="B27" s="70"/>
      <c r="C27" s="71" t="s">
        <v>98</v>
      </c>
      <c r="D27" s="27">
        <v>0</v>
      </c>
      <c r="E27" s="86">
        <f t="shared" si="0"/>
        <v>0</v>
      </c>
      <c r="F27" s="35" t="s">
        <v>99</v>
      </c>
      <c r="G27" s="55"/>
    </row>
    <row r="28" spans="1:7" ht="25.5" customHeight="1" x14ac:dyDescent="0.3">
      <c r="A28" s="55"/>
      <c r="B28" s="68" t="s">
        <v>5</v>
      </c>
      <c r="C28" s="69" t="s">
        <v>6</v>
      </c>
      <c r="D28" s="28"/>
      <c r="E28" s="86"/>
      <c r="F28" s="76"/>
      <c r="G28" s="55"/>
    </row>
    <row r="29" spans="1:7" ht="57" customHeight="1" x14ac:dyDescent="0.3">
      <c r="A29" s="55"/>
      <c r="B29" s="70"/>
      <c r="C29" s="71" t="s">
        <v>7</v>
      </c>
      <c r="D29" s="22">
        <v>1400</v>
      </c>
      <c r="E29" s="86">
        <f t="shared" si="0"/>
        <v>3.5853308748207335</v>
      </c>
      <c r="F29" s="35" t="s">
        <v>25</v>
      </c>
      <c r="G29" s="55"/>
    </row>
    <row r="30" spans="1:7" x14ac:dyDescent="0.3">
      <c r="A30" s="55"/>
      <c r="B30" s="70"/>
      <c r="C30" s="8" t="s">
        <v>171</v>
      </c>
      <c r="D30" s="27">
        <v>400</v>
      </c>
      <c r="E30" s="86">
        <f t="shared" si="0"/>
        <v>1.0243802499487811</v>
      </c>
      <c r="F30" s="36" t="s">
        <v>26</v>
      </c>
      <c r="G30" s="55"/>
    </row>
    <row r="31" spans="1:7" ht="15" thickBot="1" x14ac:dyDescent="0.35">
      <c r="A31" s="55"/>
      <c r="B31" s="70"/>
      <c r="C31" s="72"/>
      <c r="D31" s="29"/>
      <c r="E31" s="86"/>
      <c r="F31" s="37"/>
      <c r="G31" s="55"/>
    </row>
    <row r="32" spans="1:7" ht="16.2" thickBot="1" x14ac:dyDescent="0.35">
      <c r="A32" s="55"/>
      <c r="B32" s="70"/>
      <c r="C32" s="6" t="s">
        <v>8</v>
      </c>
      <c r="D32" s="30">
        <f>SUM(D14:D30)</f>
        <v>39048</v>
      </c>
      <c r="E32" s="87">
        <f>+D32*100/$D$32</f>
        <v>100</v>
      </c>
      <c r="F32" s="49"/>
      <c r="G32" s="55"/>
    </row>
    <row r="33" spans="1:7" x14ac:dyDescent="0.3">
      <c r="A33" s="55"/>
      <c r="B33" s="57"/>
      <c r="C33" s="58"/>
      <c r="D33" s="61"/>
      <c r="E33" s="61"/>
      <c r="F33" s="45"/>
      <c r="G33" s="55"/>
    </row>
    <row r="34" spans="1:7" ht="21.75" customHeight="1" x14ac:dyDescent="0.3">
      <c r="A34" s="55"/>
      <c r="B34" s="57"/>
      <c r="C34" s="228" t="s">
        <v>211</v>
      </c>
      <c r="D34" s="240"/>
      <c r="E34" s="240"/>
      <c r="F34" s="241"/>
      <c r="G34" s="55"/>
    </row>
    <row r="35" spans="1:7" ht="35.25" customHeight="1" x14ac:dyDescent="0.3">
      <c r="A35" s="55"/>
      <c r="B35" s="57"/>
      <c r="C35" s="242" t="s">
        <v>9</v>
      </c>
      <c r="D35" s="273" t="s">
        <v>93</v>
      </c>
      <c r="E35" s="273"/>
      <c r="F35" s="274"/>
      <c r="G35" s="55"/>
    </row>
    <row r="36" spans="1:7" ht="26.25" customHeight="1" x14ac:dyDescent="0.3">
      <c r="A36" s="55"/>
      <c r="B36" s="57"/>
      <c r="C36" s="242" t="s">
        <v>78</v>
      </c>
      <c r="D36" s="273"/>
      <c r="E36" s="273"/>
      <c r="F36" s="274"/>
      <c r="G36" s="55"/>
    </row>
    <row r="37" spans="1:7" ht="51" customHeight="1" x14ac:dyDescent="0.3">
      <c r="A37" s="55"/>
      <c r="B37" s="57"/>
      <c r="C37" s="242" t="s">
        <v>30</v>
      </c>
      <c r="D37" s="273"/>
      <c r="E37" s="273"/>
      <c r="F37" s="274"/>
      <c r="G37" s="55"/>
    </row>
    <row r="38" spans="1:7" ht="21.75" customHeight="1" thickBot="1" x14ac:dyDescent="0.35">
      <c r="A38" s="55"/>
      <c r="B38" s="65"/>
      <c r="C38" s="272" t="s">
        <v>89</v>
      </c>
      <c r="D38" s="272"/>
      <c r="E38" s="243"/>
      <c r="F38" s="244"/>
      <c r="G38" s="55"/>
    </row>
    <row r="39" spans="1:7" ht="15" customHeight="1" x14ac:dyDescent="0.3">
      <c r="A39" s="55"/>
      <c r="B39" s="55"/>
      <c r="C39" s="135"/>
      <c r="D39" s="135"/>
      <c r="E39" s="135"/>
      <c r="F39" s="135"/>
      <c r="G39" s="55"/>
    </row>
    <row r="40" spans="1:7" x14ac:dyDescent="0.3">
      <c r="A40" s="55"/>
      <c r="B40" s="55"/>
      <c r="C40" s="55"/>
      <c r="D40" s="55"/>
      <c r="E40" s="55"/>
      <c r="F40" s="55"/>
      <c r="G40" s="55"/>
    </row>
    <row r="41" spans="1:7" x14ac:dyDescent="0.3">
      <c r="A41" s="55"/>
      <c r="B41" s="55"/>
      <c r="C41" s="55"/>
      <c r="D41" s="55"/>
      <c r="E41" s="55"/>
      <c r="F41" s="55"/>
      <c r="G41" s="55"/>
    </row>
    <row r="42" spans="1:7" x14ac:dyDescent="0.3">
      <c r="A42" s="55"/>
      <c r="B42" s="55"/>
      <c r="C42" s="55"/>
      <c r="D42" s="55"/>
      <c r="E42" s="55"/>
      <c r="F42" s="55"/>
      <c r="G42" s="55"/>
    </row>
    <row r="43" spans="1:7" x14ac:dyDescent="0.3">
      <c r="A43" s="55"/>
      <c r="B43" s="55"/>
      <c r="C43" s="55"/>
      <c r="D43" s="55"/>
      <c r="E43" s="55"/>
      <c r="F43" s="55"/>
      <c r="G43" s="55"/>
    </row>
    <row r="44" spans="1:7" x14ac:dyDescent="0.3">
      <c r="A44" s="55"/>
      <c r="B44" s="55"/>
      <c r="C44" s="55"/>
      <c r="D44" s="55"/>
      <c r="E44" s="55"/>
      <c r="F44" s="55"/>
      <c r="G44" s="55"/>
    </row>
    <row r="45" spans="1:7" x14ac:dyDescent="0.3">
      <c r="A45" s="55"/>
      <c r="B45" s="55"/>
      <c r="C45" s="55"/>
      <c r="D45" s="55"/>
      <c r="E45" s="55"/>
      <c r="F45" s="55"/>
      <c r="G45" s="55"/>
    </row>
    <row r="46" spans="1:7" x14ac:dyDescent="0.3">
      <c r="A46" s="55"/>
      <c r="B46" s="55"/>
      <c r="C46" s="55"/>
      <c r="D46" s="55"/>
      <c r="E46" s="55"/>
      <c r="F46" s="55"/>
      <c r="G46" s="55"/>
    </row>
    <row r="47" spans="1:7" x14ac:dyDescent="0.3">
      <c r="A47" s="55"/>
      <c r="B47" s="55"/>
      <c r="C47" s="55"/>
      <c r="D47" s="55"/>
      <c r="E47" s="55"/>
      <c r="F47" s="55"/>
      <c r="G47" s="55"/>
    </row>
    <row r="48" spans="1:7" x14ac:dyDescent="0.3">
      <c r="A48" s="55"/>
      <c r="B48" s="55"/>
      <c r="C48" s="55"/>
      <c r="D48" s="55"/>
      <c r="E48" s="55"/>
      <c r="F48" s="55"/>
      <c r="G48" s="55"/>
    </row>
  </sheetData>
  <mergeCells count="8">
    <mergeCell ref="C4:F4"/>
    <mergeCell ref="C5:F5"/>
    <mergeCell ref="C38:D38"/>
    <mergeCell ref="D35:F37"/>
    <mergeCell ref="E11:E12"/>
    <mergeCell ref="C6:F6"/>
    <mergeCell ref="C7:F7"/>
    <mergeCell ref="C8:F8"/>
  </mergeCells>
  <pageMargins left="0.7" right="0.7" top="0.75" bottom="0.75" header="0.3" footer="0.3"/>
  <pageSetup scale="5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3:G35"/>
  <sheetViews>
    <sheetView view="pageBreakPreview" topLeftCell="A20" zoomScale="90" zoomScaleNormal="80" zoomScaleSheetLayoutView="90" workbookViewId="0">
      <selection activeCell="C6" sqref="C6:F8"/>
    </sheetView>
  </sheetViews>
  <sheetFormatPr defaultColWidth="11.5546875" defaultRowHeight="14.4" x14ac:dyDescent="0.3"/>
  <cols>
    <col min="1" max="1" width="7" customWidth="1"/>
    <col min="2" max="2" width="5.5546875" customWidth="1"/>
    <col min="3" max="3" width="43.5546875" customWidth="1"/>
    <col min="4" max="4" width="26.44140625" customWidth="1"/>
    <col min="5" max="5" width="14" customWidth="1"/>
    <col min="6" max="6" width="82.88671875" customWidth="1"/>
  </cols>
  <sheetData>
    <row r="3" spans="2:6" ht="15" thickBot="1" x14ac:dyDescent="0.35"/>
    <row r="4" spans="2:6" ht="33" customHeight="1" x14ac:dyDescent="0.3">
      <c r="B4" s="1"/>
      <c r="C4" s="253" t="s">
        <v>15</v>
      </c>
      <c r="D4" s="253"/>
      <c r="E4" s="253"/>
      <c r="F4" s="254"/>
    </row>
    <row r="5" spans="2:6" ht="17.399999999999999" x14ac:dyDescent="0.3">
      <c r="B5" s="2"/>
      <c r="C5" s="255" t="s">
        <v>68</v>
      </c>
      <c r="D5" s="255"/>
      <c r="E5" s="255"/>
      <c r="F5" s="256"/>
    </row>
    <row r="6" spans="2:6" x14ac:dyDescent="0.3">
      <c r="B6" s="2"/>
      <c r="C6" s="260" t="s">
        <v>223</v>
      </c>
      <c r="D6" s="260"/>
      <c r="E6" s="260"/>
      <c r="F6" s="261"/>
    </row>
    <row r="7" spans="2:6" x14ac:dyDescent="0.3">
      <c r="B7" s="2"/>
      <c r="C7" s="260" t="s">
        <v>224</v>
      </c>
      <c r="D7" s="260"/>
      <c r="E7" s="260"/>
      <c r="F7" s="261"/>
    </row>
    <row r="8" spans="2:6" x14ac:dyDescent="0.3">
      <c r="B8" s="2"/>
      <c r="C8" s="262" t="s">
        <v>225</v>
      </c>
      <c r="D8" s="262"/>
      <c r="E8" s="262"/>
      <c r="F8" s="263"/>
    </row>
    <row r="9" spans="2:6" ht="15.6" x14ac:dyDescent="0.3">
      <c r="B9" s="2"/>
      <c r="C9" s="3"/>
      <c r="D9" s="8"/>
      <c r="E9" s="8"/>
      <c r="F9" s="9"/>
    </row>
    <row r="10" spans="2:6" ht="16.2" thickBot="1" x14ac:dyDescent="0.35">
      <c r="B10" s="2"/>
      <c r="C10" s="3"/>
      <c r="D10" s="8"/>
      <c r="E10" s="8"/>
      <c r="F10" s="9"/>
    </row>
    <row r="11" spans="2:6" ht="15.6" x14ac:dyDescent="0.3">
      <c r="B11" s="2"/>
      <c r="C11" s="4"/>
      <c r="D11" s="16" t="s">
        <v>139</v>
      </c>
      <c r="E11" s="17"/>
      <c r="F11" s="40" t="s">
        <v>10</v>
      </c>
    </row>
    <row r="12" spans="2:6" ht="16.2" thickBot="1" x14ac:dyDescent="0.35">
      <c r="B12" s="2"/>
      <c r="C12" s="8"/>
      <c r="D12" s="18" t="s">
        <v>0</v>
      </c>
      <c r="E12" s="19" t="s">
        <v>16</v>
      </c>
      <c r="F12" s="41"/>
    </row>
    <row r="13" spans="2:6" x14ac:dyDescent="0.3">
      <c r="B13" s="5" t="s">
        <v>1</v>
      </c>
      <c r="C13" s="4" t="s">
        <v>2</v>
      </c>
      <c r="D13" s="20"/>
      <c r="E13" s="21"/>
      <c r="F13" s="9"/>
    </row>
    <row r="14" spans="2:6" ht="33.75" customHeight="1" x14ac:dyDescent="0.3">
      <c r="B14" s="2"/>
      <c r="C14" s="15" t="s">
        <v>32</v>
      </c>
      <c r="D14" s="22">
        <v>1680</v>
      </c>
      <c r="E14" s="133">
        <f>+D14*100/D27</f>
        <v>11.09350237717908</v>
      </c>
      <c r="F14" s="42" t="s">
        <v>60</v>
      </c>
    </row>
    <row r="15" spans="2:6" ht="29.25" customHeight="1" x14ac:dyDescent="0.3">
      <c r="B15" s="2"/>
      <c r="C15" s="71" t="s">
        <v>28</v>
      </c>
      <c r="D15" s="22">
        <v>3200</v>
      </c>
      <c r="E15" s="133">
        <f>+D15*100/$D$27</f>
        <v>21.130480718436345</v>
      </c>
      <c r="F15" s="35" t="s">
        <v>141</v>
      </c>
    </row>
    <row r="16" spans="2:6" ht="27" customHeight="1" x14ac:dyDescent="0.3">
      <c r="B16" s="2"/>
      <c r="C16" s="8"/>
      <c r="D16" s="24"/>
      <c r="E16" s="133"/>
      <c r="F16" s="42"/>
    </row>
    <row r="17" spans="2:7" ht="14.25" customHeight="1" x14ac:dyDescent="0.3">
      <c r="B17" s="5" t="s">
        <v>3</v>
      </c>
      <c r="C17" s="4" t="s">
        <v>4</v>
      </c>
      <c r="D17" s="46"/>
      <c r="E17" s="133"/>
      <c r="F17" s="43"/>
    </row>
    <row r="18" spans="2:7" ht="32.25" customHeight="1" x14ac:dyDescent="0.3">
      <c r="B18" s="2"/>
      <c r="C18" s="15" t="s">
        <v>102</v>
      </c>
      <c r="D18" s="22">
        <v>248</v>
      </c>
      <c r="E18" s="133">
        <f>+D18*100/$D$27</f>
        <v>1.6376122556788166</v>
      </c>
      <c r="F18" s="42" t="s">
        <v>58</v>
      </c>
    </row>
    <row r="19" spans="2:7" ht="32.25" customHeight="1" x14ac:dyDescent="0.3">
      <c r="B19" s="2"/>
      <c r="C19" s="15" t="s">
        <v>22</v>
      </c>
      <c r="D19" s="22">
        <f>(1.5*158.8) *30</f>
        <v>7146.0000000000009</v>
      </c>
      <c r="E19" s="133">
        <f>+D19*100/$D$27</f>
        <v>47.187004754358171</v>
      </c>
      <c r="F19" s="42" t="s">
        <v>218</v>
      </c>
    </row>
    <row r="20" spans="2:7" ht="29.25" customHeight="1" x14ac:dyDescent="0.3">
      <c r="B20" s="2"/>
      <c r="C20" s="15" t="s">
        <v>14</v>
      </c>
      <c r="D20" s="22">
        <v>1020</v>
      </c>
      <c r="E20" s="133">
        <f>+D20*100/$D$27</f>
        <v>6.7353407290015852</v>
      </c>
      <c r="F20" s="42" t="s">
        <v>172</v>
      </c>
    </row>
    <row r="21" spans="2:7" ht="37.5" customHeight="1" x14ac:dyDescent="0.3">
      <c r="B21" s="2"/>
      <c r="C21" s="15" t="s">
        <v>97</v>
      </c>
      <c r="D21" s="22">
        <v>450</v>
      </c>
      <c r="E21" s="133">
        <f>+D21*100/$D$27</f>
        <v>2.9714738510301109</v>
      </c>
      <c r="F21" s="44" t="s">
        <v>26</v>
      </c>
    </row>
    <row r="22" spans="2:7" ht="30" customHeight="1" x14ac:dyDescent="0.3">
      <c r="B22" s="2"/>
      <c r="C22" s="15" t="s">
        <v>90</v>
      </c>
      <c r="D22" s="22"/>
      <c r="E22" s="133">
        <f>+D22*100/$D$27</f>
        <v>0</v>
      </c>
      <c r="F22" s="44" t="s">
        <v>11</v>
      </c>
    </row>
    <row r="23" spans="2:7" ht="25.5" customHeight="1" x14ac:dyDescent="0.3">
      <c r="B23" s="5" t="s">
        <v>5</v>
      </c>
      <c r="C23" s="4" t="s">
        <v>6</v>
      </c>
      <c r="D23" s="28"/>
      <c r="E23" s="133"/>
      <c r="F23" s="45"/>
    </row>
    <row r="24" spans="2:7" ht="57" customHeight="1" x14ac:dyDescent="0.3">
      <c r="B24" s="2"/>
      <c r="C24" s="15" t="s">
        <v>7</v>
      </c>
      <c r="D24" s="22">
        <v>1000</v>
      </c>
      <c r="E24" s="133">
        <f>+D24*100/$D$27</f>
        <v>6.603275224511358</v>
      </c>
      <c r="F24" s="44" t="s">
        <v>62</v>
      </c>
    </row>
    <row r="25" spans="2:7" x14ac:dyDescent="0.3">
      <c r="B25" s="2"/>
      <c r="C25" s="8" t="s">
        <v>142</v>
      </c>
      <c r="D25" s="47">
        <v>400</v>
      </c>
      <c r="E25" s="133">
        <f>+D25*100/$D$27</f>
        <v>2.6413100898045432</v>
      </c>
      <c r="F25" s="36" t="s">
        <v>26</v>
      </c>
    </row>
    <row r="26" spans="2:7" ht="15" thickBot="1" x14ac:dyDescent="0.35">
      <c r="B26" s="2"/>
      <c r="C26" s="8"/>
      <c r="D26" s="48"/>
      <c r="E26" s="133"/>
      <c r="F26" s="45"/>
    </row>
    <row r="27" spans="2:7" ht="16.2" thickBot="1" x14ac:dyDescent="0.35">
      <c r="B27" s="2"/>
      <c r="C27" s="6" t="s">
        <v>8</v>
      </c>
      <c r="D27" s="30">
        <f>SUM(D14:D25)</f>
        <v>15144</v>
      </c>
      <c r="E27" s="134">
        <f>+D27*100/$D$27</f>
        <v>100</v>
      </c>
      <c r="F27" s="49"/>
    </row>
    <row r="28" spans="2:7" x14ac:dyDescent="0.3">
      <c r="B28" s="2"/>
      <c r="C28" s="8"/>
      <c r="D28" s="14"/>
      <c r="E28" s="14"/>
      <c r="F28" s="9"/>
    </row>
    <row r="29" spans="2:7" ht="21.75" customHeight="1" x14ac:dyDescent="0.3">
      <c r="B29" s="2"/>
      <c r="C29" s="237" t="s">
        <v>211</v>
      </c>
      <c r="D29" s="231"/>
      <c r="E29" s="231"/>
      <c r="F29" s="232"/>
    </row>
    <row r="30" spans="2:7" ht="35.25" customHeight="1" x14ac:dyDescent="0.3">
      <c r="B30" s="2"/>
      <c r="C30" s="237" t="s">
        <v>9</v>
      </c>
      <c r="D30" s="238"/>
      <c r="E30" s="238"/>
      <c r="F30" s="239" t="s">
        <v>223</v>
      </c>
      <c r="G30" s="63"/>
    </row>
    <row r="31" spans="2:7" ht="38.25" customHeight="1" x14ac:dyDescent="0.3">
      <c r="B31" s="2"/>
      <c r="C31" s="237" t="s">
        <v>63</v>
      </c>
      <c r="D31" s="238"/>
      <c r="E31" s="238"/>
      <c r="F31" s="239" t="s">
        <v>224</v>
      </c>
      <c r="G31" s="63"/>
    </row>
    <row r="32" spans="2:7" ht="51" customHeight="1" x14ac:dyDescent="0.3">
      <c r="B32" s="2"/>
      <c r="C32" s="237" t="s">
        <v>30</v>
      </c>
      <c r="D32" s="238"/>
      <c r="E32" s="238"/>
      <c r="F32" s="239" t="s">
        <v>225</v>
      </c>
      <c r="G32" s="63"/>
    </row>
    <row r="33" spans="2:6" ht="65.25" customHeight="1" thickBot="1" x14ac:dyDescent="0.35">
      <c r="B33" s="7"/>
      <c r="C33" s="275"/>
      <c r="D33" s="275"/>
      <c r="E33" s="73"/>
      <c r="F33" s="12"/>
    </row>
    <row r="34" spans="2:6" ht="15" customHeight="1" x14ac:dyDescent="0.3"/>
    <row r="35" spans="2:6" ht="15" customHeight="1" x14ac:dyDescent="0.3"/>
  </sheetData>
  <mergeCells count="6">
    <mergeCell ref="C4:F4"/>
    <mergeCell ref="C5:F5"/>
    <mergeCell ref="C33:D33"/>
    <mergeCell ref="C6:F6"/>
    <mergeCell ref="C7:F7"/>
    <mergeCell ref="C8:F8"/>
  </mergeCells>
  <pageMargins left="0.7" right="0.7" top="0.75" bottom="0.75" header="0.3" footer="0.3"/>
  <pageSetup scale="4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1:H48"/>
  <sheetViews>
    <sheetView view="pageBreakPreview" topLeftCell="A19" zoomScale="106" zoomScaleNormal="100" zoomScaleSheetLayoutView="106" workbookViewId="0">
      <selection activeCell="D12" sqref="D12"/>
    </sheetView>
  </sheetViews>
  <sheetFormatPr defaultColWidth="11.5546875" defaultRowHeight="14.4" x14ac:dyDescent="0.3"/>
  <cols>
    <col min="1" max="1" width="4.44140625" customWidth="1"/>
    <col min="2" max="2" width="5.5546875" customWidth="1"/>
    <col min="3" max="3" width="32.33203125" customWidth="1"/>
    <col min="4" max="4" width="18.44140625" customWidth="1"/>
    <col min="5" max="5" width="18" customWidth="1"/>
    <col min="6" max="6" width="54.44140625" customWidth="1"/>
    <col min="7" max="7" width="5" customWidth="1"/>
  </cols>
  <sheetData>
    <row r="1" spans="2:6" ht="15" thickBot="1" x14ac:dyDescent="0.35"/>
    <row r="2" spans="2:6" ht="33" customHeight="1" x14ac:dyDescent="0.3">
      <c r="B2" s="1"/>
      <c r="C2" s="253" t="s">
        <v>15</v>
      </c>
      <c r="D2" s="253"/>
      <c r="E2" s="253"/>
      <c r="F2" s="254"/>
    </row>
    <row r="3" spans="2:6" ht="15.6" x14ac:dyDescent="0.3">
      <c r="B3" s="2"/>
      <c r="C3" s="276" t="s">
        <v>31</v>
      </c>
      <c r="D3" s="276"/>
      <c r="E3" s="276"/>
      <c r="F3" s="277"/>
    </row>
    <row r="4" spans="2:6" ht="15.6" x14ac:dyDescent="0.3">
      <c r="B4" s="2"/>
      <c r="C4" s="3"/>
      <c r="D4" s="8"/>
      <c r="E4" s="8"/>
      <c r="F4" s="9"/>
    </row>
    <row r="5" spans="2:6" x14ac:dyDescent="0.3">
      <c r="B5" s="2"/>
      <c r="C5" s="260" t="s">
        <v>223</v>
      </c>
      <c r="D5" s="260"/>
      <c r="E5" s="260"/>
      <c r="F5" s="261"/>
    </row>
    <row r="6" spans="2:6" x14ac:dyDescent="0.3">
      <c r="B6" s="2"/>
      <c r="C6" s="260" t="s">
        <v>224</v>
      </c>
      <c r="D6" s="260"/>
      <c r="E6" s="260"/>
      <c r="F6" s="261"/>
    </row>
    <row r="7" spans="2:6" x14ac:dyDescent="0.3">
      <c r="B7" s="2"/>
      <c r="C7" s="262" t="s">
        <v>225</v>
      </c>
      <c r="D7" s="262"/>
      <c r="E7" s="262"/>
      <c r="F7" s="263"/>
    </row>
    <row r="8" spans="2:6" ht="16.2" thickBot="1" x14ac:dyDescent="0.35">
      <c r="B8" s="2"/>
      <c r="C8" s="3"/>
      <c r="D8" s="8"/>
      <c r="E8" s="8"/>
      <c r="F8" s="9"/>
    </row>
    <row r="9" spans="2:6" ht="15.6" x14ac:dyDescent="0.3">
      <c r="B9" s="2"/>
      <c r="C9" s="4"/>
      <c r="D9" s="16" t="s">
        <v>138</v>
      </c>
      <c r="E9" s="17"/>
      <c r="F9" s="38" t="s">
        <v>10</v>
      </c>
    </row>
    <row r="10" spans="2:6" ht="16.2" thickBot="1" x14ac:dyDescent="0.35">
      <c r="B10" s="2"/>
      <c r="C10" s="8"/>
      <c r="D10" s="18" t="s">
        <v>0</v>
      </c>
      <c r="E10" s="140" t="s">
        <v>16</v>
      </c>
      <c r="F10" s="32"/>
    </row>
    <row r="11" spans="2:6" x14ac:dyDescent="0.3">
      <c r="B11" s="5" t="s">
        <v>1</v>
      </c>
      <c r="C11" s="4" t="s">
        <v>2</v>
      </c>
      <c r="D11" s="20"/>
      <c r="E11" s="21"/>
      <c r="F11" s="33"/>
    </row>
    <row r="12" spans="2:6" ht="33.75" customHeight="1" x14ac:dyDescent="0.3">
      <c r="B12" s="2"/>
      <c r="C12" s="15" t="s">
        <v>32</v>
      </c>
      <c r="D12" s="22">
        <f>1388.62+420</f>
        <v>1808.62</v>
      </c>
      <c r="E12" s="92">
        <f>+D12*100/D29</f>
        <v>3.5932727271788081</v>
      </c>
      <c r="F12" s="34" t="s">
        <v>33</v>
      </c>
    </row>
    <row r="13" spans="2:6" ht="29.25" customHeight="1" x14ac:dyDescent="0.3">
      <c r="B13" s="2"/>
      <c r="C13" s="15" t="s">
        <v>34</v>
      </c>
      <c r="D13" s="22">
        <f>2800*4</f>
        <v>11200</v>
      </c>
      <c r="E13" s="92">
        <f>+D13*100/$D$29</f>
        <v>22.251581064238287</v>
      </c>
      <c r="F13" s="39" t="s">
        <v>209</v>
      </c>
    </row>
    <row r="14" spans="2:6" ht="29.25" customHeight="1" x14ac:dyDescent="0.3">
      <c r="B14" s="2"/>
      <c r="C14" s="15" t="s">
        <v>35</v>
      </c>
      <c r="D14" s="22">
        <v>330</v>
      </c>
      <c r="E14" s="92">
        <f>+D14*100/$D$29</f>
        <v>0.65562694207130667</v>
      </c>
      <c r="F14" s="34" t="s">
        <v>111</v>
      </c>
    </row>
    <row r="15" spans="2:6" ht="31.5" customHeight="1" x14ac:dyDescent="0.3">
      <c r="B15" s="2"/>
      <c r="C15" s="15" t="s">
        <v>37</v>
      </c>
      <c r="D15" s="22">
        <v>1742.5</v>
      </c>
      <c r="E15" s="92">
        <f>+D15*100/$D$29</f>
        <v>3.4619089289674299</v>
      </c>
      <c r="F15" s="35" t="s">
        <v>38</v>
      </c>
    </row>
    <row r="16" spans="2:6" x14ac:dyDescent="0.3">
      <c r="B16" s="2"/>
      <c r="C16" s="8"/>
      <c r="D16" s="24"/>
      <c r="E16" s="92"/>
      <c r="F16" s="36"/>
    </row>
    <row r="17" spans="2:8" x14ac:dyDescent="0.3">
      <c r="B17" s="5" t="s">
        <v>3</v>
      </c>
      <c r="C17" s="4" t="s">
        <v>4</v>
      </c>
      <c r="D17" s="25"/>
      <c r="E17" s="92"/>
      <c r="F17" s="36"/>
    </row>
    <row r="18" spans="2:8" ht="32.25" customHeight="1" x14ac:dyDescent="0.3">
      <c r="B18" s="2"/>
      <c r="C18" s="15" t="s">
        <v>39</v>
      </c>
      <c r="D18" s="22">
        <v>3400</v>
      </c>
      <c r="E18" s="92">
        <f t="shared" ref="E18:E25" si="0">+D18*100/$D$29</f>
        <v>6.7549442516437663</v>
      </c>
      <c r="F18" s="35" t="s">
        <v>214</v>
      </c>
    </row>
    <row r="19" spans="2:8" ht="32.25" customHeight="1" x14ac:dyDescent="0.3">
      <c r="B19" s="2"/>
      <c r="C19" s="91" t="s">
        <v>22</v>
      </c>
      <c r="D19" s="22">
        <f>(158.8*36)*3.99</f>
        <v>22810.032000000003</v>
      </c>
      <c r="E19" s="92">
        <f t="shared" si="0"/>
        <v>45.317792511238345</v>
      </c>
      <c r="F19" s="34" t="s">
        <v>215</v>
      </c>
    </row>
    <row r="20" spans="2:8" ht="29.25" customHeight="1" x14ac:dyDescent="0.3">
      <c r="B20" s="2"/>
      <c r="C20" s="15" t="s">
        <v>14</v>
      </c>
      <c r="D20" s="22">
        <v>1800</v>
      </c>
      <c r="E20" s="92">
        <f t="shared" si="0"/>
        <v>3.5761469567525821</v>
      </c>
      <c r="F20" s="34" t="s">
        <v>40</v>
      </c>
    </row>
    <row r="21" spans="2:8" ht="37.5" customHeight="1" x14ac:dyDescent="0.3">
      <c r="B21" s="2"/>
      <c r="C21" s="15" t="s">
        <v>41</v>
      </c>
      <c r="D21" s="22">
        <v>1490</v>
      </c>
      <c r="E21" s="92">
        <f t="shared" si="0"/>
        <v>2.9602549808674152</v>
      </c>
      <c r="F21" s="39" t="s">
        <v>42</v>
      </c>
    </row>
    <row r="22" spans="2:8" ht="30" customHeight="1" x14ac:dyDescent="0.3">
      <c r="B22" s="2"/>
      <c r="C22" s="15" t="s">
        <v>13</v>
      </c>
      <c r="D22" s="22">
        <v>1140.3499999999999</v>
      </c>
      <c r="E22" s="92">
        <f t="shared" si="0"/>
        <v>2.2655884345182256</v>
      </c>
      <c r="F22" s="34" t="s">
        <v>43</v>
      </c>
    </row>
    <row r="23" spans="2:8" ht="25.5" customHeight="1" x14ac:dyDescent="0.3">
      <c r="B23" s="2"/>
      <c r="C23" s="15" t="s">
        <v>12</v>
      </c>
      <c r="D23" s="26">
        <v>28</v>
      </c>
      <c r="E23" s="92">
        <f t="shared" si="0"/>
        <v>5.5628952660595719E-2</v>
      </c>
      <c r="F23" s="34" t="s">
        <v>44</v>
      </c>
      <c r="H23" s="81"/>
    </row>
    <row r="24" spans="2:8" ht="24" customHeight="1" x14ac:dyDescent="0.3">
      <c r="B24" s="2"/>
      <c r="C24" s="8" t="s">
        <v>45</v>
      </c>
      <c r="D24" s="27">
        <v>120</v>
      </c>
      <c r="E24" s="92">
        <f t="shared" si="0"/>
        <v>0.2384097971168388</v>
      </c>
      <c r="F24" s="34" t="s">
        <v>46</v>
      </c>
    </row>
    <row r="25" spans="2:8" ht="24" customHeight="1" x14ac:dyDescent="0.3">
      <c r="B25" s="2"/>
      <c r="C25" s="8" t="s">
        <v>67</v>
      </c>
      <c r="D25" s="27">
        <v>3264</v>
      </c>
      <c r="E25" s="92">
        <f t="shared" si="0"/>
        <v>6.4847464815780151</v>
      </c>
      <c r="F25" s="34" t="s">
        <v>115</v>
      </c>
    </row>
    <row r="26" spans="2:8" ht="25.5" customHeight="1" x14ac:dyDescent="0.3">
      <c r="B26" s="5" t="s">
        <v>5</v>
      </c>
      <c r="C26" s="4" t="s">
        <v>6</v>
      </c>
      <c r="D26" s="28"/>
      <c r="E26" s="92"/>
      <c r="F26" s="37"/>
    </row>
    <row r="27" spans="2:8" ht="57" customHeight="1" x14ac:dyDescent="0.3">
      <c r="B27" s="2"/>
      <c r="C27" s="15" t="s">
        <v>7</v>
      </c>
      <c r="D27" s="22">
        <v>1200</v>
      </c>
      <c r="E27" s="92">
        <f>+D27*100/$D$29</f>
        <v>2.3840979711683881</v>
      </c>
      <c r="F27" s="35" t="s">
        <v>65</v>
      </c>
    </row>
    <row r="28" spans="2:8" ht="15" thickBot="1" x14ac:dyDescent="0.35">
      <c r="B28" s="2"/>
      <c r="C28" s="8"/>
      <c r="D28" s="29"/>
      <c r="E28" s="92"/>
      <c r="F28" s="37"/>
    </row>
    <row r="29" spans="2:8" ht="16.2" thickBot="1" x14ac:dyDescent="0.35">
      <c r="B29" s="7"/>
      <c r="C29" s="6" t="s">
        <v>8</v>
      </c>
      <c r="D29" s="30">
        <f>SUM(D12:D28)</f>
        <v>50333.502</v>
      </c>
      <c r="E29" s="93">
        <f>+D29*100/$D$29</f>
        <v>100</v>
      </c>
      <c r="F29" s="49"/>
    </row>
    <row r="30" spans="2:8" x14ac:dyDescent="0.3">
      <c r="B30" s="2"/>
      <c r="C30" s="8"/>
      <c r="D30" s="14"/>
      <c r="E30" s="14"/>
      <c r="F30" s="9"/>
    </row>
    <row r="31" spans="2:8" ht="21.75" customHeight="1" x14ac:dyDescent="0.3">
      <c r="B31" s="2"/>
      <c r="C31" s="216" t="s">
        <v>211</v>
      </c>
      <c r="D31" s="223"/>
      <c r="E31" s="223"/>
      <c r="F31" s="222"/>
    </row>
    <row r="32" spans="2:8" ht="35.25" customHeight="1" x14ac:dyDescent="0.3">
      <c r="B32" s="2"/>
      <c r="C32" s="216" t="s">
        <v>9</v>
      </c>
      <c r="D32" s="217"/>
      <c r="E32" s="217"/>
      <c r="F32" s="236"/>
      <c r="G32" s="63"/>
    </row>
    <row r="33" spans="2:7" ht="26.25" customHeight="1" x14ac:dyDescent="0.3">
      <c r="B33" s="2"/>
      <c r="C33" s="216" t="s">
        <v>210</v>
      </c>
      <c r="D33" s="217"/>
      <c r="E33" s="217"/>
      <c r="F33" s="236"/>
      <c r="G33" s="63"/>
    </row>
    <row r="34" spans="2:7" ht="53.25" customHeight="1" x14ac:dyDescent="0.3">
      <c r="B34" s="2"/>
      <c r="C34" s="278" t="s">
        <v>212</v>
      </c>
      <c r="D34" s="279"/>
      <c r="E34" s="279"/>
      <c r="F34" s="236"/>
      <c r="G34" s="63"/>
    </row>
    <row r="35" spans="2:7" ht="33.75" customHeight="1" x14ac:dyDescent="0.3">
      <c r="B35" s="2"/>
      <c r="C35" s="280" t="s">
        <v>213</v>
      </c>
      <c r="D35" s="280"/>
      <c r="E35" s="280"/>
      <c r="F35" s="11"/>
    </row>
    <row r="36" spans="2:7" ht="65.25" customHeight="1" thickBot="1" x14ac:dyDescent="0.35">
      <c r="B36" s="7"/>
      <c r="C36" s="252" t="s">
        <v>227</v>
      </c>
      <c r="D36" s="252"/>
      <c r="E36" s="252"/>
      <c r="F36" s="12"/>
    </row>
    <row r="37" spans="2:7" ht="15" customHeight="1" x14ac:dyDescent="0.3"/>
    <row r="38" spans="2:7" ht="15" x14ac:dyDescent="0.3">
      <c r="C38" s="77"/>
    </row>
    <row r="39" spans="2:7" ht="15" x14ac:dyDescent="0.3">
      <c r="C39" s="77"/>
    </row>
    <row r="40" spans="2:7" ht="15" x14ac:dyDescent="0.3">
      <c r="C40" s="77"/>
    </row>
    <row r="41" spans="2:7" ht="15" x14ac:dyDescent="0.3">
      <c r="C41" s="77"/>
    </row>
    <row r="42" spans="2:7" ht="15" x14ac:dyDescent="0.3">
      <c r="C42" s="77"/>
    </row>
    <row r="43" spans="2:7" ht="15" x14ac:dyDescent="0.3">
      <c r="C43" s="77"/>
    </row>
    <row r="44" spans="2:7" ht="15" x14ac:dyDescent="0.3">
      <c r="C44" s="77"/>
    </row>
    <row r="45" spans="2:7" ht="15" x14ac:dyDescent="0.3">
      <c r="C45" s="77"/>
    </row>
    <row r="46" spans="2:7" ht="15.6" x14ac:dyDescent="0.3">
      <c r="C46" s="78"/>
    </row>
    <row r="47" spans="2:7" ht="15.6" x14ac:dyDescent="0.3">
      <c r="C47" s="78"/>
    </row>
    <row r="48" spans="2:7" x14ac:dyDescent="0.3">
      <c r="C48" s="79"/>
    </row>
  </sheetData>
  <mergeCells count="8">
    <mergeCell ref="C2:F2"/>
    <mergeCell ref="C3:F3"/>
    <mergeCell ref="C34:E34"/>
    <mergeCell ref="C35:E35"/>
    <mergeCell ref="C36:E36"/>
    <mergeCell ref="C5:F5"/>
    <mergeCell ref="C6:F6"/>
    <mergeCell ref="C7:F7"/>
  </mergeCells>
  <pageMargins left="0.70866141732283472" right="0.70866141732283472" top="0.74803149606299213" bottom="0.74803149606299213" header="0.31496062992125984" footer="0.31496062992125984"/>
  <pageSetup paperSize="9" scale="6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3:H50"/>
  <sheetViews>
    <sheetView topLeftCell="A20" zoomScale="90" zoomScaleNormal="90" workbookViewId="0">
      <selection activeCell="C13" sqref="C13:C29"/>
    </sheetView>
  </sheetViews>
  <sheetFormatPr defaultColWidth="11.5546875" defaultRowHeight="14.4" x14ac:dyDescent="0.3"/>
  <cols>
    <col min="1" max="1" width="4.44140625" customWidth="1"/>
    <col min="2" max="2" width="5.5546875" customWidth="1"/>
    <col min="3" max="3" width="32.33203125" customWidth="1"/>
    <col min="4" max="4" width="18.44140625" customWidth="1"/>
    <col min="5" max="5" width="18" customWidth="1"/>
    <col min="6" max="6" width="54.44140625" customWidth="1"/>
    <col min="7" max="7" width="5" customWidth="1"/>
  </cols>
  <sheetData>
    <row r="3" spans="2:6" ht="15" thickBot="1" x14ac:dyDescent="0.35"/>
    <row r="4" spans="2:6" ht="33" customHeight="1" x14ac:dyDescent="0.3">
      <c r="B4" s="1"/>
      <c r="C4" s="253" t="s">
        <v>15</v>
      </c>
      <c r="D4" s="253"/>
      <c r="E4" s="253"/>
      <c r="F4" s="254"/>
    </row>
    <row r="5" spans="2:6" ht="15.6" x14ac:dyDescent="0.3">
      <c r="B5" s="2"/>
      <c r="C5" s="276" t="s">
        <v>31</v>
      </c>
      <c r="D5" s="276"/>
      <c r="E5" s="276"/>
      <c r="F5" s="277"/>
    </row>
    <row r="6" spans="2:6" x14ac:dyDescent="0.3">
      <c r="B6" s="2"/>
      <c r="C6" s="260" t="s">
        <v>223</v>
      </c>
      <c r="D6" s="260"/>
      <c r="E6" s="260"/>
      <c r="F6" s="261"/>
    </row>
    <row r="7" spans="2:6" x14ac:dyDescent="0.3">
      <c r="B7" s="2"/>
      <c r="C7" s="260" t="s">
        <v>224</v>
      </c>
      <c r="D7" s="260"/>
      <c r="E7" s="260"/>
      <c r="F7" s="261"/>
    </row>
    <row r="8" spans="2:6" x14ac:dyDescent="0.3">
      <c r="B8" s="2"/>
      <c r="C8" s="262" t="s">
        <v>225</v>
      </c>
      <c r="D8" s="262"/>
      <c r="E8" s="262"/>
      <c r="F8" s="263"/>
    </row>
    <row r="9" spans="2:6" ht="15.6" x14ac:dyDescent="0.3">
      <c r="B9" s="2"/>
      <c r="C9" s="3"/>
      <c r="D9" s="8"/>
      <c r="E9" s="8"/>
      <c r="F9" s="9"/>
    </row>
    <row r="10" spans="2:6" ht="16.2" thickBot="1" x14ac:dyDescent="0.35">
      <c r="B10" s="2"/>
      <c r="C10" s="3"/>
      <c r="D10" s="8"/>
      <c r="E10" s="8"/>
      <c r="F10" s="9"/>
    </row>
    <row r="11" spans="2:6" ht="15.6" x14ac:dyDescent="0.3">
      <c r="B11" s="2"/>
      <c r="C11" s="4"/>
      <c r="D11" s="16" t="s">
        <v>138</v>
      </c>
      <c r="E11" s="17"/>
      <c r="F11" s="38" t="s">
        <v>10</v>
      </c>
    </row>
    <row r="12" spans="2:6" ht="16.2" thickBot="1" x14ac:dyDescent="0.35">
      <c r="B12" s="2"/>
      <c r="C12" s="8"/>
      <c r="D12" s="18" t="s">
        <v>0</v>
      </c>
      <c r="E12" s="140" t="s">
        <v>16</v>
      </c>
      <c r="F12" s="32"/>
    </row>
    <row r="13" spans="2:6" x14ac:dyDescent="0.3">
      <c r="B13" s="5" t="s">
        <v>1</v>
      </c>
      <c r="C13" s="4" t="s">
        <v>2</v>
      </c>
      <c r="D13" s="20"/>
      <c r="E13" s="21"/>
      <c r="F13" s="33"/>
    </row>
    <row r="14" spans="2:6" ht="33.75" customHeight="1" x14ac:dyDescent="0.3">
      <c r="B14" s="2"/>
      <c r="C14" s="15" t="s">
        <v>32</v>
      </c>
      <c r="D14" s="22">
        <f>1151+420</f>
        <v>1571</v>
      </c>
      <c r="E14" s="92">
        <f>+D14*100/D31</f>
        <v>3.4260167920619344</v>
      </c>
      <c r="F14" s="34" t="s">
        <v>33</v>
      </c>
    </row>
    <row r="15" spans="2:6" ht="29.25" customHeight="1" x14ac:dyDescent="0.3">
      <c r="B15" s="2"/>
      <c r="C15" s="15" t="s">
        <v>34</v>
      </c>
      <c r="D15" s="22">
        <v>11200</v>
      </c>
      <c r="E15" s="92">
        <f>+D15*100/$D$31</f>
        <v>24.424817359066623</v>
      </c>
      <c r="F15" s="39" t="s">
        <v>209</v>
      </c>
    </row>
    <row r="16" spans="2:6" ht="29.25" customHeight="1" x14ac:dyDescent="0.3">
      <c r="B16" s="2"/>
      <c r="C16" s="15" t="s">
        <v>35</v>
      </c>
      <c r="D16" s="22">
        <v>330</v>
      </c>
      <c r="E16" s="92">
        <f>+D16*100/$D$31</f>
        <v>0.71965979718678441</v>
      </c>
      <c r="F16" s="34" t="s">
        <v>111</v>
      </c>
    </row>
    <row r="17" spans="2:8" ht="31.5" customHeight="1" x14ac:dyDescent="0.3">
      <c r="B17" s="2"/>
      <c r="C17" s="15" t="s">
        <v>37</v>
      </c>
      <c r="D17" s="22">
        <v>1107</v>
      </c>
      <c r="E17" s="92">
        <f>+D17*100/$D$31</f>
        <v>2.4141315014720313</v>
      </c>
      <c r="F17" s="35" t="s">
        <v>38</v>
      </c>
    </row>
    <row r="18" spans="2:8" x14ac:dyDescent="0.3">
      <c r="B18" s="2"/>
      <c r="C18" s="8"/>
      <c r="D18" s="24"/>
      <c r="E18" s="92"/>
      <c r="F18" s="36"/>
    </row>
    <row r="19" spans="2:8" x14ac:dyDescent="0.3">
      <c r="B19" s="5" t="s">
        <v>3</v>
      </c>
      <c r="C19" s="4" t="s">
        <v>4</v>
      </c>
      <c r="D19" s="25"/>
      <c r="E19" s="92"/>
      <c r="F19" s="36"/>
    </row>
    <row r="20" spans="2:8" ht="32.25" customHeight="1" x14ac:dyDescent="0.3">
      <c r="B20" s="2"/>
      <c r="C20" s="15" t="s">
        <v>39</v>
      </c>
      <c r="D20" s="22">
        <v>3400</v>
      </c>
      <c r="E20" s="92">
        <f t="shared" ref="E20:E27" si="0">+D20*100/$D$31</f>
        <v>7.4146766982880816</v>
      </c>
      <c r="F20" s="35" t="s">
        <v>214</v>
      </c>
    </row>
    <row r="21" spans="2:8" ht="32.25" customHeight="1" x14ac:dyDescent="0.3">
      <c r="B21" s="2"/>
      <c r="C21" s="91" t="s">
        <v>22</v>
      </c>
      <c r="D21" s="22">
        <v>20000</v>
      </c>
      <c r="E21" s="92">
        <f t="shared" si="0"/>
        <v>43.615745284047541</v>
      </c>
      <c r="F21" s="34" t="s">
        <v>186</v>
      </c>
    </row>
    <row r="22" spans="2:8" ht="29.25" customHeight="1" x14ac:dyDescent="0.3">
      <c r="B22" s="2"/>
      <c r="C22" s="15" t="s">
        <v>14</v>
      </c>
      <c r="D22" s="22">
        <v>1800</v>
      </c>
      <c r="E22" s="92">
        <f t="shared" si="0"/>
        <v>3.9254170755642788</v>
      </c>
      <c r="F22" s="34" t="s">
        <v>40</v>
      </c>
    </row>
    <row r="23" spans="2:8" ht="37.5" customHeight="1" x14ac:dyDescent="0.3">
      <c r="B23" s="2"/>
      <c r="C23" s="15" t="s">
        <v>41</v>
      </c>
      <c r="D23" s="22">
        <v>1490</v>
      </c>
      <c r="E23" s="92">
        <f t="shared" si="0"/>
        <v>3.2493730236615419</v>
      </c>
      <c r="F23" s="39" t="s">
        <v>42</v>
      </c>
    </row>
    <row r="24" spans="2:8" ht="30" customHeight="1" x14ac:dyDescent="0.3">
      <c r="B24" s="2"/>
      <c r="C24" s="15" t="s">
        <v>13</v>
      </c>
      <c r="D24" s="22">
        <v>917</v>
      </c>
      <c r="E24" s="92">
        <f t="shared" si="0"/>
        <v>1.9997819212735797</v>
      </c>
      <c r="F24" s="34" t="s">
        <v>43</v>
      </c>
    </row>
    <row r="25" spans="2:8" ht="25.5" customHeight="1" x14ac:dyDescent="0.3">
      <c r="B25" s="2"/>
      <c r="C25" s="15" t="s">
        <v>12</v>
      </c>
      <c r="D25" s="26">
        <v>28</v>
      </c>
      <c r="E25" s="92">
        <f t="shared" si="0"/>
        <v>6.1062043397666556E-2</v>
      </c>
      <c r="F25" s="34" t="s">
        <v>44</v>
      </c>
      <c r="H25" s="81"/>
    </row>
    <row r="26" spans="2:8" ht="24" customHeight="1" x14ac:dyDescent="0.3">
      <c r="B26" s="2"/>
      <c r="C26" s="8" t="s">
        <v>45</v>
      </c>
      <c r="D26" s="27">
        <v>120</v>
      </c>
      <c r="E26" s="92">
        <f t="shared" si="0"/>
        <v>0.26169447170428523</v>
      </c>
      <c r="F26" s="34" t="s">
        <v>46</v>
      </c>
    </row>
    <row r="27" spans="2:8" ht="24" customHeight="1" x14ac:dyDescent="0.3">
      <c r="B27" s="2"/>
      <c r="C27" s="8" t="s">
        <v>67</v>
      </c>
      <c r="D27" s="27">
        <v>2692</v>
      </c>
      <c r="E27" s="92">
        <f t="shared" si="0"/>
        <v>5.870679315232799</v>
      </c>
      <c r="F27" s="34" t="s">
        <v>115</v>
      </c>
    </row>
    <row r="28" spans="2:8" ht="25.5" customHeight="1" x14ac:dyDescent="0.3">
      <c r="B28" s="5" t="s">
        <v>5</v>
      </c>
      <c r="C28" s="4" t="s">
        <v>6</v>
      </c>
      <c r="D28" s="28"/>
      <c r="E28" s="92"/>
      <c r="F28" s="37"/>
    </row>
    <row r="29" spans="2:8" ht="57" customHeight="1" x14ac:dyDescent="0.3">
      <c r="B29" s="2"/>
      <c r="C29" s="15" t="s">
        <v>7</v>
      </c>
      <c r="D29" s="22">
        <v>1200</v>
      </c>
      <c r="E29" s="92">
        <f>+D29*100/$D$31</f>
        <v>2.6169447170428524</v>
      </c>
      <c r="F29" s="35" t="s">
        <v>65</v>
      </c>
    </row>
    <row r="30" spans="2:8" ht="15" thickBot="1" x14ac:dyDescent="0.35">
      <c r="B30" s="2"/>
      <c r="C30" s="8"/>
      <c r="D30" s="29"/>
      <c r="E30" s="92"/>
      <c r="F30" s="37"/>
    </row>
    <row r="31" spans="2:8" ht="16.2" thickBot="1" x14ac:dyDescent="0.35">
      <c r="B31" s="2"/>
      <c r="C31" s="6" t="s">
        <v>8</v>
      </c>
      <c r="D31" s="30">
        <f>SUM(D14:D30)</f>
        <v>45855</v>
      </c>
      <c r="E31" s="93">
        <f>+D31*100/$D$31</f>
        <v>100</v>
      </c>
      <c r="F31" s="49"/>
    </row>
    <row r="32" spans="2:8" x14ac:dyDescent="0.3">
      <c r="B32" s="2"/>
      <c r="C32" s="8"/>
      <c r="D32" s="14"/>
      <c r="E32" s="14"/>
      <c r="F32" s="9"/>
    </row>
    <row r="33" spans="2:7" ht="21.75" customHeight="1" x14ac:dyDescent="0.3">
      <c r="B33" s="2"/>
      <c r="C33" s="225" t="s">
        <v>211</v>
      </c>
      <c r="D33" s="233"/>
      <c r="E33" s="233"/>
      <c r="F33" s="234"/>
    </row>
    <row r="34" spans="2:7" ht="35.25" customHeight="1" x14ac:dyDescent="0.3">
      <c r="B34" s="2"/>
      <c r="C34" s="225" t="s">
        <v>9</v>
      </c>
      <c r="D34" s="227"/>
      <c r="E34" s="227"/>
      <c r="F34" s="235"/>
      <c r="G34" s="64"/>
    </row>
    <row r="35" spans="2:7" ht="26.25" customHeight="1" x14ac:dyDescent="0.3">
      <c r="B35" s="2"/>
      <c r="C35" s="225" t="s">
        <v>210</v>
      </c>
      <c r="D35" s="227"/>
      <c r="E35" s="227"/>
      <c r="F35" s="235"/>
      <c r="G35" s="64"/>
    </row>
    <row r="36" spans="2:7" ht="53.25" customHeight="1" x14ac:dyDescent="0.3">
      <c r="B36" s="2"/>
      <c r="C36" s="257" t="s">
        <v>212</v>
      </c>
      <c r="D36" s="258"/>
      <c r="E36" s="258"/>
      <c r="F36" s="235"/>
      <c r="G36" s="64"/>
    </row>
    <row r="37" spans="2:7" ht="33.75" customHeight="1" x14ac:dyDescent="0.3">
      <c r="B37" s="2"/>
      <c r="C37" s="259" t="s">
        <v>213</v>
      </c>
      <c r="D37" s="259"/>
      <c r="E37" s="259"/>
      <c r="F37" s="224"/>
    </row>
    <row r="38" spans="2:7" ht="65.25" customHeight="1" thickBot="1" x14ac:dyDescent="0.35">
      <c r="B38" s="7"/>
      <c r="C38" s="252"/>
      <c r="D38" s="252"/>
      <c r="E38" s="252"/>
      <c r="F38" s="12"/>
    </row>
    <row r="39" spans="2:7" ht="15" customHeight="1" x14ac:dyDescent="0.3"/>
    <row r="40" spans="2:7" ht="15" x14ac:dyDescent="0.3">
      <c r="C40" s="77"/>
    </row>
    <row r="41" spans="2:7" ht="15" x14ac:dyDescent="0.3">
      <c r="C41" s="77"/>
    </row>
    <row r="42" spans="2:7" ht="15" x14ac:dyDescent="0.3">
      <c r="C42" s="77"/>
    </row>
    <row r="43" spans="2:7" ht="15" x14ac:dyDescent="0.3">
      <c r="C43" s="77"/>
    </row>
    <row r="44" spans="2:7" ht="15" x14ac:dyDescent="0.3">
      <c r="C44" s="77"/>
    </row>
    <row r="45" spans="2:7" ht="15" x14ac:dyDescent="0.3">
      <c r="C45" s="77"/>
    </row>
    <row r="46" spans="2:7" ht="15" x14ac:dyDescent="0.3">
      <c r="C46" s="77"/>
    </row>
    <row r="47" spans="2:7" ht="15" x14ac:dyDescent="0.3">
      <c r="C47" s="77"/>
    </row>
    <row r="48" spans="2:7" ht="15.6" x14ac:dyDescent="0.3">
      <c r="C48" s="78"/>
    </row>
    <row r="49" spans="3:3" ht="15.6" x14ac:dyDescent="0.3">
      <c r="C49" s="78"/>
    </row>
    <row r="50" spans="3:3" x14ac:dyDescent="0.3">
      <c r="C50" s="79"/>
    </row>
  </sheetData>
  <mergeCells count="8">
    <mergeCell ref="C4:F4"/>
    <mergeCell ref="C5:F5"/>
    <mergeCell ref="C37:E37"/>
    <mergeCell ref="C38:E38"/>
    <mergeCell ref="C36:E36"/>
    <mergeCell ref="C6:F6"/>
    <mergeCell ref="C7:F7"/>
    <mergeCell ref="C8:F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B3:H42"/>
  <sheetViews>
    <sheetView view="pageBreakPreview" topLeftCell="A34" zoomScaleNormal="100" zoomScaleSheetLayoutView="100" workbookViewId="0">
      <selection activeCell="J40" sqref="J40"/>
    </sheetView>
  </sheetViews>
  <sheetFormatPr defaultColWidth="11.5546875" defaultRowHeight="14.4" x14ac:dyDescent="0.3"/>
  <cols>
    <col min="1" max="1" width="4.44140625" customWidth="1"/>
    <col min="2" max="2" width="5.5546875" customWidth="1"/>
    <col min="3" max="3" width="32.33203125" customWidth="1"/>
    <col min="4" max="4" width="18.44140625" customWidth="1"/>
    <col min="5" max="5" width="18" customWidth="1"/>
    <col min="6" max="6" width="67.88671875" customWidth="1"/>
    <col min="7" max="7" width="5" customWidth="1"/>
  </cols>
  <sheetData>
    <row r="3" spans="2:6" ht="15" thickBot="1" x14ac:dyDescent="0.35"/>
    <row r="4" spans="2:6" ht="33" customHeight="1" x14ac:dyDescent="0.3">
      <c r="B4" s="1"/>
      <c r="C4" s="253" t="s">
        <v>15</v>
      </c>
      <c r="D4" s="253"/>
      <c r="E4" s="253"/>
      <c r="F4" s="254"/>
    </row>
    <row r="5" spans="2:6" ht="15.6" x14ac:dyDescent="0.3">
      <c r="B5" s="2"/>
      <c r="C5" s="276" t="s">
        <v>188</v>
      </c>
      <c r="D5" s="276"/>
      <c r="E5" s="276"/>
      <c r="F5" s="277"/>
    </row>
    <row r="6" spans="2:6" ht="15.6" x14ac:dyDescent="0.3">
      <c r="B6" s="2"/>
      <c r="C6" s="3"/>
      <c r="D6" s="8"/>
      <c r="E6" s="8"/>
      <c r="F6" s="9"/>
    </row>
    <row r="7" spans="2:6" x14ac:dyDescent="0.3">
      <c r="B7" s="2"/>
      <c r="C7" s="260" t="s">
        <v>223</v>
      </c>
      <c r="D7" s="260"/>
      <c r="E7" s="260"/>
      <c r="F7" s="261"/>
    </row>
    <row r="8" spans="2:6" x14ac:dyDescent="0.3">
      <c r="B8" s="2"/>
      <c r="C8" s="260" t="s">
        <v>224</v>
      </c>
      <c r="D8" s="260"/>
      <c r="E8" s="260"/>
      <c r="F8" s="261"/>
    </row>
    <row r="9" spans="2:6" x14ac:dyDescent="0.3">
      <c r="B9" s="2"/>
      <c r="C9" s="262" t="s">
        <v>225</v>
      </c>
      <c r="D9" s="262"/>
      <c r="E9" s="262"/>
      <c r="F9" s="263"/>
    </row>
    <row r="10" spans="2:6" ht="16.2" thickBot="1" x14ac:dyDescent="0.35">
      <c r="B10" s="2"/>
      <c r="C10" s="3"/>
      <c r="D10" s="8"/>
      <c r="E10" s="8"/>
      <c r="F10" s="9"/>
    </row>
    <row r="11" spans="2:6" ht="15.6" x14ac:dyDescent="0.3">
      <c r="B11" s="2"/>
      <c r="C11" s="4"/>
      <c r="D11" s="16" t="s">
        <v>138</v>
      </c>
      <c r="E11" s="17"/>
      <c r="F11" s="38" t="s">
        <v>10</v>
      </c>
    </row>
    <row r="12" spans="2:6" ht="16.2" thickBot="1" x14ac:dyDescent="0.35">
      <c r="B12" s="2"/>
      <c r="C12" s="8"/>
      <c r="D12" s="18" t="s">
        <v>0</v>
      </c>
      <c r="E12" s="19" t="s">
        <v>16</v>
      </c>
      <c r="F12" s="32"/>
    </row>
    <row r="13" spans="2:6" x14ac:dyDescent="0.3">
      <c r="B13" s="5" t="s">
        <v>1</v>
      </c>
      <c r="C13" s="4" t="s">
        <v>2</v>
      </c>
      <c r="D13" s="20"/>
      <c r="E13" s="21"/>
      <c r="F13" s="33"/>
    </row>
    <row r="14" spans="2:6" ht="33.75" customHeight="1" x14ac:dyDescent="0.3">
      <c r="B14" s="2"/>
      <c r="C14" s="15" t="s">
        <v>32</v>
      </c>
      <c r="D14" s="22">
        <f>1571+420</f>
        <v>1991</v>
      </c>
      <c r="E14" s="133">
        <f>+D14*100/D32</f>
        <v>3.9854389555659786</v>
      </c>
      <c r="F14" s="34" t="s">
        <v>33</v>
      </c>
    </row>
    <row r="15" spans="2:6" ht="29.25" customHeight="1" x14ac:dyDescent="0.3">
      <c r="B15" s="2"/>
      <c r="C15" s="15" t="s">
        <v>34</v>
      </c>
      <c r="D15" s="22">
        <f>2800*3</f>
        <v>8400</v>
      </c>
      <c r="E15" s="133">
        <f>+D15*100/$D$32</f>
        <v>16.814508903442604</v>
      </c>
      <c r="F15" s="39" t="s">
        <v>207</v>
      </c>
    </row>
    <row r="16" spans="2:6" ht="29.25" customHeight="1" x14ac:dyDescent="0.3">
      <c r="B16" s="2"/>
      <c r="C16" s="15" t="s">
        <v>35</v>
      </c>
      <c r="D16" s="22">
        <v>330</v>
      </c>
      <c r="E16" s="133">
        <f>+D16*100/$D$32</f>
        <v>0.66056999263524507</v>
      </c>
      <c r="F16" s="34" t="s">
        <v>36</v>
      </c>
    </row>
    <row r="17" spans="2:8" ht="31.5" customHeight="1" x14ac:dyDescent="0.3">
      <c r="B17" s="2"/>
      <c r="C17" s="15" t="s">
        <v>37</v>
      </c>
      <c r="D17" s="22">
        <v>1602</v>
      </c>
      <c r="E17" s="133">
        <f>+D17*100/$D$32</f>
        <v>3.2067670551565537</v>
      </c>
      <c r="F17" s="35" t="s">
        <v>38</v>
      </c>
    </row>
    <row r="18" spans="2:8" x14ac:dyDescent="0.3">
      <c r="B18" s="2"/>
      <c r="C18" s="8" t="s">
        <v>57</v>
      </c>
      <c r="D18" s="24">
        <v>1000</v>
      </c>
      <c r="E18" s="133">
        <f>+D18*100/$D$32</f>
        <v>2.0017272504098336</v>
      </c>
      <c r="F18" s="36"/>
    </row>
    <row r="19" spans="2:8" x14ac:dyDescent="0.3">
      <c r="B19" s="2"/>
      <c r="C19" s="8"/>
      <c r="D19" s="24"/>
      <c r="E19" s="133"/>
      <c r="F19" s="36"/>
    </row>
    <row r="20" spans="2:8" x14ac:dyDescent="0.3">
      <c r="B20" s="5" t="s">
        <v>3</v>
      </c>
      <c r="C20" s="4" t="s">
        <v>4</v>
      </c>
      <c r="D20" s="25"/>
      <c r="E20" s="133"/>
      <c r="F20" s="36"/>
    </row>
    <row r="21" spans="2:8" ht="62.25" customHeight="1" x14ac:dyDescent="0.3">
      <c r="B21" s="2"/>
      <c r="C21" s="15" t="s">
        <v>39</v>
      </c>
      <c r="D21" s="22">
        <v>2500</v>
      </c>
      <c r="E21" s="133">
        <f t="shared" ref="E21:E28" si="0">+D21*100/$D$32</f>
        <v>5.0043181260245841</v>
      </c>
      <c r="F21" s="35" t="s">
        <v>214</v>
      </c>
      <c r="G21" s="218"/>
      <c r="H21" s="218"/>
    </row>
    <row r="22" spans="2:8" ht="29.25" customHeight="1" x14ac:dyDescent="0.3">
      <c r="B22" s="2"/>
      <c r="C22" s="15" t="s">
        <v>14</v>
      </c>
      <c r="D22" s="22">
        <f>1800+420</f>
        <v>2220</v>
      </c>
      <c r="E22" s="133">
        <f t="shared" si="0"/>
        <v>4.4438344959098304</v>
      </c>
      <c r="F22" s="34" t="s">
        <v>40</v>
      </c>
    </row>
    <row r="23" spans="2:8" ht="29.25" customHeight="1" x14ac:dyDescent="0.3">
      <c r="B23" s="2"/>
      <c r="C23" s="91" t="s">
        <v>22</v>
      </c>
      <c r="D23" s="22">
        <f>+(5.72*134.16)* 30</f>
        <v>23021.856</v>
      </c>
      <c r="E23" s="133">
        <f t="shared" si="0"/>
        <v>46.083476510211135</v>
      </c>
      <c r="F23" s="34" t="s">
        <v>208</v>
      </c>
    </row>
    <row r="24" spans="2:8" ht="37.5" customHeight="1" x14ac:dyDescent="0.3">
      <c r="B24" s="2"/>
      <c r="C24" s="15" t="s">
        <v>41</v>
      </c>
      <c r="D24" s="22">
        <v>400</v>
      </c>
      <c r="E24" s="133">
        <f t="shared" si="0"/>
        <v>0.80069090016393341</v>
      </c>
      <c r="F24" s="39" t="s">
        <v>42</v>
      </c>
    </row>
    <row r="25" spans="2:8" ht="30" customHeight="1" x14ac:dyDescent="0.3">
      <c r="B25" s="2"/>
      <c r="C25" s="15" t="s">
        <v>13</v>
      </c>
      <c r="D25" s="22">
        <v>1191</v>
      </c>
      <c r="E25" s="133">
        <f t="shared" si="0"/>
        <v>2.384057155238112</v>
      </c>
      <c r="F25" s="34" t="s">
        <v>43</v>
      </c>
    </row>
    <row r="26" spans="2:8" ht="25.5" customHeight="1" x14ac:dyDescent="0.3">
      <c r="B26" s="2"/>
      <c r="C26" s="15" t="s">
        <v>12</v>
      </c>
      <c r="D26" s="26">
        <v>28</v>
      </c>
      <c r="E26" s="133">
        <f t="shared" si="0"/>
        <v>5.6048363011475345E-2</v>
      </c>
      <c r="F26" s="34" t="s">
        <v>44</v>
      </c>
    </row>
    <row r="27" spans="2:8" ht="24" customHeight="1" x14ac:dyDescent="0.3">
      <c r="B27" s="2"/>
      <c r="C27" s="8" t="s">
        <v>45</v>
      </c>
      <c r="D27" s="47">
        <v>650</v>
      </c>
      <c r="E27" s="133">
        <f t="shared" si="0"/>
        <v>1.3011227127663918</v>
      </c>
      <c r="F27" s="34" t="s">
        <v>46</v>
      </c>
    </row>
    <row r="28" spans="2:8" ht="24" customHeight="1" x14ac:dyDescent="0.3">
      <c r="B28" s="2"/>
      <c r="C28" s="8" t="s">
        <v>67</v>
      </c>
      <c r="D28" s="47">
        <v>2923</v>
      </c>
      <c r="E28" s="133">
        <f t="shared" si="0"/>
        <v>5.8510487529479436</v>
      </c>
      <c r="F28" s="34" t="s">
        <v>116</v>
      </c>
    </row>
    <row r="29" spans="2:8" ht="43.5" customHeight="1" x14ac:dyDescent="0.3">
      <c r="B29" s="5" t="s">
        <v>5</v>
      </c>
      <c r="C29" s="4" t="s">
        <v>6</v>
      </c>
      <c r="D29" s="215"/>
      <c r="E29" s="133"/>
      <c r="F29" s="37"/>
    </row>
    <row r="30" spans="2:8" ht="42.75" customHeight="1" x14ac:dyDescent="0.3">
      <c r="B30" s="2"/>
      <c r="C30" s="15" t="s">
        <v>7</v>
      </c>
      <c r="D30" s="22">
        <v>1200</v>
      </c>
      <c r="E30" s="133">
        <f>+D30*100/$D$32</f>
        <v>2.4020727004918005</v>
      </c>
      <c r="F30" s="35" t="s">
        <v>65</v>
      </c>
    </row>
    <row r="31" spans="2:8" ht="48" customHeight="1" thickBot="1" x14ac:dyDescent="0.35">
      <c r="B31" s="2"/>
      <c r="C31" s="15" t="s">
        <v>198</v>
      </c>
      <c r="D31" s="22">
        <v>2500</v>
      </c>
      <c r="E31" s="133">
        <f>+D31*100/$D$32</f>
        <v>5.0043181260245841</v>
      </c>
      <c r="F31" s="35" t="s">
        <v>221</v>
      </c>
    </row>
    <row r="32" spans="2:8" ht="16.2" thickBot="1" x14ac:dyDescent="0.35">
      <c r="B32" s="2"/>
      <c r="C32" s="6" t="s">
        <v>8</v>
      </c>
      <c r="D32" s="30">
        <f>SUM(D14:D31)</f>
        <v>49956.856</v>
      </c>
      <c r="E32" s="134">
        <f>+D32*100/$D$32</f>
        <v>100</v>
      </c>
      <c r="F32" s="49"/>
    </row>
    <row r="33" spans="2:6" x14ac:dyDescent="0.3">
      <c r="B33" s="2"/>
      <c r="C33" s="8"/>
      <c r="D33" s="14"/>
      <c r="E33" s="14"/>
      <c r="F33" s="9"/>
    </row>
    <row r="34" spans="2:6" ht="21.75" customHeight="1" x14ac:dyDescent="0.3">
      <c r="B34" s="2"/>
      <c r="C34" s="4" t="s">
        <v>222</v>
      </c>
      <c r="D34" s="227"/>
      <c r="E34" s="227"/>
      <c r="F34" s="224"/>
    </row>
    <row r="35" spans="2:6" ht="35.25" customHeight="1" x14ac:dyDescent="0.3">
      <c r="B35" s="2"/>
      <c r="C35" s="225" t="s">
        <v>211</v>
      </c>
      <c r="D35" s="227"/>
      <c r="E35" s="227"/>
      <c r="F35" s="224"/>
    </row>
    <row r="36" spans="2:6" ht="26.25" customHeight="1" x14ac:dyDescent="0.3">
      <c r="B36" s="2"/>
      <c r="C36" s="225" t="s">
        <v>9</v>
      </c>
      <c r="D36" s="227"/>
      <c r="E36" s="227"/>
      <c r="F36" s="224"/>
    </row>
    <row r="37" spans="2:6" ht="54" customHeight="1" x14ac:dyDescent="0.3">
      <c r="B37" s="2"/>
      <c r="C37" s="225" t="s">
        <v>210</v>
      </c>
      <c r="D37" s="227"/>
      <c r="E37" s="227"/>
      <c r="F37" s="230"/>
    </row>
    <row r="38" spans="2:6" ht="51" customHeight="1" x14ac:dyDescent="0.3">
      <c r="B38" s="2"/>
      <c r="C38" s="257" t="s">
        <v>212</v>
      </c>
      <c r="D38" s="258"/>
      <c r="E38" s="258"/>
      <c r="F38" s="230"/>
    </row>
    <row r="39" spans="2:6" ht="33.75" customHeight="1" x14ac:dyDescent="0.3">
      <c r="B39" s="2"/>
      <c r="C39" s="259" t="s">
        <v>213</v>
      </c>
      <c r="D39" s="259"/>
      <c r="E39" s="259"/>
      <c r="F39" s="230"/>
    </row>
    <row r="40" spans="2:6" ht="65.25" customHeight="1" thickBot="1" x14ac:dyDescent="0.35">
      <c r="B40" s="7"/>
      <c r="C40" s="267" t="s">
        <v>226</v>
      </c>
      <c r="D40" s="267"/>
      <c r="E40" s="267"/>
      <c r="F40" s="229"/>
    </row>
    <row r="41" spans="2:6" ht="15" customHeight="1" x14ac:dyDescent="0.3"/>
    <row r="42" spans="2:6" x14ac:dyDescent="0.3">
      <c r="C42" s="79"/>
    </row>
  </sheetData>
  <mergeCells count="8">
    <mergeCell ref="C4:F4"/>
    <mergeCell ref="C5:F5"/>
    <mergeCell ref="C38:E38"/>
    <mergeCell ref="C39:E39"/>
    <mergeCell ref="C40:E40"/>
    <mergeCell ref="C7:F7"/>
    <mergeCell ref="C8:F8"/>
    <mergeCell ref="C9:F9"/>
  </mergeCells>
  <pageMargins left="0.7" right="0.7" top="0.75" bottom="0.75" header="0.3" footer="0.3"/>
  <pageSetup scale="5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B3:F44"/>
  <sheetViews>
    <sheetView tabSelected="1" view="pageBreakPreview" topLeftCell="A14" zoomScale="90" zoomScaleNormal="100" zoomScaleSheetLayoutView="90" workbookViewId="0">
      <selection activeCell="D33" sqref="D33"/>
    </sheetView>
  </sheetViews>
  <sheetFormatPr defaultColWidth="11.5546875" defaultRowHeight="14.4" x14ac:dyDescent="0.3"/>
  <cols>
    <col min="1" max="1" width="7" customWidth="1"/>
    <col min="2" max="2" width="5.5546875" customWidth="1"/>
    <col min="3" max="3" width="32.33203125" customWidth="1"/>
    <col min="4" max="5" width="18.44140625" customWidth="1"/>
    <col min="6" max="6" width="70.6640625" customWidth="1"/>
  </cols>
  <sheetData>
    <row r="3" spans="2:6" ht="15" thickBot="1" x14ac:dyDescent="0.35"/>
    <row r="4" spans="2:6" ht="33" customHeight="1" x14ac:dyDescent="0.3">
      <c r="B4" s="1"/>
      <c r="C4" s="253" t="s">
        <v>15</v>
      </c>
      <c r="D4" s="253"/>
      <c r="E4" s="253"/>
      <c r="F4" s="254"/>
    </row>
    <row r="5" spans="2:6" ht="17.399999999999999" x14ac:dyDescent="0.3">
      <c r="B5" s="2"/>
      <c r="C5" s="255" t="s">
        <v>48</v>
      </c>
      <c r="D5" s="255"/>
      <c r="E5" s="255"/>
      <c r="F5" s="256"/>
    </row>
    <row r="6" spans="2:6" ht="15.6" x14ac:dyDescent="0.3">
      <c r="B6" s="2"/>
      <c r="C6" s="3"/>
      <c r="D6" s="8"/>
      <c r="E6" s="8"/>
      <c r="F6" s="9"/>
    </row>
    <row r="7" spans="2:6" x14ac:dyDescent="0.3">
      <c r="B7" s="2"/>
      <c r="C7" s="260" t="s">
        <v>223</v>
      </c>
      <c r="D7" s="260"/>
      <c r="E7" s="260"/>
      <c r="F7" s="261"/>
    </row>
    <row r="8" spans="2:6" x14ac:dyDescent="0.3">
      <c r="B8" s="2"/>
      <c r="C8" s="260" t="s">
        <v>224</v>
      </c>
      <c r="D8" s="260"/>
      <c r="E8" s="260"/>
      <c r="F8" s="261"/>
    </row>
    <row r="9" spans="2:6" x14ac:dyDescent="0.3">
      <c r="B9" s="2"/>
      <c r="C9" s="262" t="s">
        <v>225</v>
      </c>
      <c r="D9" s="262"/>
      <c r="E9" s="262"/>
      <c r="F9" s="263"/>
    </row>
    <row r="10" spans="2:6" ht="16.2" thickBot="1" x14ac:dyDescent="0.35">
      <c r="B10" s="2"/>
      <c r="C10" s="3"/>
      <c r="D10" s="8"/>
      <c r="E10" s="8"/>
      <c r="F10" s="9"/>
    </row>
    <row r="11" spans="2:6" ht="15.6" x14ac:dyDescent="0.3">
      <c r="B11" s="2"/>
      <c r="C11" s="4"/>
      <c r="D11" s="50" t="s">
        <v>138</v>
      </c>
      <c r="E11" s="94"/>
      <c r="F11" s="38" t="s">
        <v>10</v>
      </c>
    </row>
    <row r="12" spans="2:6" ht="16.2" thickBot="1" x14ac:dyDescent="0.35">
      <c r="B12" s="2"/>
      <c r="C12" s="8"/>
      <c r="D12" s="51" t="s">
        <v>0</v>
      </c>
      <c r="E12" s="95" t="s">
        <v>16</v>
      </c>
      <c r="F12" s="32"/>
    </row>
    <row r="13" spans="2:6" x14ac:dyDescent="0.3">
      <c r="B13" s="5" t="s">
        <v>1</v>
      </c>
      <c r="C13" s="4" t="s">
        <v>2</v>
      </c>
      <c r="D13" s="52"/>
      <c r="E13" s="96"/>
      <c r="F13" s="33"/>
    </row>
    <row r="14" spans="2:6" ht="33.75" customHeight="1" x14ac:dyDescent="0.3">
      <c r="B14" s="2"/>
      <c r="C14" s="15" t="s">
        <v>32</v>
      </c>
      <c r="D14" s="22">
        <v>1803</v>
      </c>
      <c r="E14" s="92">
        <f>+D14*100/D33</f>
        <v>2.1351428165411397</v>
      </c>
      <c r="F14" s="34" t="s">
        <v>33</v>
      </c>
    </row>
    <row r="15" spans="2:6" ht="29.25" customHeight="1" x14ac:dyDescent="0.3">
      <c r="B15" s="2"/>
      <c r="C15" s="15" t="s">
        <v>34</v>
      </c>
      <c r="D15" s="22">
        <v>38460</v>
      </c>
      <c r="E15" s="92">
        <f>+D15*100/$D$33</f>
        <v>45.544976552508174</v>
      </c>
      <c r="F15" s="34" t="s">
        <v>114</v>
      </c>
    </row>
    <row r="16" spans="2:6" ht="29.25" customHeight="1" x14ac:dyDescent="0.3">
      <c r="B16" s="2"/>
      <c r="C16" s="15" t="s">
        <v>35</v>
      </c>
      <c r="D16" s="22">
        <v>330</v>
      </c>
      <c r="E16" s="92">
        <f>+D16*100/$D$33</f>
        <v>0.39079153048173937</v>
      </c>
      <c r="F16" s="34" t="s">
        <v>36</v>
      </c>
    </row>
    <row r="17" spans="2:6" ht="31.5" customHeight="1" x14ac:dyDescent="0.3">
      <c r="B17" s="2"/>
      <c r="C17" s="15" t="s">
        <v>37</v>
      </c>
      <c r="D17" s="22">
        <v>2350</v>
      </c>
      <c r="E17" s="92">
        <f>+D17*100/$D$33</f>
        <v>2.7829093837335988</v>
      </c>
      <c r="F17" s="35" t="s">
        <v>49</v>
      </c>
    </row>
    <row r="18" spans="2:6" x14ac:dyDescent="0.3">
      <c r="B18" s="2"/>
      <c r="C18" s="8"/>
      <c r="D18" s="24"/>
      <c r="E18" s="92"/>
      <c r="F18" s="36"/>
    </row>
    <row r="19" spans="2:6" x14ac:dyDescent="0.3">
      <c r="B19" s="5" t="s">
        <v>3</v>
      </c>
      <c r="C19" s="4" t="s">
        <v>4</v>
      </c>
      <c r="D19" s="53"/>
      <c r="E19" s="92"/>
      <c r="F19" s="36"/>
    </row>
    <row r="20" spans="2:6" ht="27.6" x14ac:dyDescent="0.3">
      <c r="B20" s="2"/>
      <c r="C20" s="15" t="s">
        <v>39</v>
      </c>
      <c r="D20" s="22">
        <v>3500</v>
      </c>
      <c r="E20" s="92">
        <f t="shared" ref="E20:E28" si="0">+D20*100/$D$33</f>
        <v>4.1447586566245089</v>
      </c>
      <c r="F20" s="35" t="s">
        <v>214</v>
      </c>
    </row>
    <row r="21" spans="2:6" ht="32.25" customHeight="1" x14ac:dyDescent="0.3">
      <c r="B21" s="2"/>
      <c r="C21" s="91" t="s">
        <v>22</v>
      </c>
      <c r="D21" s="22">
        <v>2000</v>
      </c>
      <c r="E21" s="92">
        <f t="shared" si="0"/>
        <v>2.3684335180711478</v>
      </c>
      <c r="F21" s="34" t="s">
        <v>216</v>
      </c>
    </row>
    <row r="22" spans="2:6" ht="29.25" customHeight="1" x14ac:dyDescent="0.3">
      <c r="B22" s="2"/>
      <c r="C22" s="15" t="s">
        <v>113</v>
      </c>
      <c r="D22" s="22">
        <v>7433</v>
      </c>
      <c r="E22" s="92">
        <f t="shared" si="0"/>
        <v>8.802283169911421</v>
      </c>
      <c r="F22" s="34" t="s">
        <v>50</v>
      </c>
    </row>
    <row r="23" spans="2:6" ht="37.5" customHeight="1" x14ac:dyDescent="0.3">
      <c r="B23" s="2"/>
      <c r="C23" s="15" t="s">
        <v>41</v>
      </c>
      <c r="D23" s="22">
        <v>760</v>
      </c>
      <c r="E23" s="92">
        <f t="shared" si="0"/>
        <v>0.90000473686703619</v>
      </c>
      <c r="F23" s="35" t="s">
        <v>42</v>
      </c>
    </row>
    <row r="24" spans="2:6" ht="30" customHeight="1" x14ac:dyDescent="0.3">
      <c r="B24" s="2"/>
      <c r="C24" s="15" t="s">
        <v>112</v>
      </c>
      <c r="D24" s="22">
        <v>18000</v>
      </c>
      <c r="E24" s="92">
        <f t="shared" si="0"/>
        <v>21.315901662640329</v>
      </c>
      <c r="F24" s="34" t="s">
        <v>192</v>
      </c>
    </row>
    <row r="25" spans="2:6" ht="25.5" customHeight="1" x14ac:dyDescent="0.3">
      <c r="B25" s="2"/>
      <c r="C25" s="15" t="s">
        <v>12</v>
      </c>
      <c r="D25" s="26">
        <v>28</v>
      </c>
      <c r="E25" s="92">
        <f t="shared" si="0"/>
        <v>3.3158069252996067E-2</v>
      </c>
      <c r="F25" s="34" t="s">
        <v>44</v>
      </c>
    </row>
    <row r="26" spans="2:6" ht="24" customHeight="1" x14ac:dyDescent="0.3">
      <c r="B26" s="2"/>
      <c r="C26" s="8" t="s">
        <v>45</v>
      </c>
      <c r="D26" s="27">
        <v>130</v>
      </c>
      <c r="E26" s="92">
        <f t="shared" si="0"/>
        <v>0.1539481786746246</v>
      </c>
      <c r="F26" s="34" t="s">
        <v>11</v>
      </c>
    </row>
    <row r="27" spans="2:6" ht="24" customHeight="1" x14ac:dyDescent="0.3">
      <c r="B27" s="2"/>
      <c r="C27" s="8" t="s">
        <v>51</v>
      </c>
      <c r="D27" s="27"/>
      <c r="E27" s="92">
        <f t="shared" si="0"/>
        <v>0</v>
      </c>
      <c r="F27" s="34" t="s">
        <v>52</v>
      </c>
    </row>
    <row r="28" spans="2:6" ht="24" customHeight="1" x14ac:dyDescent="0.3">
      <c r="B28" s="2"/>
      <c r="C28" s="8" t="s">
        <v>147</v>
      </c>
      <c r="D28" s="27">
        <v>6000</v>
      </c>
      <c r="E28" s="92">
        <f t="shared" si="0"/>
        <v>7.1053005542134429</v>
      </c>
      <c r="F28" s="34" t="s">
        <v>148</v>
      </c>
    </row>
    <row r="29" spans="2:6" ht="25.5" customHeight="1" x14ac:dyDescent="0.3">
      <c r="B29" s="5" t="s">
        <v>5</v>
      </c>
      <c r="C29" s="4" t="s">
        <v>6</v>
      </c>
      <c r="D29" s="47"/>
      <c r="E29" s="92"/>
      <c r="F29" s="37"/>
    </row>
    <row r="30" spans="2:6" ht="25.5" customHeight="1" x14ac:dyDescent="0.3">
      <c r="B30" s="5"/>
      <c r="C30" s="219" t="s">
        <v>67</v>
      </c>
      <c r="D30" s="47">
        <v>2450</v>
      </c>
      <c r="E30" s="220">
        <f>+D30*100/$D$33</f>
        <v>2.901331059637156</v>
      </c>
      <c r="F30" s="37"/>
    </row>
    <row r="31" spans="2:6" ht="42.75" customHeight="1" x14ac:dyDescent="0.3">
      <c r="B31" s="2"/>
      <c r="C31" s="15" t="s">
        <v>7</v>
      </c>
      <c r="D31" s="22">
        <v>1200</v>
      </c>
      <c r="E31" s="92">
        <f>+D31*100/$D$33</f>
        <v>1.4210601108426886</v>
      </c>
      <c r="F31" s="35" t="s">
        <v>64</v>
      </c>
    </row>
    <row r="32" spans="2:6" ht="15" thickBot="1" x14ac:dyDescent="0.35">
      <c r="B32" s="2"/>
      <c r="C32" s="8"/>
      <c r="D32" s="29"/>
      <c r="E32" s="92"/>
      <c r="F32" s="37"/>
    </row>
    <row r="33" spans="2:6" ht="16.2" thickBot="1" x14ac:dyDescent="0.35">
      <c r="B33" s="2"/>
      <c r="C33" s="6" t="s">
        <v>8</v>
      </c>
      <c r="D33" s="54">
        <f>SUM(D14:D32)</f>
        <v>84444</v>
      </c>
      <c r="E33" s="93">
        <f>+D33*100/$D$33</f>
        <v>100</v>
      </c>
      <c r="F33" s="49"/>
    </row>
    <row r="34" spans="2:6" x14ac:dyDescent="0.3">
      <c r="B34" s="2"/>
      <c r="C34" s="8"/>
      <c r="D34" s="14"/>
      <c r="E34" s="14"/>
      <c r="F34" s="9"/>
    </row>
    <row r="35" spans="2:6" ht="21.75" customHeight="1" x14ac:dyDescent="0.3">
      <c r="B35" s="2"/>
      <c r="C35" s="8"/>
      <c r="D35" s="14"/>
      <c r="E35" s="14"/>
      <c r="F35" s="9"/>
    </row>
    <row r="36" spans="2:6" ht="35.25" customHeight="1" x14ac:dyDescent="0.3">
      <c r="B36" s="2"/>
      <c r="C36" s="225" t="s">
        <v>211</v>
      </c>
      <c r="D36" s="226"/>
      <c r="E36" s="226"/>
      <c r="F36" s="224"/>
    </row>
    <row r="37" spans="2:6" ht="26.25" customHeight="1" x14ac:dyDescent="0.3">
      <c r="B37" s="2"/>
      <c r="C37" s="225" t="s">
        <v>9</v>
      </c>
      <c r="D37" s="227"/>
      <c r="E37" s="227"/>
      <c r="F37" s="224"/>
    </row>
    <row r="38" spans="2:6" ht="26.25" customHeight="1" x14ac:dyDescent="0.3">
      <c r="B38" s="2"/>
      <c r="C38" s="225" t="s">
        <v>210</v>
      </c>
      <c r="D38" s="227"/>
      <c r="E38" s="227"/>
      <c r="F38" s="224"/>
    </row>
    <row r="39" spans="2:6" ht="47.25" customHeight="1" x14ac:dyDescent="0.3">
      <c r="B39" s="2"/>
      <c r="C39" s="257" t="s">
        <v>212</v>
      </c>
      <c r="D39" s="258"/>
      <c r="E39" s="258"/>
      <c r="F39" s="224"/>
    </row>
    <row r="40" spans="2:6" ht="33.75" customHeight="1" x14ac:dyDescent="0.3">
      <c r="B40" s="2"/>
      <c r="C40" s="259" t="s">
        <v>213</v>
      </c>
      <c r="D40" s="259"/>
      <c r="E40" s="259"/>
      <c r="F40" s="224"/>
    </row>
    <row r="41" spans="2:6" ht="58.5" customHeight="1" thickBot="1" x14ac:dyDescent="0.35">
      <c r="B41" s="7"/>
      <c r="C41" s="252"/>
      <c r="D41" s="252"/>
      <c r="E41" s="252"/>
      <c r="F41" s="142"/>
    </row>
    <row r="42" spans="2:6" ht="15" customHeight="1" x14ac:dyDescent="0.3">
      <c r="F42" s="141"/>
    </row>
    <row r="43" spans="2:6" x14ac:dyDescent="0.3">
      <c r="F43" s="141"/>
    </row>
    <row r="44" spans="2:6" x14ac:dyDescent="0.3">
      <c r="F44" s="141"/>
    </row>
  </sheetData>
  <mergeCells count="8">
    <mergeCell ref="C41:E41"/>
    <mergeCell ref="C4:F4"/>
    <mergeCell ref="C5:F5"/>
    <mergeCell ref="C39:E39"/>
    <mergeCell ref="C40:E40"/>
    <mergeCell ref="C7:F7"/>
    <mergeCell ref="C8:F8"/>
    <mergeCell ref="C9:F9"/>
  </mergeCells>
  <pageMargins left="0.51181102362204722" right="0.31496062992125984" top="0.74803149606299213" bottom="0.74803149606299213" header="0.31496062992125984" footer="0.31496062992125984"/>
  <pageSetup paperSize="9" scale="5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I37"/>
  <sheetViews>
    <sheetView view="pageBreakPreview" topLeftCell="A5" zoomScale="90" zoomScaleNormal="100" zoomScaleSheetLayoutView="90" workbookViewId="0">
      <selection activeCell="D22" sqref="D22"/>
    </sheetView>
  </sheetViews>
  <sheetFormatPr defaultColWidth="11.5546875" defaultRowHeight="14.4" x14ac:dyDescent="0.3"/>
  <cols>
    <col min="1" max="1" width="8.33203125" customWidth="1"/>
    <col min="2" max="2" width="30.5546875" customWidth="1"/>
    <col min="3" max="3" width="27.109375" customWidth="1"/>
    <col min="4" max="5" width="26.5546875" customWidth="1"/>
    <col min="6" max="6" width="24.5546875" customWidth="1"/>
    <col min="7" max="7" width="23.44140625" customWidth="1"/>
    <col min="8" max="8" width="19.109375" bestFit="1" customWidth="1"/>
    <col min="9" max="9" width="11.5546875" customWidth="1"/>
  </cols>
  <sheetData>
    <row r="1" spans="1:9" x14ac:dyDescent="0.3">
      <c r="A1" s="81"/>
      <c r="B1" s="81"/>
      <c r="C1" s="81"/>
      <c r="D1" s="81"/>
      <c r="E1" s="81"/>
      <c r="F1" s="81"/>
      <c r="G1" s="81"/>
      <c r="H1" s="81"/>
      <c r="I1" s="81"/>
    </row>
    <row r="2" spans="1:9" ht="25.8" x14ac:dyDescent="0.5">
      <c r="A2" s="81"/>
      <c r="B2" s="83" t="s">
        <v>193</v>
      </c>
      <c r="C2" s="80"/>
      <c r="D2" s="80"/>
      <c r="E2" s="80"/>
      <c r="F2" s="80"/>
      <c r="G2" s="80"/>
      <c r="H2" s="80"/>
      <c r="I2" s="81"/>
    </row>
    <row r="3" spans="1:9" ht="21.6" thickBot="1" x14ac:dyDescent="0.45">
      <c r="A3" s="81"/>
      <c r="B3" s="82"/>
      <c r="C3" s="80"/>
      <c r="D3" s="80"/>
      <c r="E3" s="80"/>
      <c r="F3" s="80"/>
      <c r="G3" s="80"/>
      <c r="H3" s="80"/>
      <c r="I3" s="81"/>
    </row>
    <row r="4" spans="1:9" ht="46.8" x14ac:dyDescent="0.3">
      <c r="A4" s="81"/>
      <c r="B4" s="284" t="s">
        <v>122</v>
      </c>
      <c r="C4" s="285"/>
      <c r="D4" s="97" t="s">
        <v>17</v>
      </c>
      <c r="E4" s="97" t="s">
        <v>196</v>
      </c>
      <c r="F4" s="97" t="s">
        <v>53</v>
      </c>
      <c r="G4" s="97" t="s">
        <v>69</v>
      </c>
      <c r="H4" s="98" t="s">
        <v>68</v>
      </c>
      <c r="I4" s="81"/>
    </row>
    <row r="5" spans="1:9" ht="52.5" customHeight="1" x14ac:dyDescent="0.3">
      <c r="A5" s="81"/>
      <c r="B5" s="286" t="s">
        <v>124</v>
      </c>
      <c r="C5" s="285"/>
      <c r="D5" s="129" t="s">
        <v>128</v>
      </c>
      <c r="E5" s="129" t="s">
        <v>197</v>
      </c>
      <c r="F5" s="129" t="s">
        <v>128</v>
      </c>
      <c r="G5" s="129" t="s">
        <v>128</v>
      </c>
      <c r="H5" s="130" t="s">
        <v>128</v>
      </c>
      <c r="I5" s="81"/>
    </row>
    <row r="6" spans="1:9" ht="23.4" x14ac:dyDescent="0.3">
      <c r="A6" s="81"/>
      <c r="B6" s="287" t="s">
        <v>81</v>
      </c>
      <c r="C6" s="288"/>
      <c r="D6" s="121" t="s">
        <v>79</v>
      </c>
      <c r="E6" s="121" t="s">
        <v>79</v>
      </c>
      <c r="F6" s="121" t="s">
        <v>79</v>
      </c>
      <c r="G6" s="121" t="s">
        <v>79</v>
      </c>
      <c r="H6" s="123" t="s">
        <v>79</v>
      </c>
      <c r="I6" s="81"/>
    </row>
    <row r="7" spans="1:9" ht="23.4" x14ac:dyDescent="0.3">
      <c r="A7" s="81"/>
      <c r="B7" s="282" t="s">
        <v>125</v>
      </c>
      <c r="C7" s="283"/>
      <c r="D7" s="102">
        <f>+ILO!D22+ILO!D24+ILO!D25+ILO!D26+ILO!D27+ILO!D28+ILO!D30+ILO!D31+ILO!D19</f>
        <v>7541</v>
      </c>
      <c r="E7" s="102">
        <f>+'ilo patio puerto'!D13+'ilo patio puerto'!D15+'ilo patio puerto'!D17+'ilo patio puerto'!D18+'ilo patio puerto'!D19+'ilo patio puerto'!D20+'ilo patio puerto'!D22+'ilo patio puerto'!D23</f>
        <v>5836</v>
      </c>
      <c r="F7" s="103">
        <f>+MATARANI!D21+MATARANI!D23+MATARANI!D24+MATARANI!D25+MATARANI!D26+MATARANI!D27+MATARANI!D29+MATARANI!D30</f>
        <v>4261</v>
      </c>
      <c r="G7" s="104">
        <f>+MARCONA!D20+MARCONA!D23+MARCONA!D24+MARCONA!D25+MARCONA!D26+MARCONA!D29+MARCONA!D30</f>
        <v>3048</v>
      </c>
      <c r="H7" s="105">
        <f>+CALLAO!D14+CALLAO!D18+CALLAO!D20+CALLAO!D21+CALLAO!D22+CALLAO!D24+CALLAO!D25</f>
        <v>4798</v>
      </c>
      <c r="I7" s="81"/>
    </row>
    <row r="8" spans="1:9" ht="23.4" x14ac:dyDescent="0.3">
      <c r="A8" s="81"/>
      <c r="B8" s="282" t="s">
        <v>82</v>
      </c>
      <c r="C8" s="283"/>
      <c r="D8" s="106">
        <v>3000</v>
      </c>
      <c r="E8" s="106">
        <f>+'ilo patio puerto'!D10</f>
        <v>3000</v>
      </c>
      <c r="F8" s="104"/>
      <c r="G8" s="104"/>
      <c r="H8" s="105"/>
      <c r="I8" s="81"/>
    </row>
    <row r="9" spans="1:9" ht="23.4" x14ac:dyDescent="0.3">
      <c r="A9" s="81"/>
      <c r="B9" s="282" t="s">
        <v>126</v>
      </c>
      <c r="C9" s="283"/>
      <c r="D9" s="106">
        <f>+ILO!D17</f>
        <v>4000</v>
      </c>
      <c r="E9" s="106">
        <f>+'ilo patio puerto'!D12</f>
        <v>4000</v>
      </c>
      <c r="F9" s="107"/>
      <c r="G9" s="108"/>
      <c r="H9" s="105">
        <f>+CALLAO!D15</f>
        <v>3200</v>
      </c>
      <c r="I9" s="81"/>
    </row>
    <row r="10" spans="1:9" ht="23.4" x14ac:dyDescent="0.3">
      <c r="A10" s="81"/>
      <c r="B10" s="282" t="s">
        <v>83</v>
      </c>
      <c r="C10" s="283"/>
      <c r="D10" s="102">
        <f>+ILO!D16</f>
        <v>5200</v>
      </c>
      <c r="E10" s="102">
        <f>+'ilo patio puerto'!D11</f>
        <v>4600</v>
      </c>
      <c r="F10" s="107">
        <f>+MATARANI!D15+MATARANI!D16+MATARANI!D17</f>
        <v>7280</v>
      </c>
      <c r="G10" s="103">
        <f>+MARCONA!D16</f>
        <v>36000</v>
      </c>
      <c r="H10" s="105"/>
      <c r="I10" s="81"/>
    </row>
    <row r="11" spans="1:9" ht="23.4" x14ac:dyDescent="0.3">
      <c r="A11" s="81"/>
      <c r="B11" s="293" t="s">
        <v>109</v>
      </c>
      <c r="C11" s="294"/>
      <c r="D11" s="106">
        <f>+ILO!D23</f>
        <v>830</v>
      </c>
      <c r="E11" s="106">
        <f>+'ilo patio puerto'!D16</f>
        <v>1245</v>
      </c>
      <c r="F11" s="104">
        <f>+MATARANI!D22</f>
        <v>3000</v>
      </c>
      <c r="G11" s="104"/>
      <c r="H11" s="105">
        <f>+CALLAO!D19</f>
        <v>7146.0000000000009</v>
      </c>
      <c r="I11" s="81"/>
    </row>
    <row r="12" spans="1:9" ht="24" thickBot="1" x14ac:dyDescent="0.35">
      <c r="A12" s="81"/>
      <c r="B12" s="295"/>
      <c r="C12" s="296"/>
      <c r="D12" s="109"/>
      <c r="E12" s="109"/>
      <c r="F12" s="110"/>
      <c r="G12" s="110"/>
      <c r="H12" s="111"/>
      <c r="I12" s="81"/>
    </row>
    <row r="13" spans="1:9" ht="24" thickBot="1" x14ac:dyDescent="0.5">
      <c r="A13" s="81"/>
      <c r="B13" s="291" t="s">
        <v>80</v>
      </c>
      <c r="C13" s="292"/>
      <c r="D13" s="112">
        <f>SUM(D7:D11)</f>
        <v>20571</v>
      </c>
      <c r="E13" s="112">
        <f>SUM(E7:E11)</f>
        <v>18681</v>
      </c>
      <c r="F13" s="112">
        <f>SUM(F7:F11)</f>
        <v>14541</v>
      </c>
      <c r="G13" s="112">
        <f>SUM(G7:G11)</f>
        <v>39048</v>
      </c>
      <c r="H13" s="113">
        <f>SUM(H7:H11)</f>
        <v>15144</v>
      </c>
      <c r="I13" s="81"/>
    </row>
    <row r="14" spans="1:9" x14ac:dyDescent="0.3">
      <c r="A14" s="81"/>
      <c r="B14" s="81"/>
      <c r="C14" s="81"/>
      <c r="D14" s="147"/>
      <c r="E14" s="147"/>
      <c r="F14" s="147"/>
      <c r="G14" s="147"/>
      <c r="H14" s="147"/>
      <c r="I14" s="81"/>
    </row>
    <row r="15" spans="1:9" ht="15" thickBot="1" x14ac:dyDescent="0.35">
      <c r="A15" s="81"/>
      <c r="B15" s="81"/>
      <c r="C15" s="81"/>
      <c r="D15" s="147"/>
      <c r="E15" s="147"/>
      <c r="F15" s="147"/>
      <c r="G15" s="147"/>
      <c r="H15" s="147"/>
      <c r="I15" s="81"/>
    </row>
    <row r="16" spans="1:9" s="116" customFormat="1" ht="26.4" thickBot="1" x14ac:dyDescent="0.55000000000000004">
      <c r="A16" s="146"/>
      <c r="B16" s="289" t="s">
        <v>123</v>
      </c>
      <c r="C16" s="290"/>
      <c r="D16" s="115">
        <f>+D13</f>
        <v>20571</v>
      </c>
      <c r="E16" s="115">
        <f>+E13</f>
        <v>18681</v>
      </c>
      <c r="F16" s="115">
        <f>+F13-F11</f>
        <v>11541</v>
      </c>
      <c r="G16" s="115">
        <f>+G13-G11</f>
        <v>39048</v>
      </c>
      <c r="H16" s="115">
        <f>+H13</f>
        <v>15144</v>
      </c>
      <c r="I16" s="146"/>
    </row>
    <row r="17" spans="1:9" x14ac:dyDescent="0.3">
      <c r="A17" s="81"/>
      <c r="B17" s="81"/>
      <c r="C17" s="81"/>
      <c r="D17" s="81"/>
      <c r="E17" s="81"/>
      <c r="F17" s="81"/>
      <c r="G17" s="81"/>
      <c r="H17" s="81"/>
      <c r="I17" s="81"/>
    </row>
    <row r="18" spans="1:9" x14ac:dyDescent="0.3">
      <c r="A18" s="81"/>
      <c r="B18" s="81"/>
      <c r="C18" s="81"/>
      <c r="D18" s="81"/>
      <c r="E18" s="81"/>
      <c r="F18" s="81"/>
      <c r="G18" s="81"/>
      <c r="H18" s="81"/>
      <c r="I18" s="81"/>
    </row>
    <row r="19" spans="1:9" x14ac:dyDescent="0.3">
      <c r="A19" s="81"/>
      <c r="B19" s="81"/>
      <c r="C19" s="81"/>
      <c r="D19" s="81"/>
      <c r="E19" s="81"/>
      <c r="F19" s="81"/>
      <c r="G19" s="81"/>
      <c r="H19" s="81"/>
      <c r="I19" s="81"/>
    </row>
    <row r="20" spans="1:9" ht="42.75" customHeight="1" x14ac:dyDescent="0.3">
      <c r="A20" s="81"/>
      <c r="B20" s="281" t="s">
        <v>195</v>
      </c>
      <c r="C20" s="281"/>
      <c r="D20" s="281"/>
      <c r="E20" s="281"/>
      <c r="F20" s="281"/>
      <c r="G20" s="281"/>
      <c r="H20" s="281"/>
      <c r="I20" s="81"/>
    </row>
    <row r="21" spans="1:9" ht="15.6" x14ac:dyDescent="0.3">
      <c r="A21" s="81"/>
      <c r="B21" s="149"/>
      <c r="C21" s="149"/>
      <c r="D21" s="149"/>
      <c r="E21" s="149"/>
      <c r="F21" s="149"/>
      <c r="G21" s="149"/>
      <c r="H21" s="149"/>
      <c r="I21" s="81"/>
    </row>
    <row r="22" spans="1:9" ht="15.6" x14ac:dyDescent="0.3">
      <c r="A22" s="81"/>
      <c r="B22" s="150" t="s">
        <v>132</v>
      </c>
      <c r="C22" s="149"/>
      <c r="D22" s="149"/>
      <c r="E22" s="149"/>
      <c r="F22" s="149"/>
      <c r="G22" s="149"/>
      <c r="H22" s="149"/>
      <c r="I22" s="81"/>
    </row>
    <row r="23" spans="1:9" ht="15.6" x14ac:dyDescent="0.3">
      <c r="A23" s="81"/>
      <c r="B23" s="151" t="s">
        <v>133</v>
      </c>
      <c r="C23" s="149"/>
      <c r="D23" s="149"/>
      <c r="E23" s="149"/>
      <c r="F23" s="149"/>
      <c r="G23" s="149"/>
      <c r="H23" s="149"/>
      <c r="I23" s="81"/>
    </row>
    <row r="24" spans="1:9" ht="15.6" x14ac:dyDescent="0.3">
      <c r="A24" s="81"/>
      <c r="B24" s="281" t="s">
        <v>134</v>
      </c>
      <c r="C24" s="281"/>
      <c r="D24" s="149"/>
      <c r="E24" s="149"/>
      <c r="F24" s="149"/>
      <c r="G24" s="149"/>
      <c r="H24" s="149"/>
      <c r="I24" s="81"/>
    </row>
    <row r="25" spans="1:9" ht="15" customHeight="1" x14ac:dyDescent="0.3">
      <c r="A25" s="81"/>
      <c r="B25" s="281" t="s">
        <v>140</v>
      </c>
      <c r="C25" s="281"/>
      <c r="D25" s="281"/>
      <c r="E25" s="281"/>
      <c r="F25" s="281"/>
      <c r="G25" s="281"/>
      <c r="H25" s="281"/>
      <c r="I25" s="81"/>
    </row>
    <row r="26" spans="1:9" ht="15" customHeight="1" x14ac:dyDescent="0.3">
      <c r="A26" s="81"/>
      <c r="B26" s="148"/>
      <c r="C26" s="148"/>
      <c r="D26" s="148"/>
      <c r="E26" s="148"/>
      <c r="F26" s="148"/>
      <c r="G26" s="148"/>
      <c r="H26" s="148"/>
      <c r="I26" s="81"/>
    </row>
    <row r="27" spans="1:9" ht="9.75" customHeight="1" x14ac:dyDescent="0.3">
      <c r="A27" s="81"/>
      <c r="B27" s="148"/>
      <c r="C27" s="148"/>
      <c r="D27" s="148"/>
      <c r="E27" s="148"/>
      <c r="F27" s="148"/>
      <c r="G27" s="148"/>
      <c r="H27" s="148"/>
      <c r="I27" s="81"/>
    </row>
    <row r="28" spans="1:9" hidden="1" x14ac:dyDescent="0.3">
      <c r="A28" s="81"/>
      <c r="B28" s="152"/>
      <c r="C28" s="152"/>
      <c r="D28" s="152"/>
      <c r="E28" s="152"/>
      <c r="F28" s="152"/>
      <c r="G28" s="152"/>
      <c r="H28" s="152"/>
      <c r="I28" s="81"/>
    </row>
    <row r="29" spans="1:9" x14ac:dyDescent="0.3">
      <c r="A29" s="81"/>
      <c r="B29" s="153" t="s">
        <v>187</v>
      </c>
      <c r="C29" s="152"/>
      <c r="D29" s="152"/>
      <c r="E29" s="152"/>
      <c r="F29" s="152"/>
      <c r="G29" s="152"/>
      <c r="H29" s="152"/>
      <c r="I29" s="81"/>
    </row>
    <row r="30" spans="1:9" x14ac:dyDescent="0.3">
      <c r="A30" s="81"/>
      <c r="B30" s="211">
        <f ca="1">+TODAY()</f>
        <v>46204</v>
      </c>
      <c r="C30" s="81"/>
      <c r="D30" s="81"/>
      <c r="E30" s="81"/>
      <c r="F30" s="81"/>
      <c r="G30" s="81"/>
      <c r="H30" s="81"/>
      <c r="I30" s="81"/>
    </row>
    <row r="31" spans="1:9" x14ac:dyDescent="0.3">
      <c r="A31" s="81"/>
      <c r="B31" s="81"/>
      <c r="C31" s="81"/>
      <c r="D31" s="81"/>
      <c r="E31" s="81"/>
      <c r="F31" s="81"/>
      <c r="G31" s="81"/>
      <c r="H31" s="81"/>
      <c r="I31" s="81"/>
    </row>
    <row r="35" ht="23.25" customHeight="1" x14ac:dyDescent="0.3"/>
    <row r="37" ht="23.25" customHeight="1" x14ac:dyDescent="0.3"/>
  </sheetData>
  <mergeCells count="14">
    <mergeCell ref="B25:H25"/>
    <mergeCell ref="B9:C9"/>
    <mergeCell ref="B4:C4"/>
    <mergeCell ref="B5:C5"/>
    <mergeCell ref="B6:C6"/>
    <mergeCell ref="B7:C7"/>
    <mergeCell ref="B8:C8"/>
    <mergeCell ref="B20:H20"/>
    <mergeCell ref="B16:C16"/>
    <mergeCell ref="B24:C24"/>
    <mergeCell ref="B10:C10"/>
    <mergeCell ref="B13:C13"/>
    <mergeCell ref="B11:C11"/>
    <mergeCell ref="B12:C12"/>
  </mergeCells>
  <pageMargins left="0.70866141732283472" right="0.70866141732283472" top="0.74803149606299213" bottom="0.74803149606299213" header="0.31496062992125984" footer="0.31496062992125984"/>
  <pageSetup scale="61"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I26"/>
  <sheetViews>
    <sheetView view="pageBreakPreview" topLeftCell="A5" zoomScale="90" zoomScaleNormal="100" zoomScaleSheetLayoutView="90" workbookViewId="0">
      <selection activeCell="B26" sqref="B26"/>
    </sheetView>
  </sheetViews>
  <sheetFormatPr defaultColWidth="11.5546875" defaultRowHeight="14.4" x14ac:dyDescent="0.3"/>
  <cols>
    <col min="1" max="1" width="8.44140625" customWidth="1"/>
    <col min="3" max="3" width="75" customWidth="1"/>
    <col min="4" max="4" width="22.33203125" customWidth="1"/>
    <col min="5" max="6" width="24.33203125" customWidth="1"/>
    <col min="7" max="7" width="31.44140625" customWidth="1"/>
    <col min="9" max="9" width="6.88671875" customWidth="1"/>
  </cols>
  <sheetData>
    <row r="1" spans="1:9" x14ac:dyDescent="0.3">
      <c r="A1" s="81"/>
      <c r="B1" s="81"/>
      <c r="C1" s="81"/>
      <c r="D1" s="81"/>
      <c r="E1" s="81"/>
      <c r="F1" s="81"/>
      <c r="G1" s="81"/>
      <c r="H1" s="81"/>
      <c r="I1" s="81"/>
    </row>
    <row r="2" spans="1:9" ht="25.8" x14ac:dyDescent="0.5">
      <c r="A2" s="81"/>
      <c r="B2" s="83" t="s">
        <v>194</v>
      </c>
      <c r="C2" s="80"/>
      <c r="D2" s="80"/>
      <c r="E2" s="80"/>
      <c r="F2" s="80"/>
      <c r="G2" s="81"/>
      <c r="H2" s="81"/>
      <c r="I2" s="81"/>
    </row>
    <row r="3" spans="1:9" x14ac:dyDescent="0.3">
      <c r="A3" s="81"/>
      <c r="B3" s="81"/>
      <c r="C3" s="81"/>
      <c r="D3" s="81"/>
      <c r="E3" s="81"/>
      <c r="F3" s="81"/>
      <c r="G3" s="81"/>
      <c r="H3" s="81"/>
      <c r="I3" s="81"/>
    </row>
    <row r="4" spans="1:9" x14ac:dyDescent="0.3">
      <c r="A4" s="81"/>
      <c r="B4" s="81"/>
      <c r="C4" s="81"/>
      <c r="D4" s="81"/>
      <c r="E4" s="81"/>
      <c r="F4" s="81"/>
      <c r="G4" s="81"/>
      <c r="H4" s="81"/>
      <c r="I4" s="81"/>
    </row>
    <row r="5" spans="1:9" ht="15" thickBot="1" x14ac:dyDescent="0.35">
      <c r="A5" s="81"/>
      <c r="B5" s="81"/>
      <c r="C5" s="81"/>
      <c r="D5" s="81"/>
      <c r="E5" s="81"/>
      <c r="F5" s="81"/>
      <c r="G5" s="81"/>
      <c r="H5" s="81"/>
      <c r="I5" s="81"/>
    </row>
    <row r="6" spans="1:9" ht="46.8" x14ac:dyDescent="0.3">
      <c r="B6" s="299" t="s">
        <v>122</v>
      </c>
      <c r="C6" s="300"/>
      <c r="D6" s="97" t="s">
        <v>84</v>
      </c>
      <c r="E6" s="97" t="s">
        <v>110</v>
      </c>
      <c r="F6" s="98" t="s">
        <v>188</v>
      </c>
      <c r="G6" s="202" t="s">
        <v>48</v>
      </c>
    </row>
    <row r="7" spans="1:9" ht="23.4" x14ac:dyDescent="0.3">
      <c r="B7" s="286" t="s">
        <v>121</v>
      </c>
      <c r="C7" s="285"/>
      <c r="D7" s="120"/>
      <c r="E7" s="120"/>
      <c r="F7" s="122"/>
      <c r="G7" s="203"/>
    </row>
    <row r="8" spans="1:9" ht="23.4" x14ac:dyDescent="0.3">
      <c r="B8" s="301" t="s">
        <v>81</v>
      </c>
      <c r="C8" s="302"/>
      <c r="D8" s="121" t="s">
        <v>79</v>
      </c>
      <c r="E8" s="121" t="s">
        <v>79</v>
      </c>
      <c r="F8" s="123" t="s">
        <v>79</v>
      </c>
      <c r="G8" s="204" t="s">
        <v>79</v>
      </c>
    </row>
    <row r="9" spans="1:9" ht="46.5" customHeight="1" x14ac:dyDescent="0.3">
      <c r="B9" s="303" t="s">
        <v>120</v>
      </c>
      <c r="C9" s="304"/>
      <c r="D9" s="117">
        <f>42850-17000-10400</f>
        <v>15450</v>
      </c>
      <c r="E9" s="117">
        <f>+MEJILLONES.INTERACID!D31-MEJILLONES.INTERACID!D21-MEJILLONES.INTERACID!D15</f>
        <v>14655</v>
      </c>
      <c r="F9" s="124">
        <f>+MEJILLONES.TERQUIM!D32-MEJILLONES.TERQUIM!D15-MEJILLONES.TERQUIM!D23</f>
        <v>18535</v>
      </c>
      <c r="G9" s="205">
        <f>+BARQUITO!D14+BARQUITO!D16+BARQUITO!D17+BARQUITO!D20+BARQUITO!D22+BARQUITO!D23+BARQUITO!D25+BARQUITO!D26+BARQUITO!D27+BARQUITO!D28+BARQUITO!D31</f>
        <v>23534</v>
      </c>
    </row>
    <row r="10" spans="1:9" ht="36.75" customHeight="1" x14ac:dyDescent="0.3">
      <c r="B10" s="282" t="s">
        <v>119</v>
      </c>
      <c r="C10" s="283"/>
      <c r="D10" s="117">
        <f>+MEJILLONES.A!D19</f>
        <v>22810.032000000003</v>
      </c>
      <c r="E10" s="117">
        <f>+MEJILLONES.INTERACID!D21</f>
        <v>20000</v>
      </c>
      <c r="F10" s="124">
        <f>+MEJILLONES.TERQUIM!D23</f>
        <v>23021.856</v>
      </c>
      <c r="G10" s="206">
        <f>+BARQUITO!D21</f>
        <v>2000</v>
      </c>
    </row>
    <row r="11" spans="1:9" ht="36" customHeight="1" x14ac:dyDescent="0.3">
      <c r="B11" s="282" t="s">
        <v>117</v>
      </c>
      <c r="C11" s="283"/>
      <c r="D11" s="117">
        <f>+MEJILLONES.A!D13</f>
        <v>11200</v>
      </c>
      <c r="E11" s="117"/>
      <c r="F11" s="124"/>
      <c r="G11" s="205">
        <f>+BARQUITO!D24</f>
        <v>18000</v>
      </c>
    </row>
    <row r="12" spans="1:9" ht="39.75" customHeight="1" thickBot="1" x14ac:dyDescent="0.35">
      <c r="B12" s="282" t="s">
        <v>118</v>
      </c>
      <c r="C12" s="283"/>
      <c r="D12" s="118">
        <f>+MEJILLONES.A!D12</f>
        <v>1808.62</v>
      </c>
      <c r="E12" s="118">
        <f>+MEJILLONES.INTERACID!D15</f>
        <v>11200</v>
      </c>
      <c r="F12" s="126">
        <f>+MEJILLONES.TERQUIM!D15</f>
        <v>8400</v>
      </c>
      <c r="G12" s="207">
        <f>+BARQUITO!D15</f>
        <v>38460</v>
      </c>
    </row>
    <row r="13" spans="1:9" ht="24" thickBot="1" x14ac:dyDescent="0.5">
      <c r="B13" s="291" t="s">
        <v>127</v>
      </c>
      <c r="C13" s="292"/>
      <c r="D13" s="119">
        <f>SUM(D9:D12)</f>
        <v>51268.652000000009</v>
      </c>
      <c r="E13" s="119">
        <f>SUM(E9:E12)</f>
        <v>45855</v>
      </c>
      <c r="F13" s="128">
        <f>SUM(F9:F12)</f>
        <v>49956.856</v>
      </c>
      <c r="G13" s="208">
        <f>SUM(G9:G12)</f>
        <v>81994</v>
      </c>
    </row>
    <row r="14" spans="1:9" x14ac:dyDescent="0.3">
      <c r="B14" s="2"/>
      <c r="D14" s="114"/>
      <c r="E14" s="114"/>
      <c r="F14" s="127"/>
      <c r="G14" s="127"/>
    </row>
    <row r="15" spans="1:9" ht="15" thickBot="1" x14ac:dyDescent="0.35">
      <c r="B15" s="2"/>
      <c r="D15" s="114"/>
      <c r="E15" s="114"/>
      <c r="F15" s="127"/>
      <c r="G15" s="127"/>
    </row>
    <row r="16" spans="1:9" s="101" customFormat="1" ht="24" thickBot="1" x14ac:dyDescent="0.5">
      <c r="B16" s="305" t="s">
        <v>144</v>
      </c>
      <c r="C16" s="306"/>
      <c r="D16" s="119">
        <f>+D13-D10</f>
        <v>28458.620000000006</v>
      </c>
      <c r="E16" s="119">
        <f t="shared" ref="E16" si="0">+E13-E10</f>
        <v>25855</v>
      </c>
      <c r="F16" s="128">
        <f>+F13-F10</f>
        <v>26935</v>
      </c>
      <c r="G16" s="209">
        <f>+G13-G10-G11</f>
        <v>61994</v>
      </c>
    </row>
    <row r="17" spans="2:8" x14ac:dyDescent="0.3">
      <c r="D17" s="114"/>
      <c r="E17" s="114"/>
      <c r="F17" s="114"/>
      <c r="G17" s="114"/>
    </row>
    <row r="20" spans="2:8" ht="15" customHeight="1" x14ac:dyDescent="0.3">
      <c r="B20" s="298" t="s">
        <v>135</v>
      </c>
      <c r="C20" s="298"/>
      <c r="D20" s="298"/>
      <c r="E20" s="298"/>
      <c r="F20" s="298"/>
      <c r="G20" s="298"/>
      <c r="H20" s="298"/>
    </row>
    <row r="21" spans="2:8" ht="15.6" x14ac:dyDescent="0.3">
      <c r="B21" s="139"/>
      <c r="C21" s="139"/>
      <c r="D21" s="139"/>
      <c r="E21" s="139"/>
      <c r="F21" s="139"/>
      <c r="G21" s="139"/>
      <c r="H21" s="139"/>
    </row>
    <row r="22" spans="2:8" ht="15.6" x14ac:dyDescent="0.3">
      <c r="B22" s="137" t="s">
        <v>131</v>
      </c>
      <c r="C22" s="138"/>
      <c r="D22" s="138"/>
      <c r="E22" s="138"/>
      <c r="F22" s="138"/>
      <c r="G22" s="138"/>
      <c r="H22" s="138"/>
    </row>
    <row r="23" spans="2:8" ht="36" customHeight="1" x14ac:dyDescent="0.3">
      <c r="B23" s="297" t="s">
        <v>136</v>
      </c>
      <c r="C23" s="297"/>
      <c r="D23" s="297"/>
      <c r="E23" s="297"/>
      <c r="F23" s="297"/>
      <c r="G23" s="297"/>
      <c r="H23" s="138"/>
    </row>
    <row r="24" spans="2:8" x14ac:dyDescent="0.3">
      <c r="B24" s="136"/>
      <c r="C24" s="136"/>
      <c r="D24" s="136"/>
      <c r="E24" s="136"/>
      <c r="F24" s="136"/>
      <c r="G24" s="136"/>
      <c r="H24" s="136"/>
    </row>
    <row r="25" spans="2:8" x14ac:dyDescent="0.3">
      <c r="B25" s="4" t="str">
        <f>+'RESUMEN PERU'!B29</f>
        <v>H/P Naviera Petral / Sandra Galvez</v>
      </c>
      <c r="C25" s="136"/>
      <c r="D25" s="136"/>
      <c r="E25" s="136"/>
      <c r="F25" s="136"/>
      <c r="G25" s="136"/>
      <c r="H25" s="136"/>
    </row>
    <row r="26" spans="2:8" x14ac:dyDescent="0.3">
      <c r="B26" s="210">
        <f ca="1">+TODAY()</f>
        <v>46204</v>
      </c>
    </row>
  </sheetData>
  <mergeCells count="11">
    <mergeCell ref="B23:G23"/>
    <mergeCell ref="B20:H20"/>
    <mergeCell ref="B6:C6"/>
    <mergeCell ref="B7:C7"/>
    <mergeCell ref="B8:C8"/>
    <mergeCell ref="B9:C9"/>
    <mergeCell ref="B16:C16"/>
    <mergeCell ref="B13:C13"/>
    <mergeCell ref="B11:C11"/>
    <mergeCell ref="B10:C10"/>
    <mergeCell ref="B12:C12"/>
  </mergeCells>
  <pageMargins left="0.70866141732283472" right="0.70866141732283472" top="0.74803149606299213" bottom="0.74803149606299213" header="0.31496062992125984" footer="0.31496062992125984"/>
  <pageSetup scale="58"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R22"/>
  <sheetViews>
    <sheetView view="pageBreakPreview" topLeftCell="C1" zoomScale="90" zoomScaleNormal="100" zoomScaleSheetLayoutView="90" workbookViewId="0">
      <selection activeCell="F22" sqref="F22"/>
    </sheetView>
  </sheetViews>
  <sheetFormatPr defaultColWidth="11.5546875" defaultRowHeight="14.4" x14ac:dyDescent="0.3"/>
  <cols>
    <col min="3" max="3" width="100" customWidth="1"/>
    <col min="4" max="4" width="21.88671875" customWidth="1"/>
    <col min="5" max="5" width="19.33203125" customWidth="1"/>
    <col min="6" max="6" width="23.5546875" customWidth="1"/>
  </cols>
  <sheetData>
    <row r="1" spans="2:18" ht="15" thickBot="1" x14ac:dyDescent="0.35"/>
    <row r="2" spans="2:18" ht="33.6" x14ac:dyDescent="0.4">
      <c r="B2" s="307" t="s">
        <v>121</v>
      </c>
      <c r="C2" s="308"/>
      <c r="D2" s="162" t="s">
        <v>162</v>
      </c>
      <c r="E2" s="162">
        <v>2024</v>
      </c>
      <c r="F2" s="163" t="s">
        <v>168</v>
      </c>
    </row>
    <row r="3" spans="2:18" ht="33.6" x14ac:dyDescent="0.3">
      <c r="B3" s="313" t="s">
        <v>161</v>
      </c>
      <c r="C3" s="314"/>
      <c r="D3" s="160" t="s">
        <v>79</v>
      </c>
      <c r="E3" s="160" t="s">
        <v>79</v>
      </c>
      <c r="F3" s="161" t="s">
        <v>79</v>
      </c>
      <c r="H3" s="154" t="s">
        <v>149</v>
      </c>
      <c r="L3">
        <v>1480</v>
      </c>
      <c r="M3">
        <f>+L3-1800</f>
        <v>-320</v>
      </c>
      <c r="P3">
        <v>34</v>
      </c>
      <c r="R3">
        <f>+P3*320</f>
        <v>10880</v>
      </c>
    </row>
    <row r="4" spans="2:18" x14ac:dyDescent="0.3">
      <c r="B4" s="315"/>
      <c r="C4" s="316"/>
      <c r="D4" s="158"/>
      <c r="E4" s="158"/>
      <c r="F4" s="159"/>
      <c r="H4" s="154"/>
    </row>
    <row r="5" spans="2:18" ht="23.25" customHeight="1" x14ac:dyDescent="0.3">
      <c r="B5" s="309" t="s">
        <v>163</v>
      </c>
      <c r="C5" s="310"/>
      <c r="D5" s="117">
        <v>1480</v>
      </c>
      <c r="E5" s="117">
        <v>1800</v>
      </c>
      <c r="F5" s="125">
        <f>+E5-D5</f>
        <v>320</v>
      </c>
      <c r="H5" s="154" t="s">
        <v>150</v>
      </c>
    </row>
    <row r="6" spans="2:18" ht="23.25" customHeight="1" x14ac:dyDescent="0.3">
      <c r="B6" s="282" t="s">
        <v>167</v>
      </c>
      <c r="C6" s="283"/>
      <c r="D6" s="117">
        <v>340</v>
      </c>
      <c r="E6" s="117">
        <v>340</v>
      </c>
      <c r="F6" s="125">
        <f t="shared" ref="F6:F9" si="0">+E6-D6</f>
        <v>0</v>
      </c>
      <c r="H6" s="154" t="s">
        <v>151</v>
      </c>
    </row>
    <row r="7" spans="2:18" ht="23.25" customHeight="1" x14ac:dyDescent="0.3">
      <c r="B7" s="282" t="s">
        <v>166</v>
      </c>
      <c r="C7" s="283"/>
      <c r="D7" s="117">
        <v>150</v>
      </c>
      <c r="E7" s="117">
        <v>150</v>
      </c>
      <c r="F7" s="125">
        <f t="shared" si="0"/>
        <v>0</v>
      </c>
      <c r="H7" s="154"/>
    </row>
    <row r="8" spans="2:18" ht="47.25" customHeight="1" x14ac:dyDescent="0.3">
      <c r="B8" s="309" t="s">
        <v>164</v>
      </c>
      <c r="C8" s="310"/>
      <c r="D8" s="117">
        <v>510</v>
      </c>
      <c r="E8" s="117">
        <v>510</v>
      </c>
      <c r="F8" s="125">
        <f t="shared" si="0"/>
        <v>0</v>
      </c>
      <c r="H8" s="154" t="s">
        <v>152</v>
      </c>
    </row>
    <row r="9" spans="2:18" ht="47.25" customHeight="1" x14ac:dyDescent="0.3">
      <c r="B9" s="309" t="s">
        <v>165</v>
      </c>
      <c r="C9" s="310"/>
      <c r="D9" s="117">
        <v>220</v>
      </c>
      <c r="E9" s="117">
        <v>220</v>
      </c>
      <c r="F9" s="125">
        <f t="shared" si="0"/>
        <v>0</v>
      </c>
      <c r="H9" s="154"/>
    </row>
    <row r="10" spans="2:18" ht="24" thickBot="1" x14ac:dyDescent="0.5">
      <c r="B10" s="311" t="s">
        <v>80</v>
      </c>
      <c r="C10" s="312"/>
      <c r="D10" s="164">
        <f>SUM(D5:D6)</f>
        <v>1820</v>
      </c>
      <c r="E10" s="164">
        <f>SUM(E5:E6)</f>
        <v>2140</v>
      </c>
      <c r="F10" s="165">
        <f>SUM(F5:F8)</f>
        <v>320</v>
      </c>
      <c r="H10" s="154" t="s">
        <v>153</v>
      </c>
    </row>
    <row r="11" spans="2:18" x14ac:dyDescent="0.3">
      <c r="D11" s="114"/>
      <c r="E11" s="114"/>
      <c r="F11" s="114"/>
      <c r="H11" s="156"/>
    </row>
    <row r="12" spans="2:18" x14ac:dyDescent="0.3">
      <c r="D12" s="114"/>
      <c r="E12" s="114"/>
      <c r="F12" s="114"/>
      <c r="H12" s="154" t="s">
        <v>154</v>
      </c>
    </row>
    <row r="13" spans="2:18" x14ac:dyDescent="0.3">
      <c r="B13" t="s">
        <v>130</v>
      </c>
      <c r="H13" s="156" t="s">
        <v>155</v>
      </c>
    </row>
    <row r="14" spans="2:18" x14ac:dyDescent="0.3">
      <c r="B14" t="s">
        <v>169</v>
      </c>
      <c r="H14" s="156"/>
    </row>
    <row r="15" spans="2:18" x14ac:dyDescent="0.3">
      <c r="H15" s="154" t="s">
        <v>156</v>
      </c>
      <c r="L15">
        <v>350</v>
      </c>
    </row>
    <row r="16" spans="2:18" x14ac:dyDescent="0.3">
      <c r="H16" s="154" t="s">
        <v>157</v>
      </c>
      <c r="L16">
        <v>150</v>
      </c>
    </row>
    <row r="17" spans="8:12" x14ac:dyDescent="0.3">
      <c r="H17" s="157"/>
    </row>
    <row r="18" spans="8:12" x14ac:dyDescent="0.3">
      <c r="H18" s="156" t="s">
        <v>158</v>
      </c>
    </row>
    <row r="19" spans="8:12" x14ac:dyDescent="0.3">
      <c r="H19" s="156"/>
    </row>
    <row r="20" spans="8:12" x14ac:dyDescent="0.3">
      <c r="H20" s="154" t="s">
        <v>159</v>
      </c>
      <c r="L20">
        <v>510</v>
      </c>
    </row>
    <row r="21" spans="8:12" x14ac:dyDescent="0.3">
      <c r="H21" s="154" t="s">
        <v>160</v>
      </c>
      <c r="L21">
        <v>220</v>
      </c>
    </row>
    <row r="22" spans="8:12" x14ac:dyDescent="0.3">
      <c r="H22" s="155"/>
    </row>
  </sheetData>
  <mergeCells count="9">
    <mergeCell ref="B2:C2"/>
    <mergeCell ref="B5:C5"/>
    <mergeCell ref="B6:C6"/>
    <mergeCell ref="B8:C8"/>
    <mergeCell ref="B10:C10"/>
    <mergeCell ref="B7:C7"/>
    <mergeCell ref="B9:C9"/>
    <mergeCell ref="B3:C3"/>
    <mergeCell ref="B4:C4"/>
  </mergeCells>
  <pageMargins left="0.31496062992125984" right="0.31496062992125984" top="1.1417322834645669" bottom="0.74803149606299213" header="0.31496062992125984" footer="0.31496062992125984"/>
  <pageSetup paperSize="9" scale="7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F28"/>
  <sheetViews>
    <sheetView topLeftCell="A8" workbookViewId="0">
      <selection activeCell="F22" sqref="F22"/>
    </sheetView>
  </sheetViews>
  <sheetFormatPr defaultColWidth="11.5546875" defaultRowHeight="14.4" x14ac:dyDescent="0.3"/>
  <cols>
    <col min="1" max="1" width="4.44140625" customWidth="1"/>
    <col min="2" max="2" width="5.5546875" customWidth="1"/>
    <col min="3" max="3" width="32.33203125" customWidth="1"/>
    <col min="4" max="4" width="18.44140625" customWidth="1"/>
    <col min="5" max="5" width="18" customWidth="1"/>
    <col min="6" max="6" width="67.88671875" customWidth="1"/>
    <col min="7" max="7" width="5" customWidth="1"/>
  </cols>
  <sheetData>
    <row r="3" spans="2:6" ht="15" thickBot="1" x14ac:dyDescent="0.35"/>
    <row r="4" spans="2:6" ht="33" customHeight="1" x14ac:dyDescent="0.3">
      <c r="B4" s="1"/>
      <c r="C4" s="253" t="s">
        <v>15</v>
      </c>
      <c r="D4" s="253"/>
      <c r="E4" s="253"/>
      <c r="F4" s="254"/>
    </row>
    <row r="5" spans="2:6" ht="15.6" x14ac:dyDescent="0.3">
      <c r="B5" s="2"/>
      <c r="C5" s="276" t="s">
        <v>188</v>
      </c>
      <c r="D5" s="276"/>
      <c r="E5" s="276"/>
      <c r="F5" s="277"/>
    </row>
    <row r="6" spans="2:6" ht="16.2" thickBot="1" x14ac:dyDescent="0.35">
      <c r="B6" s="2"/>
      <c r="C6" s="3"/>
      <c r="D6" s="8"/>
      <c r="E6" s="8"/>
      <c r="F6" s="9"/>
    </row>
    <row r="7" spans="2:6" ht="15.6" x14ac:dyDescent="0.3">
      <c r="B7" s="2"/>
      <c r="C7" s="4"/>
      <c r="D7" s="16" t="s">
        <v>138</v>
      </c>
      <c r="E7" s="17"/>
      <c r="F7" s="38" t="s">
        <v>10</v>
      </c>
    </row>
    <row r="8" spans="2:6" ht="16.2" thickBot="1" x14ac:dyDescent="0.35">
      <c r="B8" s="2"/>
      <c r="C8" s="8"/>
      <c r="D8" s="18" t="s">
        <v>0</v>
      </c>
      <c r="E8" s="19" t="s">
        <v>16</v>
      </c>
      <c r="F8" s="32"/>
    </row>
    <row r="9" spans="2:6" x14ac:dyDescent="0.3">
      <c r="B9" s="5" t="s">
        <v>1</v>
      </c>
      <c r="C9" s="4" t="s">
        <v>2</v>
      </c>
      <c r="D9" s="20"/>
      <c r="E9" s="21"/>
      <c r="F9" s="33"/>
    </row>
    <row r="10" spans="2:6" ht="29.25" customHeight="1" x14ac:dyDescent="0.3">
      <c r="B10" s="2"/>
      <c r="C10" s="15" t="s">
        <v>34</v>
      </c>
      <c r="D10" s="22">
        <v>10400</v>
      </c>
      <c r="E10" s="133">
        <f>+D10*100/$D$18</f>
        <v>46.436863725665297</v>
      </c>
      <c r="F10" s="39" t="s">
        <v>190</v>
      </c>
    </row>
    <row r="11" spans="2:6" x14ac:dyDescent="0.3">
      <c r="B11" s="2"/>
      <c r="C11" s="8"/>
      <c r="D11" s="24"/>
      <c r="E11" s="133"/>
      <c r="F11" s="36"/>
    </row>
    <row r="12" spans="2:6" x14ac:dyDescent="0.3">
      <c r="B12" s="5" t="s">
        <v>3</v>
      </c>
      <c r="C12" s="4" t="s">
        <v>4</v>
      </c>
      <c r="D12" s="25"/>
      <c r="E12" s="133"/>
      <c r="F12" s="36"/>
    </row>
    <row r="13" spans="2:6" ht="32.25" customHeight="1" x14ac:dyDescent="0.3">
      <c r="B13" s="2"/>
      <c r="C13" s="15" t="s">
        <v>39</v>
      </c>
      <c r="D13" s="22">
        <v>5000</v>
      </c>
      <c r="E13" s="133">
        <f>+D13*100/$D$18</f>
        <v>22.325415252723701</v>
      </c>
      <c r="F13" s="34" t="s">
        <v>189</v>
      </c>
    </row>
    <row r="14" spans="2:6" ht="24" customHeight="1" x14ac:dyDescent="0.3">
      <c r="B14" s="2"/>
      <c r="C14" s="8" t="s">
        <v>67</v>
      </c>
      <c r="D14" s="27">
        <v>3996</v>
      </c>
      <c r="E14" s="133">
        <f>+D14*100/$D$18</f>
        <v>17.84247186997678</v>
      </c>
      <c r="F14" s="34" t="s">
        <v>116</v>
      </c>
    </row>
    <row r="15" spans="2:6" ht="25.5" customHeight="1" x14ac:dyDescent="0.3">
      <c r="B15" s="5" t="s">
        <v>5</v>
      </c>
      <c r="C15" s="4" t="s">
        <v>6</v>
      </c>
      <c r="D15" s="28"/>
      <c r="E15" s="133"/>
      <c r="F15" s="37"/>
    </row>
    <row r="16" spans="2:6" ht="57" customHeight="1" x14ac:dyDescent="0.3">
      <c r="B16" s="2"/>
      <c r="C16" s="15" t="s">
        <v>7</v>
      </c>
      <c r="D16" s="22">
        <v>1200</v>
      </c>
      <c r="E16" s="133">
        <f>+D16*100/$D$18</f>
        <v>5.3580996606536884</v>
      </c>
      <c r="F16" s="35" t="s">
        <v>65</v>
      </c>
    </row>
    <row r="17" spans="2:6" ht="48" customHeight="1" thickBot="1" x14ac:dyDescent="0.35">
      <c r="B17" s="2"/>
      <c r="C17" s="15" t="s">
        <v>191</v>
      </c>
      <c r="D17" s="22">
        <v>1800</v>
      </c>
      <c r="E17" s="201">
        <f>+D17*100/$D$18</f>
        <v>8.0371494909805321</v>
      </c>
      <c r="F17" s="37"/>
    </row>
    <row r="18" spans="2:6" ht="16.2" thickBot="1" x14ac:dyDescent="0.35">
      <c r="B18" s="2"/>
      <c r="C18" s="6" t="s">
        <v>8</v>
      </c>
      <c r="D18" s="30">
        <f>SUM(D10:D17)</f>
        <v>22396</v>
      </c>
      <c r="E18" s="134">
        <f>+D18*100/$D$18</f>
        <v>100</v>
      </c>
      <c r="F18" s="49"/>
    </row>
    <row r="19" spans="2:6" x14ac:dyDescent="0.3">
      <c r="B19" s="2"/>
      <c r="C19" s="8"/>
      <c r="D19" s="14"/>
      <c r="E19" s="14"/>
      <c r="F19" s="9"/>
    </row>
    <row r="20" spans="2:6" ht="21.75" customHeight="1" x14ac:dyDescent="0.3">
      <c r="B20" s="2"/>
      <c r="C20" s="8"/>
      <c r="D20" s="14"/>
      <c r="E20" s="14"/>
      <c r="F20" s="9"/>
    </row>
    <row r="21" spans="2:6" ht="35.25" customHeight="1" x14ac:dyDescent="0.3">
      <c r="B21" s="2"/>
      <c r="C21" s="10" t="s">
        <v>9</v>
      </c>
      <c r="D21" s="13"/>
      <c r="E21" s="13"/>
      <c r="F21" s="11"/>
    </row>
    <row r="22" spans="2:6" ht="26.25" customHeight="1" x14ac:dyDescent="0.3">
      <c r="B22" s="2"/>
      <c r="C22" s="10" t="s">
        <v>66</v>
      </c>
      <c r="D22" s="13"/>
      <c r="E22" s="13"/>
      <c r="F22" s="11"/>
    </row>
    <row r="23" spans="2:6" ht="54" customHeight="1" x14ac:dyDescent="0.3">
      <c r="B23" s="2"/>
      <c r="C23" s="145" t="s">
        <v>143</v>
      </c>
      <c r="D23" s="10"/>
      <c r="E23" s="10"/>
      <c r="F23" s="11"/>
    </row>
    <row r="24" spans="2:6" ht="33.75" customHeight="1" x14ac:dyDescent="0.3">
      <c r="B24" s="2"/>
      <c r="C24" s="317" t="s">
        <v>47</v>
      </c>
      <c r="D24" s="317"/>
      <c r="E24" s="317"/>
      <c r="F24" s="11"/>
    </row>
    <row r="25" spans="2:6" ht="33.75" customHeight="1" x14ac:dyDescent="0.3">
      <c r="B25" s="2"/>
      <c r="C25" s="132" t="s">
        <v>129</v>
      </c>
      <c r="D25" s="132"/>
      <c r="E25" s="132"/>
      <c r="F25" s="11"/>
    </row>
    <row r="26" spans="2:6" ht="65.25" customHeight="1" thickBot="1" x14ac:dyDescent="0.35">
      <c r="B26" s="7"/>
      <c r="C26" s="131"/>
      <c r="D26" s="131"/>
      <c r="E26" s="131"/>
      <c r="F26" s="12"/>
    </row>
    <row r="27" spans="2:6" ht="15" customHeight="1" x14ac:dyDescent="0.3"/>
    <row r="28" spans="2:6" x14ac:dyDescent="0.3">
      <c r="C28" s="79"/>
    </row>
  </sheetData>
  <mergeCells count="3">
    <mergeCell ref="C4:F4"/>
    <mergeCell ref="C5:F5"/>
    <mergeCell ref="C24:E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H30"/>
  <sheetViews>
    <sheetView topLeftCell="A6" workbookViewId="0">
      <selection activeCell="F22" sqref="F22"/>
    </sheetView>
  </sheetViews>
  <sheetFormatPr defaultColWidth="11.5546875" defaultRowHeight="14.4" x14ac:dyDescent="0.3"/>
  <cols>
    <col min="3" max="3" width="41.5546875" bestFit="1" customWidth="1"/>
    <col min="4" max="7" width="20.5546875" customWidth="1"/>
  </cols>
  <sheetData>
    <row r="1" spans="2:8" ht="24.6" x14ac:dyDescent="0.4">
      <c r="B1" s="166" t="s">
        <v>185</v>
      </c>
      <c r="C1" s="80"/>
      <c r="D1" s="80"/>
      <c r="E1" s="80"/>
      <c r="F1" s="80"/>
      <c r="G1" s="81"/>
      <c r="H1" s="81"/>
    </row>
    <row r="2" spans="2:8" ht="15.6" x14ac:dyDescent="0.3">
      <c r="B2" s="167" t="s">
        <v>184</v>
      </c>
      <c r="C2" s="81"/>
      <c r="D2" s="81"/>
      <c r="E2" s="81"/>
      <c r="F2" s="81"/>
      <c r="G2" s="81"/>
      <c r="H2" s="81"/>
    </row>
    <row r="3" spans="2:8" x14ac:dyDescent="0.3">
      <c r="B3" s="168" t="s">
        <v>173</v>
      </c>
      <c r="C3" s="81"/>
      <c r="D3" s="81"/>
      <c r="E3" s="81"/>
      <c r="F3" s="81"/>
      <c r="G3" s="81"/>
      <c r="H3" s="81"/>
    </row>
    <row r="4" spans="2:8" ht="15" thickBot="1" x14ac:dyDescent="0.35">
      <c r="B4" s="169"/>
      <c r="C4" s="81"/>
      <c r="D4" s="81"/>
      <c r="E4" s="81"/>
      <c r="F4" s="81"/>
      <c r="G4" s="81"/>
      <c r="H4" s="81"/>
    </row>
    <row r="5" spans="2:8" ht="24" thickBot="1" x14ac:dyDescent="0.35">
      <c r="B5" s="320" t="s">
        <v>174</v>
      </c>
      <c r="C5" s="321"/>
      <c r="D5" s="170" t="s">
        <v>84</v>
      </c>
      <c r="E5" s="170" t="s">
        <v>84</v>
      </c>
      <c r="F5" s="171" t="s">
        <v>84</v>
      </c>
      <c r="G5" s="171" t="s">
        <v>84</v>
      </c>
      <c r="H5" s="81"/>
    </row>
    <row r="6" spans="2:8" ht="23.4" x14ac:dyDescent="0.3">
      <c r="B6" s="322" t="s">
        <v>121</v>
      </c>
      <c r="C6" s="323"/>
      <c r="D6" s="172">
        <v>2021</v>
      </c>
      <c r="E6" s="172">
        <v>2022</v>
      </c>
      <c r="F6" s="173">
        <v>2023</v>
      </c>
      <c r="G6" s="173">
        <v>2024</v>
      </c>
      <c r="H6" s="81"/>
    </row>
    <row r="7" spans="2:8" ht="23.4" x14ac:dyDescent="0.3">
      <c r="B7" s="324" t="s">
        <v>81</v>
      </c>
      <c r="C7" s="325"/>
      <c r="D7" s="174" t="s">
        <v>79</v>
      </c>
      <c r="E7" s="174" t="s">
        <v>79</v>
      </c>
      <c r="F7" s="175" t="s">
        <v>79</v>
      </c>
      <c r="G7" s="175" t="s">
        <v>79</v>
      </c>
      <c r="H7" s="81"/>
    </row>
    <row r="8" spans="2:8" ht="23.4" x14ac:dyDescent="0.3">
      <c r="B8" s="326" t="s">
        <v>175</v>
      </c>
      <c r="C8" s="327"/>
      <c r="D8" s="176">
        <v>12500</v>
      </c>
      <c r="E8" s="177">
        <v>13000</v>
      </c>
      <c r="F8" s="117">
        <f>42850-17000-10400</f>
        <v>15450</v>
      </c>
      <c r="G8" s="178">
        <v>15450</v>
      </c>
      <c r="H8" s="81"/>
    </row>
    <row r="9" spans="2:8" ht="23.4" x14ac:dyDescent="0.3">
      <c r="B9" s="318" t="s">
        <v>119</v>
      </c>
      <c r="C9" s="319"/>
      <c r="D9" s="176">
        <v>15455</v>
      </c>
      <c r="E9" s="177">
        <v>16000</v>
      </c>
      <c r="F9" s="177">
        <v>16000</v>
      </c>
      <c r="G9" s="178">
        <v>17000</v>
      </c>
      <c r="H9" s="81"/>
    </row>
    <row r="10" spans="2:8" ht="23.4" x14ac:dyDescent="0.3">
      <c r="B10" s="318" t="s">
        <v>117</v>
      </c>
      <c r="C10" s="319"/>
      <c r="D10" s="179"/>
      <c r="E10" s="180"/>
      <c r="F10" s="117"/>
      <c r="G10" s="181"/>
      <c r="H10" s="81"/>
    </row>
    <row r="11" spans="2:8" ht="23.4" x14ac:dyDescent="0.3">
      <c r="B11" s="318" t="s">
        <v>176</v>
      </c>
      <c r="C11" s="319"/>
      <c r="D11" s="179"/>
      <c r="E11" s="180"/>
      <c r="F11" s="118"/>
      <c r="G11" s="181"/>
      <c r="H11" s="81"/>
    </row>
    <row r="12" spans="2:8" ht="24" thickBot="1" x14ac:dyDescent="0.35">
      <c r="B12" s="318" t="s">
        <v>177</v>
      </c>
      <c r="C12" s="319"/>
      <c r="D12" s="180">
        <v>8400</v>
      </c>
      <c r="E12" s="180">
        <v>9200</v>
      </c>
      <c r="F12" s="182">
        <v>10000</v>
      </c>
      <c r="G12" s="182">
        <v>10400</v>
      </c>
      <c r="H12" s="81"/>
    </row>
    <row r="13" spans="2:8" ht="24" thickBot="1" x14ac:dyDescent="0.5">
      <c r="B13" s="328" t="s">
        <v>127</v>
      </c>
      <c r="C13" s="329"/>
      <c r="D13" s="183">
        <f>SUM(D8:D12)</f>
        <v>36355</v>
      </c>
      <c r="E13" s="183">
        <f t="shared" ref="E13" si="0">SUM(E8:E12)</f>
        <v>38200</v>
      </c>
      <c r="F13" s="184">
        <f>SUM(F8:F12)</f>
        <v>41450</v>
      </c>
      <c r="G13" s="184">
        <f>SUM(G8:G12)</f>
        <v>42850</v>
      </c>
      <c r="H13" s="81"/>
    </row>
    <row r="14" spans="2:8" x14ac:dyDescent="0.3">
      <c r="B14" s="185"/>
      <c r="C14" s="81"/>
      <c r="D14" s="81"/>
      <c r="E14" s="81"/>
      <c r="F14" s="186"/>
      <c r="G14" s="186"/>
      <c r="H14" s="81"/>
    </row>
    <row r="15" spans="2:8" ht="15" thickBot="1" x14ac:dyDescent="0.35">
      <c r="B15" s="185"/>
      <c r="C15" s="81"/>
      <c r="D15" s="81"/>
      <c r="E15" s="81"/>
      <c r="F15" s="186"/>
      <c r="G15" s="186"/>
      <c r="H15" s="81"/>
    </row>
    <row r="16" spans="2:8" ht="25.8" x14ac:dyDescent="0.5">
      <c r="B16" s="330" t="s">
        <v>178</v>
      </c>
      <c r="C16" s="330"/>
      <c r="D16" s="187">
        <f t="shared" ref="D16:E16" si="1">+D13-D9</f>
        <v>20900</v>
      </c>
      <c r="E16" s="187">
        <f t="shared" si="1"/>
        <v>22200</v>
      </c>
      <c r="F16" s="188">
        <f>+F13-F9</f>
        <v>25450</v>
      </c>
      <c r="G16" s="188">
        <f>+G13-G9</f>
        <v>25850</v>
      </c>
      <c r="H16" s="81"/>
    </row>
    <row r="17" spans="2:8" ht="15" thickBot="1" x14ac:dyDescent="0.35">
      <c r="B17" s="81"/>
      <c r="C17" s="81"/>
      <c r="D17" s="81"/>
      <c r="E17" s="81"/>
      <c r="F17" s="81"/>
      <c r="G17" s="81"/>
      <c r="H17" s="81"/>
    </row>
    <row r="18" spans="2:8" ht="26.4" thickBot="1" x14ac:dyDescent="0.55000000000000004">
      <c r="B18" s="189"/>
      <c r="C18" s="190" t="s">
        <v>179</v>
      </c>
      <c r="D18" s="191"/>
      <c r="E18" s="191">
        <f>+E16-D16</f>
        <v>1300</v>
      </c>
      <c r="F18" s="192">
        <f>+F16-E16</f>
        <v>3250</v>
      </c>
      <c r="G18" s="193">
        <f>+G16-F16</f>
        <v>400</v>
      </c>
      <c r="H18" s="81"/>
    </row>
    <row r="19" spans="2:8" x14ac:dyDescent="0.3">
      <c r="B19" s="81"/>
      <c r="C19" s="81"/>
      <c r="D19" s="81"/>
      <c r="E19" s="81"/>
      <c r="F19" s="81"/>
      <c r="G19" s="81"/>
      <c r="H19" s="81"/>
    </row>
    <row r="20" spans="2:8" ht="15" thickBot="1" x14ac:dyDescent="0.35">
      <c r="B20" s="81"/>
      <c r="C20" s="81"/>
      <c r="D20" s="81"/>
      <c r="E20" s="81"/>
      <c r="F20" s="81"/>
      <c r="G20" s="81"/>
      <c r="H20" s="81"/>
    </row>
    <row r="21" spans="2:8" ht="24" thickBot="1" x14ac:dyDescent="0.5">
      <c r="B21" s="194"/>
      <c r="C21" s="195" t="s">
        <v>180</v>
      </c>
      <c r="D21" s="197">
        <f t="shared" ref="D21:G21" si="2">+D18*1/D16</f>
        <v>0</v>
      </c>
      <c r="E21" s="196">
        <f t="shared" si="2"/>
        <v>5.8558558558558557E-2</v>
      </c>
      <c r="F21" s="196">
        <f t="shared" si="2"/>
        <v>0.12770137524557956</v>
      </c>
      <c r="G21" s="198">
        <f t="shared" si="2"/>
        <v>1.5473887814313346E-2</v>
      </c>
      <c r="H21" s="81"/>
    </row>
    <row r="22" spans="2:8" x14ac:dyDescent="0.3">
      <c r="B22" s="81"/>
      <c r="C22" s="81"/>
      <c r="D22" s="81"/>
      <c r="E22" s="81"/>
      <c r="F22" s="81"/>
      <c r="G22" s="81"/>
      <c r="H22" s="81"/>
    </row>
    <row r="23" spans="2:8" ht="18.75" customHeight="1" x14ac:dyDescent="0.3">
      <c r="B23" s="298" t="s">
        <v>181</v>
      </c>
      <c r="C23" s="298"/>
      <c r="D23" s="298"/>
      <c r="E23" s="298"/>
      <c r="F23" s="298"/>
      <c r="G23" s="298"/>
      <c r="H23" s="81"/>
    </row>
    <row r="24" spans="2:8" x14ac:dyDescent="0.3">
      <c r="B24" s="81"/>
      <c r="C24" s="81"/>
      <c r="D24" s="81"/>
      <c r="E24" s="81"/>
      <c r="F24" s="81"/>
      <c r="G24" s="81"/>
      <c r="H24" s="81"/>
    </row>
    <row r="25" spans="2:8" ht="15.6" x14ac:dyDescent="0.3">
      <c r="B25" s="150" t="s">
        <v>182</v>
      </c>
      <c r="C25" s="152"/>
      <c r="D25" s="152"/>
      <c r="E25" s="152"/>
      <c r="F25" s="152"/>
      <c r="G25" s="199"/>
      <c r="H25" s="199"/>
    </row>
    <row r="26" spans="2:8" ht="15.6" x14ac:dyDescent="0.3">
      <c r="B26" s="150" t="s">
        <v>183</v>
      </c>
      <c r="C26" s="152"/>
      <c r="D26" s="152"/>
      <c r="E26" s="152"/>
      <c r="F26" s="152"/>
      <c r="G26" s="199"/>
      <c r="H26" s="199"/>
    </row>
    <row r="27" spans="2:8" ht="15.6" x14ac:dyDescent="0.3">
      <c r="B27" s="150"/>
      <c r="C27" s="152"/>
      <c r="D27" s="152"/>
      <c r="E27" s="152"/>
      <c r="F27" s="152"/>
      <c r="G27" s="199"/>
      <c r="H27" s="199"/>
    </row>
    <row r="28" spans="2:8" x14ac:dyDescent="0.3">
      <c r="B28" s="4" t="s">
        <v>130</v>
      </c>
      <c r="C28" s="152"/>
      <c r="D28" s="152"/>
      <c r="E28" s="152"/>
      <c r="F28" s="152"/>
      <c r="G28" s="199"/>
      <c r="H28" s="199"/>
    </row>
    <row r="29" spans="2:8" x14ac:dyDescent="0.3">
      <c r="B29" s="200">
        <v>45292</v>
      </c>
      <c r="C29" s="152"/>
      <c r="D29" s="152"/>
      <c r="E29" s="152"/>
      <c r="F29" s="152"/>
      <c r="G29" s="199"/>
      <c r="H29" s="199"/>
    </row>
    <row r="30" spans="2:8" x14ac:dyDescent="0.3">
      <c r="B30" s="152"/>
      <c r="C30" s="152"/>
      <c r="D30" s="152"/>
      <c r="E30" s="152"/>
      <c r="F30" s="152"/>
      <c r="G30" s="81"/>
      <c r="H30" s="81"/>
    </row>
  </sheetData>
  <mergeCells count="11">
    <mergeCell ref="B11:C11"/>
    <mergeCell ref="B12:C12"/>
    <mergeCell ref="B13:C13"/>
    <mergeCell ref="B16:C16"/>
    <mergeCell ref="B23:G23"/>
    <mergeCell ref="B10:C10"/>
    <mergeCell ref="B5:C5"/>
    <mergeCell ref="B6:C6"/>
    <mergeCell ref="B7:C7"/>
    <mergeCell ref="B8:C8"/>
    <mergeCell ref="B9: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ILO</vt:lpstr>
      <vt:lpstr>ilo patio puerto</vt:lpstr>
      <vt:lpstr>MATARANI</vt:lpstr>
      <vt:lpstr>MARCONA</vt:lpstr>
      <vt:lpstr>CALLAO</vt:lpstr>
      <vt:lpstr>MEJILLONES.A</vt:lpstr>
      <vt:lpstr>MEJILLONES.INTERACID</vt:lpstr>
      <vt:lpstr>MEJILLONES.TERQUIM</vt:lpstr>
      <vt:lpstr>BARQUITO</vt:lpstr>
      <vt:lpstr>RESUMEN PERU</vt:lpstr>
      <vt:lpstr> RESUMEN CHILE</vt:lpstr>
      <vt:lpstr>Hoja2</vt:lpstr>
      <vt:lpstr>Hoja1</vt:lpstr>
      <vt:lpstr>BOMAR PORT COST 2021-2024</vt:lpstr>
      <vt:lpstr>' RESUMEN CHILE'!Print_Area</vt:lpstr>
      <vt:lpstr>BARQUITO!Print_Area</vt:lpstr>
      <vt:lpstr>CALLAO!Print_Area</vt:lpstr>
      <vt:lpstr>Hoja2!Print_Area</vt:lpstr>
      <vt:lpstr>ILO!Print_Area</vt:lpstr>
      <vt:lpstr>MARCONA!Print_Area</vt:lpstr>
      <vt:lpstr>MATARANI!Print_Area</vt:lpstr>
      <vt:lpstr>MEJILLONES.A!Print_Area</vt:lpstr>
      <vt:lpstr>MEJILLONES.TERQUIM!Print_Area</vt:lpstr>
      <vt:lpstr>'RESUMEN PERU'!Print_Area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Richard Gutierrez</cp:lastModifiedBy>
  <cp:lastPrinted>2026-01-30T20:21:03Z</cp:lastPrinted>
  <dcterms:created xsi:type="dcterms:W3CDTF">2018-10-23T17:50:03Z</dcterms:created>
  <dcterms:modified xsi:type="dcterms:W3CDTF">2026-07-02T01:58:11Z</dcterms:modified>
</cp:coreProperties>
</file>
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RICHARD GUTIERREZ - CUADROS\"/>
    </mc:Choice>
  </mc:AlternateContent>
  <xr:revisionPtr revIDLastSave="0" documentId="8_{ADB71822-7456-4612-8B75-80C306700C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cios promedio y consumos" sheetId="5" r:id="rId1"/>
    <sheet name="Formula-Ajuste Bunker" sheetId="4" r:id="rId2"/>
    <sheet name="ITINERARIO MOQUEGUA" sheetId="11" state="hidden" r:id="rId3"/>
    <sheet name="NUEVAS TARIFAS" sheetId="9" state="hidden" r:id="rId4"/>
    <sheet name="TCE - PL" sheetId="8" state="hidden" r:id="rId5"/>
  </sheets>
  <definedNames>
    <definedName name="_xlnm.Print_Area" localSheetId="1">'Formula-Ajuste Bunker'!$B$8:$E$35</definedName>
    <definedName name="_xlnm.Print_Area" localSheetId="2">'ITINERARIO MOQUEGUA'!$A$1:$H$66</definedName>
    <definedName name="_xlnm.Print_Area" localSheetId="3">'NUEVAS TARIFAS'!$A$1:$I$33</definedName>
    <definedName name="_xlnm.Print_Area" localSheetId="0">'Precios promedio y consumos'!$A$1:$H$31</definedName>
    <definedName name="_xlnm.Print_Area" localSheetId="4">'TCE - PL'!$B$1:$P$44</definedName>
  </definedNames>
  <calcPr calcId="191029"/>
</workbook>
</file>

<file path=xl/calcChain.xml><?xml version="1.0" encoding="utf-8"?>
<calcChain xmlns="http://schemas.openxmlformats.org/spreadsheetml/2006/main">
  <c r="B25" i="5" l="1"/>
  <c r="B26" i="5"/>
  <c r="F12" i="5"/>
  <c r="E12" i="5"/>
  <c r="B27" i="5" l="1"/>
  <c r="B28" i="5" s="1"/>
  <c r="G12" i="5"/>
  <c r="E6" i="5"/>
  <c r="E5" i="5" l="1"/>
  <c r="F6" i="5" l="1"/>
  <c r="E11" i="5" l="1"/>
  <c r="E14" i="5" l="1"/>
  <c r="C33" i="4" l="1"/>
  <c r="B22" i="5"/>
  <c r="G6" i="5" l="1"/>
  <c r="G11" i="5"/>
  <c r="G14" i="5" s="1"/>
  <c r="G5" i="5"/>
  <c r="G7" i="5" l="1"/>
  <c r="G15" i="5" l="1"/>
  <c r="B23" i="5"/>
  <c r="B24" i="5" s="1"/>
  <c r="B30" i="5" s="1"/>
  <c r="A2" i="11"/>
  <c r="I21" i="9" l="1"/>
  <c r="I20" i="9"/>
  <c r="I19" i="9"/>
  <c r="I12" i="9"/>
  <c r="I11" i="9"/>
  <c r="I10" i="9"/>
  <c r="C9" i="9"/>
  <c r="C10" i="9"/>
  <c r="C11" i="9"/>
  <c r="C12" i="9"/>
  <c r="G12" i="9" s="1"/>
  <c r="C19" i="9"/>
  <c r="C20" i="9"/>
  <c r="C21" i="9"/>
  <c r="C26" i="9"/>
  <c r="G26" i="9" s="1"/>
  <c r="I26" i="9" s="1"/>
  <c r="C31" i="9"/>
  <c r="G31" i="9" s="1"/>
  <c r="I31" i="9" s="1"/>
  <c r="G11" i="9"/>
  <c r="G10" i="9"/>
  <c r="G9" i="9"/>
  <c r="I9" i="9" s="1"/>
  <c r="P32" i="8" l="1"/>
  <c r="O32" i="8"/>
  <c r="P27" i="8"/>
  <c r="O27" i="8"/>
  <c r="P22" i="8"/>
  <c r="O22" i="8"/>
  <c r="P21" i="8"/>
  <c r="O21" i="8"/>
  <c r="P17" i="8"/>
  <c r="O17" i="8"/>
  <c r="P16" i="8"/>
  <c r="O16" i="8"/>
  <c r="P15" i="8"/>
  <c r="O15" i="8"/>
  <c r="P10" i="8"/>
  <c r="O10" i="8"/>
  <c r="P9" i="8"/>
  <c r="O9" i="8"/>
  <c r="P8" i="8"/>
  <c r="O8" i="8"/>
  <c r="P7" i="8"/>
  <c r="O7" i="8"/>
  <c r="E7" i="5" l="1"/>
  <c r="C13" i="4"/>
  <c r="G8" i="5" l="1"/>
  <c r="C12" i="4" s="1"/>
  <c r="D16" i="4" s="1"/>
  <c r="C23" i="4" s="1"/>
  <c r="C29" i="4" s="1"/>
  <c r="C32" i="4" s="1"/>
  <c r="C34" i="4" l="1"/>
</calcChain>
</file>

<file path=xl/sharedStrings.xml><?xml version="1.0" encoding="utf-8"?>
<sst xmlns="http://schemas.openxmlformats.org/spreadsheetml/2006/main" count="467" uniqueCount="186">
  <si>
    <r>
      <t xml:space="preserve">1   +    </t>
    </r>
    <r>
      <rPr>
        <sz val="36"/>
        <color theme="1"/>
        <rFont val="Calibri"/>
        <family val="2"/>
        <scheme val="minor"/>
      </rPr>
      <t>{</t>
    </r>
  </si>
  <si>
    <t>VARIABLES</t>
  </si>
  <si>
    <r>
      <t>COSTO MDO</t>
    </r>
    <r>
      <rPr>
        <b/>
        <vertAlign val="subscript"/>
        <sz val="11"/>
        <color theme="1"/>
        <rFont val="Calibri"/>
        <family val="2"/>
        <scheme val="minor"/>
      </rPr>
      <t>(N-1)</t>
    </r>
  </si>
  <si>
    <t>$/TM</t>
  </si>
  <si>
    <t>=</t>
  </si>
  <si>
    <t>CÁLCULO DE AJUSTE</t>
  </si>
  <si>
    <t>USD/pmt</t>
  </si>
  <si>
    <t>AJUSTE</t>
  </si>
  <si>
    <t>Valor de Combustible Inicial:</t>
  </si>
  <si>
    <t>USD PTM *</t>
  </si>
  <si>
    <t>CABOTAJE MATARANI</t>
  </si>
  <si>
    <r>
      <t xml:space="preserve">9,000 - 9,999 </t>
    </r>
    <r>
      <rPr>
        <b/>
        <i/>
        <sz val="11"/>
        <color theme="1"/>
        <rFont val="Calibri"/>
        <family val="2"/>
        <scheme val="minor"/>
      </rPr>
      <t>**</t>
    </r>
  </si>
  <si>
    <t xml:space="preserve">10,000 - 11,500 </t>
  </si>
  <si>
    <t>11,501 - 13,000</t>
  </si>
  <si>
    <t>13,001 - FULL CARGO</t>
  </si>
  <si>
    <t>** Tarifa sujeto a combinación con volúmenes de embarque al puerto de Callao</t>
  </si>
  <si>
    <t xml:space="preserve">Variación en el Valor de Combustible </t>
  </si>
  <si>
    <t>EXPORTACIÓN</t>
  </si>
  <si>
    <t>CABOTAJE - CALLAO EN</t>
  </si>
  <si>
    <t xml:space="preserve">COMBINACIÓN CON: </t>
  </si>
  <si>
    <t>MATARANI</t>
  </si>
  <si>
    <t>3,000 - 4,500</t>
  </si>
  <si>
    <t>*Tarifa más el IGV</t>
  </si>
  <si>
    <t xml:space="preserve">CABOTAJE - CALLAO </t>
  </si>
  <si>
    <t>3,000 - 5,000</t>
  </si>
  <si>
    <r>
      <t>COSTO IFO 380</t>
    </r>
    <r>
      <rPr>
        <b/>
        <vertAlign val="subscript"/>
        <sz val="11"/>
        <color theme="1"/>
        <rFont val="Calibri"/>
        <family val="2"/>
        <scheme val="minor"/>
      </rPr>
      <t>(N-1)</t>
    </r>
  </si>
  <si>
    <r>
      <t>COSTO IFO 380</t>
    </r>
    <r>
      <rPr>
        <b/>
        <vertAlign val="subscript"/>
        <sz val="11"/>
        <color theme="1"/>
        <rFont val="Calibri"/>
        <family val="2"/>
        <scheme val="minor"/>
      </rPr>
      <t>(N)</t>
    </r>
  </si>
  <si>
    <r>
      <t>COSTO MDO</t>
    </r>
    <r>
      <rPr>
        <b/>
        <vertAlign val="subscript"/>
        <sz val="11"/>
        <color theme="1"/>
        <rFont val="Calibri"/>
        <family val="2"/>
        <scheme val="minor"/>
      </rPr>
      <t>(N)</t>
    </r>
  </si>
  <si>
    <t>= Variación del precio USD/ PMT</t>
  </si>
  <si>
    <t>CONSUMOS B/T MOQUEGUA</t>
  </si>
  <si>
    <t>MDO</t>
  </si>
  <si>
    <t>Precio</t>
  </si>
  <si>
    <t>Total</t>
  </si>
  <si>
    <t>TM</t>
  </si>
  <si>
    <r>
      <t>[COST IFO380</t>
    </r>
    <r>
      <rPr>
        <vertAlign val="subscript"/>
        <sz val="12"/>
        <rFont val="Calibri"/>
        <family val="2"/>
        <scheme val="minor"/>
      </rPr>
      <t>(N)</t>
    </r>
    <r>
      <rPr>
        <sz val="11"/>
        <rFont val="Calibri"/>
        <family val="2"/>
        <scheme val="minor"/>
      </rPr>
      <t xml:space="preserve"> x 38.40 + COST MDO</t>
    </r>
    <r>
      <rPr>
        <vertAlign val="subscript"/>
        <sz val="12"/>
        <rFont val="Calibri"/>
        <family val="2"/>
        <scheme val="minor"/>
      </rPr>
      <t>(N)</t>
    </r>
    <r>
      <rPr>
        <sz val="11"/>
        <rFont val="Calibri"/>
        <family val="2"/>
        <scheme val="minor"/>
      </rPr>
      <t xml:space="preserve"> x 9.50] - [COST IFO380</t>
    </r>
    <r>
      <rPr>
        <vertAlign val="subscript"/>
        <sz val="12"/>
        <rFont val="Calibri"/>
        <family val="2"/>
        <scheme val="minor"/>
      </rPr>
      <t>(N-1)</t>
    </r>
    <r>
      <rPr>
        <sz val="11"/>
        <rFont val="Calibri"/>
        <family val="2"/>
        <scheme val="minor"/>
      </rPr>
      <t xml:space="preserve"> x 38.40 + COST MDO</t>
    </r>
    <r>
      <rPr>
        <vertAlign val="subscript"/>
        <sz val="12"/>
        <rFont val="Calibri"/>
        <family val="2"/>
        <scheme val="minor"/>
      </rPr>
      <t>(N-1)</t>
    </r>
    <r>
      <rPr>
        <sz val="11"/>
        <rFont val="Calibri"/>
        <family val="2"/>
        <scheme val="minor"/>
      </rPr>
      <t xml:space="preserve"> x 9.50]</t>
    </r>
  </si>
  <si>
    <r>
      <t>[COST IFO380</t>
    </r>
    <r>
      <rPr>
        <vertAlign val="subscript"/>
        <sz val="12"/>
        <rFont val="Calibri"/>
        <family val="2"/>
        <scheme val="minor"/>
      </rPr>
      <t>(N-1)</t>
    </r>
    <r>
      <rPr>
        <sz val="11"/>
        <rFont val="Calibri"/>
        <family val="2"/>
        <scheme val="minor"/>
      </rPr>
      <t xml:space="preserve"> x 38.40 + COST MDO</t>
    </r>
    <r>
      <rPr>
        <vertAlign val="subscript"/>
        <sz val="12"/>
        <rFont val="Calibri"/>
        <family val="2"/>
        <scheme val="minor"/>
      </rPr>
      <t>(N-1)</t>
    </r>
    <r>
      <rPr>
        <sz val="11"/>
        <rFont val="Calibri"/>
        <family val="2"/>
        <scheme val="minor"/>
      </rPr>
      <t xml:space="preserve"> x 9.50]</t>
    </r>
  </si>
  <si>
    <t>NUEVO CONTRATO STM-PET-003-2020</t>
  </si>
  <si>
    <t>JUNIO - AGOSTO 2020</t>
  </si>
  <si>
    <t>TOTAL</t>
  </si>
  <si>
    <t>BUNKER Agosto</t>
  </si>
  <si>
    <t>Precio N (nuevo precio promedio)</t>
  </si>
  <si>
    <t>BUNKER JUNIO</t>
  </si>
  <si>
    <t xml:space="preserve">USD PTM </t>
  </si>
  <si>
    <t>IFO 380 bajo azufre / TM</t>
  </si>
  <si>
    <t>MDO Diesel / TM</t>
  </si>
  <si>
    <t xml:space="preserve"> - 0.70</t>
  </si>
  <si>
    <t xml:space="preserve">Cantidad TM IFO 380 bajo azufre </t>
  </si>
  <si>
    <t>Cantidad TM MDO Diesel</t>
  </si>
  <si>
    <t>Precio Promedio IFO 380</t>
  </si>
  <si>
    <t>Precio Promedio MDO</t>
  </si>
  <si>
    <t>* Tarifas más el IGV</t>
  </si>
  <si>
    <t xml:space="preserve">CABOTAJE - MATARANI </t>
  </si>
  <si>
    <t>T.C.E</t>
  </si>
  <si>
    <t>P/L</t>
  </si>
  <si>
    <t xml:space="preserve">9,000 - 9,000 </t>
  </si>
  <si>
    <t>10,000 - 11,500</t>
  </si>
  <si>
    <t>13,500 - FULL CARGO</t>
  </si>
  <si>
    <t>Tarifa más el IGV</t>
  </si>
  <si>
    <t>Las tarifas incluyen bunker Arica (USD 2,500)</t>
  </si>
  <si>
    <t>* Sin incluir Arica USD 2,500</t>
  </si>
  <si>
    <t xml:space="preserve">EXPORTACIÓN - MEJILLONES </t>
  </si>
  <si>
    <t>Las tarifas incluyen el Loading Master (USD 2,500) y bunker Arica (USD 2,500)</t>
  </si>
  <si>
    <t>Combinación con Matarani
(Cabotaje - Callao)</t>
  </si>
  <si>
    <t>3,000 - 4,500   (Callao)</t>
  </si>
  <si>
    <t>10,000  (Matarani)</t>
  </si>
  <si>
    <t xml:space="preserve">CABOTAJE - SAN NICOLÁS </t>
  </si>
  <si>
    <t xml:space="preserve">Nueva tarifa más el IGV </t>
  </si>
  <si>
    <t>Precio IFO 380 "promedio" ($738 +$329 compra 6.Junio 2020)</t>
  </si>
  <si>
    <t>USD 538.49</t>
  </si>
  <si>
    <t>Precio MDO "promedio" ($1,109.58 + $968.30 compra 6.Junio 2020)</t>
  </si>
  <si>
    <t>US 1,066.58</t>
  </si>
  <si>
    <t xml:space="preserve">Daily Hire </t>
  </si>
  <si>
    <t>USD 10,675</t>
  </si>
  <si>
    <r>
      <rPr>
        <b/>
        <u/>
        <sz val="11"/>
        <color theme="1"/>
        <rFont val="Arial"/>
        <family val="2"/>
      </rPr>
      <t>Nuevo Contrato STM-PET-003-2020</t>
    </r>
    <r>
      <rPr>
        <b/>
        <sz val="11"/>
        <color theme="1"/>
        <rFont val="Arial"/>
        <family val="2"/>
      </rPr>
      <t xml:space="preserve"> - Ajuste Tarifas de Flete</t>
    </r>
    <r>
      <rPr>
        <b/>
        <sz val="11"/>
        <color rgb="FFFF0000"/>
        <rFont val="Arial"/>
        <family val="2"/>
      </rPr>
      <t xml:space="preserve">  </t>
    </r>
    <r>
      <rPr>
        <b/>
        <sz val="11"/>
        <rFont val="Arial"/>
        <family val="2"/>
      </rPr>
      <t xml:space="preserve">(-0.20) </t>
    </r>
  </si>
  <si>
    <t>Precio promedio: IFO 380 bajo azufre USD 538.49 + Diesel USD 1,066.58 + Loading Master + Bunker Arica</t>
  </si>
  <si>
    <t>Precio promedio: IFO 380 bajo azufre USD 447.27 + Diesel USD 1,004.50 + Loading Master + Bunker Arica</t>
  </si>
  <si>
    <t>USD/TM</t>
  </si>
  <si>
    <t>%</t>
  </si>
  <si>
    <t>Nueva Tarifa flete</t>
  </si>
  <si>
    <t>Nueva tarifa flete</t>
  </si>
  <si>
    <t>Combinación con Mejillones (Cabotaje y Exportación)</t>
  </si>
  <si>
    <t>10,000  (Mejillones)</t>
  </si>
  <si>
    <t>Tarifa más el IGV - Callao</t>
  </si>
  <si>
    <t>La tarifa incluye el Loading Master (USD 2,500) y bunker Arica (USD 2,500) - Mejillones</t>
  </si>
  <si>
    <t>Precio IFO 380 "promedio" ($538.49 + $425 compra 4.Agosto 2020)</t>
  </si>
  <si>
    <t>Precio MDO "promedio" ($1,066.58 + $937.00 compra 4.Agosto 2020)</t>
  </si>
  <si>
    <t>USD 1,004.50</t>
  </si>
  <si>
    <t>Fecha: 4.Julio.2020  (Final)</t>
  </si>
  <si>
    <r>
      <t>Contrato STM-PET-003-2020 - Nuevo Ajuste Tarifas de Flete</t>
    </r>
    <r>
      <rPr>
        <b/>
        <sz val="11"/>
        <color rgb="FFFF0000"/>
        <rFont val="Arial"/>
        <family val="2"/>
      </rPr>
      <t xml:space="preserve">  (-0.25) </t>
    </r>
  </si>
  <si>
    <t>TARIFA ACTUAL</t>
  </si>
  <si>
    <t>Fecha: 31.Julio.2020 - Nueva compra de combustible 4.Agosto.2020</t>
  </si>
  <si>
    <t>USD 447.26</t>
  </si>
  <si>
    <t>BUNKER Octubre</t>
  </si>
  <si>
    <t>CÁLCULO DE NUEVOS PRECIOS PROMEDIO - COMBUSTIBLE</t>
  </si>
  <si>
    <t>TARIFAS DE FLETE AJUSTADAS - Junio - Diciembre 2020</t>
  </si>
  <si>
    <t>Agosto - Octubre 2020</t>
  </si>
  <si>
    <t>Octubre V.562 - Diciembre 2020</t>
  </si>
  <si>
    <t>BUNKER Noviembre</t>
  </si>
  <si>
    <t>INICIO DEL NUEVO CONTRATO STM-PET-003-2020: 17 DE JUNIO 2020 AL 31 DE DICIEMBRE 2020</t>
  </si>
  <si>
    <t xml:space="preserve">Octubre V.562 - V. 567 </t>
  </si>
  <si>
    <t>V.568 - Diciembre 2020</t>
  </si>
  <si>
    <t>IFO 380 bajo azufre</t>
  </si>
  <si>
    <t xml:space="preserve">ITINERARIO B/T MOQUEGUA </t>
  </si>
  <si>
    <t>Operador de la Nave: María Elena Castro   Celular: 995-689-419</t>
  </si>
  <si>
    <t>Voy. Nr.</t>
  </si>
  <si>
    <t>SHIP NAME</t>
  </si>
  <si>
    <t>PRODUCT</t>
  </si>
  <si>
    <t>QTTY</t>
  </si>
  <si>
    <t>OPERATION</t>
  </si>
  <si>
    <t>PORT</t>
  </si>
  <si>
    <t>ETA</t>
  </si>
  <si>
    <t>ETD</t>
  </si>
  <si>
    <t>V-188</t>
  </si>
  <si>
    <t>SFA</t>
  </si>
  <si>
    <t>L</t>
  </si>
  <si>
    <t>ILO</t>
  </si>
  <si>
    <t>D</t>
  </si>
  <si>
    <t>MEJILLONES</t>
  </si>
  <si>
    <t>BUNKERS</t>
  </si>
  <si>
    <t>IQUIQUE</t>
  </si>
  <si>
    <t>V-189</t>
  </si>
  <si>
    <t>IDDLE TIME</t>
  </si>
  <si>
    <t>ACEITE</t>
  </si>
  <si>
    <t>ALCOHOL</t>
  </si>
  <si>
    <t>PAITA</t>
  </si>
  <si>
    <t>CALLAO</t>
  </si>
  <si>
    <t>V-205</t>
  </si>
  <si>
    <t>V-206</t>
  </si>
  <si>
    <t>V-207</t>
  </si>
  <si>
    <t>V-208</t>
  </si>
  <si>
    <t>V-209</t>
  </si>
  <si>
    <t>V-210</t>
  </si>
  <si>
    <t>MICHILLA</t>
  </si>
  <si>
    <t>V-211</t>
  </si>
  <si>
    <t>V-212</t>
  </si>
  <si>
    <t>HUASCO</t>
  </si>
  <si>
    <t>V-492</t>
  </si>
  <si>
    <t>V-516</t>
  </si>
  <si>
    <t>MOQUEGUA</t>
  </si>
  <si>
    <t>SAN JUAN DE MARCONA</t>
  </si>
  <si>
    <t>V-591</t>
  </si>
  <si>
    <t>ACEITE VEGETAL</t>
  </si>
  <si>
    <t>ILO CATA CATA</t>
  </si>
  <si>
    <t>CALLAO APMT</t>
  </si>
  <si>
    <t>V-592</t>
  </si>
  <si>
    <t>Bunkers</t>
  </si>
  <si>
    <t>V-593</t>
  </si>
  <si>
    <t>Confirmed Voyages</t>
  </si>
  <si>
    <t>Tentative Voyages</t>
  </si>
  <si>
    <t>Idle Time</t>
  </si>
  <si>
    <r>
      <rPr>
        <b/>
        <i/>
        <sz val="12"/>
        <color theme="1"/>
        <rFont val="Calibri"/>
        <family val="2"/>
        <scheme val="minor"/>
      </rPr>
      <t xml:space="preserve">BAF          </t>
    </r>
    <r>
      <rPr>
        <i/>
        <sz val="12"/>
        <color theme="1"/>
        <rFont val="Calibri"/>
        <family val="2"/>
        <scheme val="minor"/>
      </rPr>
      <t xml:space="preserve">         =</t>
    </r>
  </si>
  <si>
    <t xml:space="preserve">ILO </t>
  </si>
  <si>
    <t>V-594</t>
  </si>
  <si>
    <t>V-595</t>
  </si>
  <si>
    <t>Soda Cáustica</t>
  </si>
  <si>
    <t>OQUENDO (Callao)</t>
  </si>
  <si>
    <t>MEJILLONES TERQUIM</t>
  </si>
  <si>
    <t>V-596</t>
  </si>
  <si>
    <t>Cantidad a comprar TM</t>
  </si>
  <si>
    <t xml:space="preserve">Cantidad ROB </t>
  </si>
  <si>
    <t>FACTURACIÓN OIL TRADING</t>
  </si>
  <si>
    <t>Total IFO 380 bajo azufre</t>
  </si>
  <si>
    <t xml:space="preserve">Total MDO </t>
  </si>
  <si>
    <t>Precio IFO 380 bajo azufre precio exportación</t>
  </si>
  <si>
    <t>Precio MDO bajo azufre precio exportación</t>
  </si>
  <si>
    <t>Total IFO 380 bajo azufre y MDO precio exportación</t>
  </si>
  <si>
    <t xml:space="preserve">- Valor de Combustible  INICIAL </t>
  </si>
  <si>
    <t>Viaje 770 - ROB CALLAO</t>
  </si>
  <si>
    <t>Precio N-1  (precio promedio quinto ajuste)</t>
  </si>
  <si>
    <t>Precio promedio anterior - Quinto ajuste bunker 24.02.2026</t>
  </si>
  <si>
    <t>FACTOR DE AJUSTE - ABRIL 2026</t>
  </si>
  <si>
    <t>Valor quinto ajuste de bunker</t>
  </si>
  <si>
    <t>Factor de Ajuste - faena Abril 2026</t>
  </si>
  <si>
    <t>Cálculo BAF - Abril 2026</t>
  </si>
  <si>
    <t>BAF = Valor de Combustible inicial x Factor de Ajuste Abril 2026</t>
  </si>
  <si>
    <t>Nuevo BAF Ajustado Abril 2026:</t>
  </si>
  <si>
    <t>2.86 X 1.36</t>
  </si>
  <si>
    <t xml:space="preserve">Nueva compra de combustible TM </t>
  </si>
  <si>
    <t xml:space="preserve">Nueva compra - Oil Trading </t>
  </si>
  <si>
    <t>Nueva compra combustible</t>
  </si>
  <si>
    <t xml:space="preserve">Nueva compra combustible </t>
  </si>
  <si>
    <t xml:space="preserve"> AJUSTE DE COMBUSTIBLE </t>
  </si>
  <si>
    <t>Nuevo precio promedio</t>
  </si>
  <si>
    <t xml:space="preserve">Nuevo precio promedio </t>
  </si>
  <si>
    <t xml:space="preserve">Precio MDO Diesel  </t>
  </si>
  <si>
    <t xml:space="preserve">Precio IFO 380 bajo azufre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</si>
</sst>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$-540A]#,##0.00"/>
    <numFmt numFmtId="165" formatCode="[$$-540A]#,##0"/>
    <numFmt numFmtId="166" formatCode="0.000"/>
    <numFmt numFmtId="167" formatCode="#,##0.000"/>
    <numFmt numFmtId="168" formatCode="dd/mm/yyyy\ \ hh:mm"/>
    <numFmt numFmtId="169" formatCode="0.0000000"/>
    <numFmt numFmtId="170" formatCode="0.00000000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10"/>
      <color rgb="FFFF000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i/>
      <u/>
      <sz val="10"/>
      <color rgb="FFFF0000"/>
      <name val="Arial"/>
      <family val="2"/>
    </font>
    <font>
      <i/>
      <sz val="10"/>
      <color theme="1"/>
      <name val="Arial"/>
      <family val="2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vertAlign val="subscript"/>
      <sz val="12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u/>
      <sz val="13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color indexed="10"/>
      <name val="Arial"/>
      <family val="2"/>
    </font>
    <font>
      <b/>
      <sz val="10"/>
      <color indexed="10"/>
      <name val="Century Gothic"/>
      <family val="2"/>
    </font>
    <font>
      <sz val="11"/>
      <name val="Century Gothic"/>
      <family val="2"/>
    </font>
    <font>
      <sz val="13"/>
      <name val="Century Gothic"/>
      <family val="2"/>
    </font>
    <font>
      <sz val="13"/>
      <color rgb="FFFF0000"/>
      <name val="Century Gothic"/>
      <family val="2"/>
    </font>
    <font>
      <b/>
      <sz val="13"/>
      <color theme="9" tint="-0.249977111117893"/>
      <name val="Century Gothic"/>
      <family val="2"/>
    </font>
    <font>
      <sz val="12"/>
      <name val="Century Gothic"/>
      <family val="2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3"/>
      <name val="Century Gothic"/>
      <family val="2"/>
    </font>
    <font>
      <b/>
      <i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2"/>
      <name val="Calibri"/>
      <family val="2"/>
      <scheme val="minor"/>
    </font>
    <font>
      <b/>
      <sz val="10.5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7">
    <xf numFmtId="0" fontId="0" fillId="0" borderId="0" xfId="0"/>
    <xf numFmtId="0" fontId="3" fillId="0" borderId="0" xfId="0" applyFont="1"/>
    <xf numFmtId="3" fontId="7" fillId="0" borderId="0" xfId="0" applyNumberFormat="1" applyFont="1"/>
    <xf numFmtId="0" fontId="8" fillId="0" borderId="0" xfId="0" applyFont="1"/>
    <xf numFmtId="0" fontId="2" fillId="0" borderId="0" xfId="0" applyFont="1"/>
    <xf numFmtId="4" fontId="10" fillId="5" borderId="0" xfId="0" applyNumberFormat="1" applyFont="1" applyFill="1"/>
    <xf numFmtId="0" fontId="7" fillId="0" borderId="0" xfId="0" applyFont="1" applyAlignment="1">
      <alignment horizontal="right"/>
    </xf>
    <xf numFmtId="0" fontId="10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2" fontId="7" fillId="0" borderId="13" xfId="0" applyNumberFormat="1" applyFont="1" applyBorder="1" applyAlignment="1">
      <alignment horizontal="center"/>
    </xf>
    <xf numFmtId="0" fontId="11" fillId="4" borderId="0" xfId="0" applyFont="1" applyFill="1"/>
    <xf numFmtId="2" fontId="11" fillId="4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6" borderId="10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0" borderId="12" xfId="0" applyBorder="1"/>
    <xf numFmtId="0" fontId="7" fillId="0" borderId="0" xfId="0" applyFont="1"/>
    <xf numFmtId="49" fontId="10" fillId="0" borderId="0" xfId="0" applyNumberFormat="1" applyFont="1"/>
    <xf numFmtId="0" fontId="0" fillId="0" borderId="0" xfId="0" applyAlignment="1">
      <alignment horizontal="center"/>
    </xf>
    <xf numFmtId="0" fontId="15" fillId="0" borderId="0" xfId="0" applyFont="1"/>
    <xf numFmtId="0" fontId="14" fillId="0" borderId="11" xfId="0" applyFont="1" applyBorder="1" applyAlignment="1">
      <alignment horizontal="center"/>
    </xf>
    <xf numFmtId="0" fontId="16" fillId="0" borderId="0" xfId="0" applyFont="1"/>
    <xf numFmtId="0" fontId="0" fillId="4" borderId="0" xfId="0" applyFill="1"/>
    <xf numFmtId="2" fontId="2" fillId="9" borderId="13" xfId="0" applyNumberFormat="1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2" fontId="2" fillId="9" borderId="12" xfId="0" applyNumberFormat="1" applyFont="1" applyFill="1" applyBorder="1" applyAlignment="1">
      <alignment horizontal="center"/>
    </xf>
    <xf numFmtId="2" fontId="2" fillId="9" borderId="11" xfId="0" applyNumberFormat="1" applyFont="1" applyFill="1" applyBorder="1" applyAlignment="1">
      <alignment horizontal="center"/>
    </xf>
    <xf numFmtId="2" fontId="17" fillId="0" borderId="9" xfId="0" quotePrefix="1" applyNumberFormat="1" applyFont="1" applyBorder="1" applyAlignment="1">
      <alignment horizontal="left" vertical="center" indent="2"/>
    </xf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 vertical="center"/>
    </xf>
    <xf numFmtId="164" fontId="20" fillId="0" borderId="19" xfId="0" applyNumberFormat="1" applyFont="1" applyBorder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3" fillId="0" borderId="0" xfId="0" applyFont="1"/>
    <xf numFmtId="0" fontId="21" fillId="0" borderId="20" xfId="0" applyFont="1" applyBorder="1" applyAlignment="1">
      <alignment horizontal="right"/>
    </xf>
    <xf numFmtId="164" fontId="21" fillId="0" borderId="23" xfId="0" applyNumberFormat="1" applyFont="1" applyBorder="1"/>
    <xf numFmtId="164" fontId="21" fillId="0" borderId="21" xfId="0" applyNumberFormat="1" applyFont="1" applyBorder="1"/>
    <xf numFmtId="0" fontId="21" fillId="0" borderId="0" xfId="0" applyFont="1" applyAlignment="1">
      <alignment horizontal="center"/>
    </xf>
    <xf numFmtId="0" fontId="21" fillId="4" borderId="0" xfId="0" applyFont="1" applyFill="1"/>
    <xf numFmtId="4" fontId="11" fillId="3" borderId="0" xfId="0" applyNumberFormat="1" applyFont="1" applyFill="1"/>
    <xf numFmtId="0" fontId="11" fillId="0" borderId="0" xfId="0" applyFont="1"/>
    <xf numFmtId="0" fontId="25" fillId="0" borderId="0" xfId="0" applyFont="1"/>
    <xf numFmtId="0" fontId="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8" fillId="0" borderId="0" xfId="0" applyFont="1"/>
    <xf numFmtId="0" fontId="27" fillId="0" borderId="0" xfId="0" applyFont="1" applyAlignment="1">
      <alignment horizontal="left"/>
    </xf>
    <xf numFmtId="0" fontId="26" fillId="0" borderId="26" xfId="0" applyFont="1" applyBorder="1"/>
    <xf numFmtId="0" fontId="26" fillId="0" borderId="0" xfId="0" applyFont="1"/>
    <xf numFmtId="0" fontId="19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3" fillId="10" borderId="10" xfId="0" applyFont="1" applyFill="1" applyBorder="1" applyAlignment="1">
      <alignment horizontal="center"/>
    </xf>
    <xf numFmtId="2" fontId="2" fillId="10" borderId="13" xfId="0" applyNumberFormat="1" applyFont="1" applyFill="1" applyBorder="1" applyAlignment="1">
      <alignment horizontal="center"/>
    </xf>
    <xf numFmtId="2" fontId="2" fillId="10" borderId="12" xfId="0" applyNumberFormat="1" applyFont="1" applyFill="1" applyBorder="1" applyAlignment="1">
      <alignment horizontal="center"/>
    </xf>
    <xf numFmtId="2" fontId="2" fillId="10" borderId="11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2" fontId="2" fillId="0" borderId="13" xfId="0" applyNumberFormat="1" applyFont="1" applyBorder="1" applyAlignment="1">
      <alignment horizontal="center"/>
    </xf>
    <xf numFmtId="0" fontId="22" fillId="10" borderId="24" xfId="0" applyFont="1" applyFill="1" applyBorder="1" applyAlignment="1">
      <alignment horizontal="right"/>
    </xf>
    <xf numFmtId="164" fontId="21" fillId="10" borderId="25" xfId="0" applyNumberFormat="1" applyFont="1" applyFill="1" applyBorder="1"/>
    <xf numFmtId="0" fontId="22" fillId="12" borderId="24" xfId="0" applyFont="1" applyFill="1" applyBorder="1" applyAlignment="1">
      <alignment horizontal="right"/>
    </xf>
    <xf numFmtId="0" fontId="27" fillId="0" borderId="0" xfId="0" applyFont="1" applyAlignment="1">
      <alignment vertical="center"/>
    </xf>
    <xf numFmtId="0" fontId="21" fillId="8" borderId="28" xfId="0" applyFont="1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4" borderId="0" xfId="0" quotePrefix="1" applyFill="1" applyAlignment="1">
      <alignment horizontal="left" vertical="center"/>
    </xf>
    <xf numFmtId="0" fontId="29" fillId="0" borderId="0" xfId="0" applyFont="1"/>
    <xf numFmtId="0" fontId="2" fillId="4" borderId="0" xfId="0" applyFont="1" applyFill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32" xfId="0" applyBorder="1"/>
    <xf numFmtId="0" fontId="0" fillId="0" borderId="12" xfId="0" applyBorder="1" applyAlignment="1">
      <alignment horizontal="left"/>
    </xf>
    <xf numFmtId="2" fontId="0" fillId="0" borderId="13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2" fontId="2" fillId="4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2" fontId="11" fillId="4" borderId="0" xfId="0" applyNumberFormat="1" applyFont="1" applyFill="1" applyAlignment="1">
      <alignment horizontal="center" wrapText="1"/>
    </xf>
    <xf numFmtId="0" fontId="10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49" fontId="0" fillId="0" borderId="0" xfId="0" applyNumberFormat="1"/>
    <xf numFmtId="0" fontId="2" fillId="7" borderId="12" xfId="0" applyFont="1" applyFill="1" applyBorder="1" applyAlignment="1">
      <alignment horizontal="center"/>
    </xf>
    <xf numFmtId="2" fontId="0" fillId="0" borderId="11" xfId="0" applyNumberFormat="1" applyBorder="1"/>
    <xf numFmtId="0" fontId="0" fillId="4" borderId="0" xfId="0" applyFill="1" applyAlignment="1">
      <alignment horizontal="left"/>
    </xf>
    <xf numFmtId="0" fontId="0" fillId="0" borderId="11" xfId="0" applyBorder="1" applyAlignment="1">
      <alignment horizontal="left"/>
    </xf>
    <xf numFmtId="0" fontId="7" fillId="4" borderId="0" xfId="0" applyFont="1" applyFill="1" applyAlignment="1">
      <alignment horizontal="left"/>
    </xf>
    <xf numFmtId="0" fontId="16" fillId="4" borderId="0" xfId="0" applyFont="1" applyFill="1"/>
    <xf numFmtId="0" fontId="21" fillId="4" borderId="43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21" fillId="8" borderId="40" xfId="0" applyFont="1" applyFill="1" applyBorder="1" applyAlignment="1">
      <alignment horizontal="center" vertical="center" wrapText="1"/>
    </xf>
    <xf numFmtId="3" fontId="27" fillId="0" borderId="16" xfId="0" applyNumberFormat="1" applyFont="1" applyBorder="1" applyAlignment="1">
      <alignment horizontal="left"/>
    </xf>
    <xf numFmtId="164" fontId="35" fillId="0" borderId="17" xfId="0" applyNumberFormat="1" applyFont="1" applyBorder="1" applyAlignment="1">
      <alignment horizontal="center"/>
    </xf>
    <xf numFmtId="165" fontId="20" fillId="0" borderId="16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165" fontId="20" fillId="4" borderId="0" xfId="0" applyNumberFormat="1" applyFont="1" applyFill="1" applyAlignment="1">
      <alignment horizontal="center"/>
    </xf>
    <xf numFmtId="3" fontId="20" fillId="0" borderId="29" xfId="0" applyNumberFormat="1" applyFont="1" applyBorder="1" applyAlignment="1">
      <alignment horizontal="left"/>
    </xf>
    <xf numFmtId="164" fontId="24" fillId="0" borderId="36" xfId="0" applyNumberFormat="1" applyFont="1" applyBorder="1" applyAlignment="1">
      <alignment horizontal="center"/>
    </xf>
    <xf numFmtId="165" fontId="20" fillId="0" borderId="29" xfId="0" applyNumberFormat="1" applyFont="1" applyBorder="1" applyAlignment="1">
      <alignment horizontal="center"/>
    </xf>
    <xf numFmtId="165" fontId="20" fillId="0" borderId="30" xfId="0" applyNumberFormat="1" applyFont="1" applyBorder="1" applyAlignment="1">
      <alignment horizontal="center"/>
    </xf>
    <xf numFmtId="3" fontId="20" fillId="0" borderId="18" xfId="0" applyNumberFormat="1" applyFont="1" applyBorder="1" applyAlignment="1">
      <alignment horizontal="left"/>
    </xf>
    <xf numFmtId="164" fontId="20" fillId="0" borderId="19" xfId="0" applyNumberFormat="1" applyFont="1" applyBorder="1" applyAlignment="1">
      <alignment horizontal="center"/>
    </xf>
    <xf numFmtId="165" fontId="20" fillId="0" borderId="36" xfId="0" applyNumberFormat="1" applyFont="1" applyBorder="1" applyAlignment="1">
      <alignment horizontal="center"/>
    </xf>
    <xf numFmtId="0" fontId="21" fillId="5" borderId="20" xfId="0" applyFont="1" applyFill="1" applyBorder="1" applyAlignment="1">
      <alignment horizontal="left"/>
    </xf>
    <xf numFmtId="164" fontId="21" fillId="5" borderId="21" xfId="0" applyNumberFormat="1" applyFont="1" applyFill="1" applyBorder="1" applyAlignment="1">
      <alignment horizontal="center"/>
    </xf>
    <xf numFmtId="165" fontId="21" fillId="5" borderId="20" xfId="0" applyNumberFormat="1" applyFont="1" applyFill="1" applyBorder="1" applyAlignment="1">
      <alignment horizontal="center"/>
    </xf>
    <xf numFmtId="165" fontId="21" fillId="5" borderId="21" xfId="0" applyNumberFormat="1" applyFont="1" applyFill="1" applyBorder="1" applyAlignment="1">
      <alignment horizontal="center"/>
    </xf>
    <xf numFmtId="165" fontId="21" fillId="4" borderId="0" xfId="0" applyNumberFormat="1" applyFont="1" applyFill="1" applyAlignment="1">
      <alignment horizontal="center"/>
    </xf>
    <xf numFmtId="2" fontId="21" fillId="4" borderId="0" xfId="0" applyNumberFormat="1" applyFont="1" applyFill="1" applyAlignment="1">
      <alignment horizontal="center"/>
    </xf>
    <xf numFmtId="165" fontId="27" fillId="9" borderId="16" xfId="0" applyNumberFormat="1" applyFont="1" applyFill="1" applyBorder="1" applyAlignment="1">
      <alignment horizontal="center"/>
    </xf>
    <xf numFmtId="165" fontId="27" fillId="9" borderId="17" xfId="0" applyNumberFormat="1" applyFont="1" applyFill="1" applyBorder="1" applyAlignment="1">
      <alignment horizontal="center"/>
    </xf>
    <xf numFmtId="0" fontId="20" fillId="4" borderId="0" xfId="0" applyFont="1" applyFill="1"/>
    <xf numFmtId="0" fontId="21" fillId="4" borderId="0" xfId="0" applyFont="1" applyFill="1" applyAlignment="1">
      <alignment wrapText="1"/>
    </xf>
    <xf numFmtId="0" fontId="21" fillId="4" borderId="0" xfId="0" applyFont="1" applyFill="1" applyAlignment="1">
      <alignment horizontal="center" vertical="center" wrapText="1"/>
    </xf>
    <xf numFmtId="0" fontId="21" fillId="13" borderId="43" xfId="0" applyFont="1" applyFill="1" applyBorder="1" applyAlignment="1">
      <alignment horizontal="left" vertical="center"/>
    </xf>
    <xf numFmtId="3" fontId="20" fillId="0" borderId="16" xfId="0" applyNumberFormat="1" applyFont="1" applyBorder="1" applyAlignment="1">
      <alignment horizontal="left"/>
    </xf>
    <xf numFmtId="164" fontId="20" fillId="0" borderId="17" xfId="0" applyNumberFormat="1" applyFont="1" applyBorder="1" applyAlignment="1">
      <alignment horizontal="center"/>
    </xf>
    <xf numFmtId="164" fontId="20" fillId="0" borderId="36" xfId="0" applyNumberFormat="1" applyFont="1" applyBorder="1" applyAlignment="1">
      <alignment horizontal="center"/>
    </xf>
    <xf numFmtId="164" fontId="21" fillId="5" borderId="37" xfId="0" applyNumberFormat="1" applyFont="1" applyFill="1" applyBorder="1" applyAlignment="1">
      <alignment horizontal="center"/>
    </xf>
    <xf numFmtId="165" fontId="20" fillId="4" borderId="0" xfId="0" applyNumberFormat="1" applyFont="1" applyFill="1"/>
    <xf numFmtId="0" fontId="21" fillId="10" borderId="15" xfId="0" applyFont="1" applyFill="1" applyBorder="1" applyAlignment="1">
      <alignment horizontal="left" wrapText="1"/>
    </xf>
    <xf numFmtId="0" fontId="21" fillId="8" borderId="16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166" fontId="21" fillId="4" borderId="29" xfId="0" applyNumberFormat="1" applyFont="1" applyFill="1" applyBorder="1" applyAlignment="1">
      <alignment horizontal="left"/>
    </xf>
    <xf numFmtId="164" fontId="21" fillId="4" borderId="46" xfId="0" applyNumberFormat="1" applyFont="1" applyFill="1" applyBorder="1" applyAlignment="1">
      <alignment horizontal="center"/>
    </xf>
    <xf numFmtId="166" fontId="21" fillId="4" borderId="45" xfId="0" applyNumberFormat="1" applyFont="1" applyFill="1" applyBorder="1" applyAlignment="1">
      <alignment horizontal="left"/>
    </xf>
    <xf numFmtId="164" fontId="31" fillId="4" borderId="47" xfId="0" applyNumberFormat="1" applyFont="1" applyFill="1" applyBorder="1" applyAlignment="1">
      <alignment horizontal="center"/>
    </xf>
    <xf numFmtId="0" fontId="21" fillId="10" borderId="15" xfId="0" applyFont="1" applyFill="1" applyBorder="1" applyAlignment="1">
      <alignment vertical="center" wrapText="1"/>
    </xf>
    <xf numFmtId="3" fontId="21" fillId="0" borderId="24" xfId="0" applyNumberFormat="1" applyFont="1" applyBorder="1" applyAlignment="1">
      <alignment horizontal="left"/>
    </xf>
    <xf numFmtId="165" fontId="36" fillId="4" borderId="0" xfId="0" applyNumberFormat="1" applyFont="1" applyFill="1" applyAlignment="1">
      <alignment horizontal="center"/>
    </xf>
    <xf numFmtId="165" fontId="21" fillId="0" borderId="20" xfId="0" applyNumberFormat="1" applyFont="1" applyBorder="1" applyAlignment="1">
      <alignment horizontal="center"/>
    </xf>
    <xf numFmtId="165" fontId="31" fillId="0" borderId="21" xfId="0" applyNumberFormat="1" applyFont="1" applyBorder="1" applyAlignment="1">
      <alignment horizontal="center"/>
    </xf>
    <xf numFmtId="0" fontId="31" fillId="14" borderId="16" xfId="0" applyFont="1" applyFill="1" applyBorder="1" applyAlignment="1">
      <alignment vertical="center" wrapText="1"/>
    </xf>
    <xf numFmtId="3" fontId="21" fillId="5" borderId="20" xfId="0" applyNumberFormat="1" applyFont="1" applyFill="1" applyBorder="1" applyAlignment="1">
      <alignment horizontal="left"/>
    </xf>
    <xf numFmtId="165" fontId="37" fillId="4" borderId="0" xfId="0" applyNumberFormat="1" applyFont="1" applyFill="1" applyAlignment="1">
      <alignment horizontal="center"/>
    </xf>
    <xf numFmtId="165" fontId="31" fillId="5" borderId="21" xfId="0" applyNumberFormat="1" applyFont="1" applyFill="1" applyBorder="1" applyAlignment="1">
      <alignment horizontal="center"/>
    </xf>
    <xf numFmtId="0" fontId="27" fillId="0" borderId="0" xfId="0" applyFont="1"/>
    <xf numFmtId="0" fontId="20" fillId="4" borderId="17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right" wrapText="1"/>
    </xf>
    <xf numFmtId="0" fontId="20" fillId="4" borderId="36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right" vertical="center"/>
    </xf>
    <xf numFmtId="4" fontId="21" fillId="0" borderId="21" xfId="1" applyNumberFormat="1" applyFont="1" applyFill="1" applyBorder="1" applyAlignment="1">
      <alignment horizontal="center" vertical="center"/>
    </xf>
    <xf numFmtId="164" fontId="21" fillId="0" borderId="47" xfId="0" applyNumberFormat="1" applyFont="1" applyBorder="1" applyAlignment="1">
      <alignment horizontal="center"/>
    </xf>
    <xf numFmtId="0" fontId="21" fillId="15" borderId="34" xfId="0" applyFont="1" applyFill="1" applyBorder="1" applyAlignment="1">
      <alignment horizontal="center"/>
    </xf>
    <xf numFmtId="0" fontId="21" fillId="15" borderId="35" xfId="0" applyFont="1" applyFill="1" applyBorder="1" applyAlignment="1">
      <alignment horizontal="center"/>
    </xf>
    <xf numFmtId="4" fontId="20" fillId="0" borderId="18" xfId="0" applyNumberFormat="1" applyFont="1" applyBorder="1" applyAlignment="1">
      <alignment horizontal="center"/>
    </xf>
    <xf numFmtId="2" fontId="20" fillId="0" borderId="19" xfId="0" applyNumberFormat="1" applyFont="1" applyBorder="1" applyAlignment="1">
      <alignment horizontal="center"/>
    </xf>
    <xf numFmtId="4" fontId="21" fillId="0" borderId="20" xfId="0" applyNumberFormat="1" applyFont="1" applyBorder="1" applyAlignment="1">
      <alignment horizontal="center"/>
    </xf>
    <xf numFmtId="2" fontId="20" fillId="0" borderId="21" xfId="0" applyNumberFormat="1" applyFont="1" applyBorder="1" applyAlignment="1">
      <alignment horizontal="center"/>
    </xf>
    <xf numFmtId="0" fontId="21" fillId="8" borderId="15" xfId="0" applyFont="1" applyFill="1" applyBorder="1" applyAlignment="1">
      <alignment horizontal="center" vertical="center" wrapText="1"/>
    </xf>
    <xf numFmtId="4" fontId="24" fillId="0" borderId="18" xfId="0" applyNumberFormat="1" applyFont="1" applyBorder="1" applyAlignment="1">
      <alignment horizontal="center"/>
    </xf>
    <xf numFmtId="0" fontId="39" fillId="0" borderId="0" xfId="0" applyFont="1"/>
    <xf numFmtId="4" fontId="31" fillId="0" borderId="20" xfId="0" applyNumberFormat="1" applyFont="1" applyBorder="1" applyAlignment="1">
      <alignment horizontal="center"/>
    </xf>
    <xf numFmtId="0" fontId="21" fillId="15" borderId="16" xfId="0" applyFont="1" applyFill="1" applyBorder="1" applyAlignment="1">
      <alignment horizontal="center"/>
    </xf>
    <xf numFmtId="0" fontId="21" fillId="15" borderId="17" xfId="0" applyFont="1" applyFill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21" fillId="0" borderId="20" xfId="0" applyNumberFormat="1" applyFont="1" applyBorder="1" applyAlignment="1">
      <alignment horizontal="center"/>
    </xf>
    <xf numFmtId="164" fontId="20" fillId="0" borderId="47" xfId="0" applyNumberFormat="1" applyFont="1" applyBorder="1" applyAlignment="1">
      <alignment horizontal="center"/>
    </xf>
    <xf numFmtId="0" fontId="21" fillId="4" borderId="17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left" vertical="center" wrapText="1"/>
    </xf>
    <xf numFmtId="0" fontId="21" fillId="9" borderId="16" xfId="0" applyFont="1" applyFill="1" applyBorder="1" applyAlignment="1">
      <alignment horizontal="right" wrapText="1"/>
    </xf>
    <xf numFmtId="0" fontId="21" fillId="9" borderId="17" xfId="0" applyFont="1" applyFill="1" applyBorder="1" applyAlignment="1">
      <alignment horizontal="center" vertical="center"/>
    </xf>
    <xf numFmtId="0" fontId="21" fillId="9" borderId="29" xfId="0" applyFont="1" applyFill="1" applyBorder="1" applyAlignment="1">
      <alignment horizontal="right" wrapText="1"/>
    </xf>
    <xf numFmtId="0" fontId="21" fillId="9" borderId="36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right" vertical="center" wrapText="1"/>
    </xf>
    <xf numFmtId="0" fontId="40" fillId="0" borderId="0" xfId="0" applyFont="1"/>
    <xf numFmtId="166" fontId="21" fillId="4" borderId="29" xfId="0" applyNumberFormat="1" applyFont="1" applyFill="1" applyBorder="1" applyAlignment="1">
      <alignment horizontal="left" vertical="center"/>
    </xf>
    <xf numFmtId="0" fontId="35" fillId="0" borderId="0" xfId="0" applyFont="1"/>
    <xf numFmtId="0" fontId="21" fillId="5" borderId="0" xfId="0" applyFont="1" applyFill="1"/>
    <xf numFmtId="164" fontId="20" fillId="0" borderId="0" xfId="0" applyNumberFormat="1" applyFont="1" applyAlignment="1">
      <alignment horizontal="center"/>
    </xf>
    <xf numFmtId="164" fontId="20" fillId="0" borderId="0" xfId="0" applyNumberFormat="1" applyFont="1"/>
    <xf numFmtId="2" fontId="20" fillId="0" borderId="0" xfId="0" applyNumberFormat="1" applyFont="1"/>
    <xf numFmtId="2" fontId="2" fillId="16" borderId="13" xfId="0" applyNumberFormat="1" applyFont="1" applyFill="1" applyBorder="1" applyAlignment="1">
      <alignment horizontal="center"/>
    </xf>
    <xf numFmtId="2" fontId="2" fillId="16" borderId="12" xfId="0" applyNumberFormat="1" applyFont="1" applyFill="1" applyBorder="1" applyAlignment="1">
      <alignment horizontal="center"/>
    </xf>
    <xf numFmtId="2" fontId="2" fillId="16" borderId="11" xfId="0" applyNumberFormat="1" applyFont="1" applyFill="1" applyBorder="1" applyAlignment="1">
      <alignment horizontal="center"/>
    </xf>
    <xf numFmtId="0" fontId="45" fillId="16" borderId="10" xfId="0" applyFont="1" applyFill="1" applyBorder="1" applyAlignment="1">
      <alignment horizontal="center"/>
    </xf>
    <xf numFmtId="0" fontId="46" fillId="0" borderId="11" xfId="0" applyFont="1" applyBorder="1" applyAlignment="1">
      <alignment horizontal="center"/>
    </xf>
    <xf numFmtId="2" fontId="13" fillId="4" borderId="11" xfId="0" applyNumberFormat="1" applyFont="1" applyFill="1" applyBorder="1" applyAlignment="1">
      <alignment horizontal="center" vertical="center"/>
    </xf>
    <xf numFmtId="2" fontId="12" fillId="4" borderId="11" xfId="0" applyNumberFormat="1" applyFont="1" applyFill="1" applyBorder="1" applyAlignment="1">
      <alignment horizontal="center" vertical="center"/>
    </xf>
    <xf numFmtId="2" fontId="13" fillId="4" borderId="0" xfId="0" applyNumberFormat="1" applyFont="1" applyFill="1" applyAlignment="1">
      <alignment horizontal="center"/>
    </xf>
    <xf numFmtId="2" fontId="2" fillId="14" borderId="13" xfId="0" applyNumberFormat="1" applyFont="1" applyFill="1" applyBorder="1" applyAlignment="1">
      <alignment horizontal="center"/>
    </xf>
    <xf numFmtId="0" fontId="45" fillId="14" borderId="10" xfId="0" applyFont="1" applyFill="1" applyBorder="1" applyAlignment="1">
      <alignment horizontal="center"/>
    </xf>
    <xf numFmtId="0" fontId="48" fillId="0" borderId="0" xfId="0" applyFont="1"/>
    <xf numFmtId="0" fontId="47" fillId="0" borderId="0" xfId="0" applyFont="1" applyAlignment="1">
      <alignment horizontal="center"/>
    </xf>
    <xf numFmtId="14" fontId="49" fillId="0" borderId="27" xfId="0" applyNumberFormat="1" applyFont="1" applyBorder="1" applyAlignment="1">
      <alignment vertical="center"/>
    </xf>
    <xf numFmtId="14" fontId="49" fillId="0" borderId="33" xfId="0" applyNumberFormat="1" applyFont="1" applyBorder="1" applyAlignment="1">
      <alignment horizontal="left"/>
    </xf>
    <xf numFmtId="0" fontId="47" fillId="0" borderId="33" xfId="0" applyFont="1" applyBorder="1" applyAlignment="1">
      <alignment horizontal="center"/>
    </xf>
    <xf numFmtId="0" fontId="47" fillId="0" borderId="28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19" borderId="48" xfId="0" applyFont="1" applyFill="1" applyBorder="1" applyAlignment="1">
      <alignment horizontal="center"/>
    </xf>
    <xf numFmtId="0" fontId="49" fillId="18" borderId="47" xfId="0" applyFont="1" applyFill="1" applyBorder="1" applyAlignment="1">
      <alignment vertical="center" wrapText="1"/>
    </xf>
    <xf numFmtId="0" fontId="48" fillId="19" borderId="44" xfId="0" applyFont="1" applyFill="1" applyBorder="1" applyAlignment="1">
      <alignment horizontal="left"/>
    </xf>
    <xf numFmtId="167" fontId="48" fillId="19" borderId="48" xfId="0" applyNumberFormat="1" applyFont="1" applyFill="1" applyBorder="1" applyAlignment="1">
      <alignment horizontal="center"/>
    </xf>
    <xf numFmtId="0" fontId="48" fillId="19" borderId="49" xfId="0" applyFont="1" applyFill="1" applyBorder="1" applyAlignment="1">
      <alignment horizontal="left"/>
    </xf>
    <xf numFmtId="22" fontId="48" fillId="19" borderId="48" xfId="0" applyNumberFormat="1" applyFont="1" applyFill="1" applyBorder="1" applyAlignment="1">
      <alignment horizontal="center"/>
    </xf>
    <xf numFmtId="0" fontId="50" fillId="0" borderId="0" xfId="0" applyFont="1"/>
    <xf numFmtId="0" fontId="48" fillId="19" borderId="50" xfId="0" applyFont="1" applyFill="1" applyBorder="1" applyAlignment="1">
      <alignment horizontal="center"/>
    </xf>
    <xf numFmtId="0" fontId="48" fillId="19" borderId="51" xfId="0" applyFont="1" applyFill="1" applyBorder="1" applyAlignment="1">
      <alignment horizontal="center"/>
    </xf>
    <xf numFmtId="0" fontId="48" fillId="19" borderId="51" xfId="0" applyFont="1" applyFill="1" applyBorder="1" applyAlignment="1">
      <alignment horizontal="left"/>
    </xf>
    <xf numFmtId="167" fontId="48" fillId="19" borderId="50" xfId="0" applyNumberFormat="1" applyFont="1" applyFill="1" applyBorder="1" applyAlignment="1">
      <alignment horizontal="center"/>
    </xf>
    <xf numFmtId="0" fontId="48" fillId="19" borderId="52" xfId="0" applyFont="1" applyFill="1" applyBorder="1" applyAlignment="1">
      <alignment horizontal="left"/>
    </xf>
    <xf numFmtId="22" fontId="48" fillId="19" borderId="50" xfId="0" applyNumberFormat="1" applyFont="1" applyFill="1" applyBorder="1" applyAlignment="1">
      <alignment horizontal="center"/>
    </xf>
    <xf numFmtId="22" fontId="48" fillId="0" borderId="50" xfId="0" applyNumberFormat="1" applyFont="1" applyBorder="1" applyAlignment="1">
      <alignment horizontal="center"/>
    </xf>
    <xf numFmtId="0" fontId="48" fillId="20" borderId="15" xfId="0" applyFont="1" applyFill="1" applyBorder="1" applyAlignment="1">
      <alignment horizontal="center"/>
    </xf>
    <xf numFmtId="0" fontId="48" fillId="20" borderId="28" xfId="0" applyFont="1" applyFill="1" applyBorder="1" applyAlignment="1">
      <alignment horizontal="center"/>
    </xf>
    <xf numFmtId="0" fontId="48" fillId="20" borderId="28" xfId="0" applyFont="1" applyFill="1" applyBorder="1" applyAlignment="1">
      <alignment horizontal="left"/>
    </xf>
    <xf numFmtId="167" fontId="48" fillId="20" borderId="15" xfId="0" applyNumberFormat="1" applyFont="1" applyFill="1" applyBorder="1" applyAlignment="1">
      <alignment horizontal="center"/>
    </xf>
    <xf numFmtId="0" fontId="48" fillId="20" borderId="33" xfId="0" applyFont="1" applyFill="1" applyBorder="1" applyAlignment="1">
      <alignment horizontal="left"/>
    </xf>
    <xf numFmtId="22" fontId="48" fillId="20" borderId="15" xfId="0" applyNumberFormat="1" applyFont="1" applyFill="1" applyBorder="1" applyAlignment="1">
      <alignment horizontal="center"/>
    </xf>
    <xf numFmtId="0" fontId="48" fillId="21" borderId="46" xfId="0" applyFont="1" applyFill="1" applyBorder="1" applyAlignment="1">
      <alignment horizontal="center"/>
    </xf>
    <xf numFmtId="0" fontId="48" fillId="21" borderId="30" xfId="0" applyFont="1" applyFill="1" applyBorder="1" applyAlignment="1">
      <alignment horizontal="center"/>
    </xf>
    <xf numFmtId="0" fontId="48" fillId="21" borderId="30" xfId="0" applyFont="1" applyFill="1" applyBorder="1" applyAlignment="1">
      <alignment horizontal="left"/>
    </xf>
    <xf numFmtId="167" fontId="48" fillId="21" borderId="46" xfId="0" applyNumberFormat="1" applyFont="1" applyFill="1" applyBorder="1" applyAlignment="1">
      <alignment horizontal="center"/>
    </xf>
    <xf numFmtId="0" fontId="48" fillId="21" borderId="46" xfId="0" applyFont="1" applyFill="1" applyBorder="1" applyAlignment="1">
      <alignment horizontal="left"/>
    </xf>
    <xf numFmtId="22" fontId="48" fillId="21" borderId="46" xfId="0" applyNumberFormat="1" applyFont="1" applyFill="1" applyBorder="1" applyAlignment="1">
      <alignment horizontal="center"/>
    </xf>
    <xf numFmtId="0" fontId="48" fillId="21" borderId="53" xfId="0" applyFont="1" applyFill="1" applyBorder="1" applyAlignment="1">
      <alignment horizontal="center"/>
    </xf>
    <xf numFmtId="0" fontId="48" fillId="21" borderId="37" xfId="0" applyFont="1" applyFill="1" applyBorder="1" applyAlignment="1">
      <alignment horizontal="center"/>
    </xf>
    <xf numFmtId="0" fontId="48" fillId="6" borderId="37" xfId="0" applyFont="1" applyFill="1" applyBorder="1" applyAlignment="1">
      <alignment horizontal="left"/>
    </xf>
    <xf numFmtId="0" fontId="48" fillId="21" borderId="53" xfId="0" applyFont="1" applyFill="1" applyBorder="1" applyAlignment="1">
      <alignment horizontal="left"/>
    </xf>
    <xf numFmtId="22" fontId="48" fillId="21" borderId="47" xfId="0" applyNumberFormat="1" applyFont="1" applyFill="1" applyBorder="1" applyAlignment="1">
      <alignment horizontal="center"/>
    </xf>
    <xf numFmtId="22" fontId="48" fillId="21" borderId="50" xfId="0" applyNumberFormat="1" applyFont="1" applyFill="1" applyBorder="1" applyAlignment="1">
      <alignment horizontal="center"/>
    </xf>
    <xf numFmtId="0" fontId="48" fillId="22" borderId="15" xfId="0" applyFont="1" applyFill="1" applyBorder="1" applyAlignment="1">
      <alignment horizontal="center"/>
    </xf>
    <xf numFmtId="0" fontId="48" fillId="22" borderId="28" xfId="0" applyFont="1" applyFill="1" applyBorder="1" applyAlignment="1">
      <alignment horizontal="center"/>
    </xf>
    <xf numFmtId="0" fontId="48" fillId="22" borderId="28" xfId="0" applyFont="1" applyFill="1" applyBorder="1" applyAlignment="1">
      <alignment horizontal="left"/>
    </xf>
    <xf numFmtId="166" fontId="48" fillId="22" borderId="15" xfId="0" applyNumberFormat="1" applyFont="1" applyFill="1" applyBorder="1" applyAlignment="1">
      <alignment horizontal="center"/>
    </xf>
    <xf numFmtId="0" fontId="48" fillId="22" borderId="15" xfId="0" applyFont="1" applyFill="1" applyBorder="1"/>
    <xf numFmtId="0" fontId="48" fillId="22" borderId="15" xfId="0" applyFont="1" applyFill="1" applyBorder="1" applyAlignment="1">
      <alignment horizontal="left"/>
    </xf>
    <xf numFmtId="22" fontId="48" fillId="22" borderId="15" xfId="0" applyNumberFormat="1" applyFont="1" applyFill="1" applyBorder="1" applyAlignment="1">
      <alignment horizontal="center"/>
    </xf>
    <xf numFmtId="22" fontId="48" fillId="22" borderId="28" xfId="0" applyNumberFormat="1" applyFont="1" applyFill="1" applyBorder="1" applyAlignment="1">
      <alignment horizontal="center"/>
    </xf>
    <xf numFmtId="0" fontId="51" fillId="0" borderId="0" xfId="0" applyFont="1"/>
    <xf numFmtId="0" fontId="48" fillId="23" borderId="46" xfId="0" applyFont="1" applyFill="1" applyBorder="1" applyAlignment="1">
      <alignment horizontal="center"/>
    </xf>
    <xf numFmtId="0" fontId="48" fillId="23" borderId="54" xfId="0" applyFont="1" applyFill="1" applyBorder="1" applyAlignment="1">
      <alignment horizontal="center"/>
    </xf>
    <xf numFmtId="0" fontId="48" fillId="23" borderId="55" xfId="0" applyFont="1" applyFill="1" applyBorder="1" applyAlignment="1">
      <alignment horizontal="left"/>
    </xf>
    <xf numFmtId="0" fontId="48" fillId="23" borderId="11" xfId="0" applyFont="1" applyFill="1" applyBorder="1" applyAlignment="1">
      <alignment horizontal="center"/>
    </xf>
    <xf numFmtId="0" fontId="48" fillId="23" borderId="36" xfId="0" applyFont="1" applyFill="1" applyBorder="1" applyAlignment="1">
      <alignment horizontal="left"/>
    </xf>
    <xf numFmtId="22" fontId="48" fillId="23" borderId="46" xfId="0" applyNumberFormat="1" applyFont="1" applyFill="1" applyBorder="1" applyAlignment="1">
      <alignment horizontal="center"/>
    </xf>
    <xf numFmtId="22" fontId="48" fillId="23" borderId="30" xfId="0" applyNumberFormat="1" applyFont="1" applyFill="1" applyBorder="1" applyAlignment="1">
      <alignment horizontal="center"/>
    </xf>
    <xf numFmtId="0" fontId="48" fillId="23" borderId="53" xfId="0" applyFont="1" applyFill="1" applyBorder="1" applyAlignment="1">
      <alignment horizontal="center"/>
    </xf>
    <xf numFmtId="0" fontId="48" fillId="23" borderId="56" xfId="0" applyFont="1" applyFill="1" applyBorder="1" applyAlignment="1">
      <alignment horizontal="center"/>
    </xf>
    <xf numFmtId="0" fontId="48" fillId="23" borderId="57" xfId="0" applyFont="1" applyFill="1" applyBorder="1" applyAlignment="1">
      <alignment horizontal="left"/>
    </xf>
    <xf numFmtId="0" fontId="48" fillId="23" borderId="23" xfId="0" applyFont="1" applyFill="1" applyBorder="1" applyAlignment="1">
      <alignment horizontal="center"/>
    </xf>
    <xf numFmtId="0" fontId="48" fillId="23" borderId="21" xfId="0" applyFont="1" applyFill="1" applyBorder="1" applyAlignment="1">
      <alignment horizontal="left"/>
    </xf>
    <xf numFmtId="22" fontId="48" fillId="23" borderId="53" xfId="0" applyNumberFormat="1" applyFont="1" applyFill="1" applyBorder="1" applyAlignment="1">
      <alignment horizontal="center"/>
    </xf>
    <xf numFmtId="22" fontId="48" fillId="23" borderId="37" xfId="0" applyNumberFormat="1" applyFont="1" applyFill="1" applyBorder="1" applyAlignment="1">
      <alignment horizontal="center"/>
    </xf>
    <xf numFmtId="0" fontId="48" fillId="23" borderId="48" xfId="0" applyFont="1" applyFill="1" applyBorder="1" applyAlignment="1">
      <alignment horizontal="center"/>
    </xf>
    <xf numFmtId="0" fontId="48" fillId="23" borderId="49" xfId="0" applyFont="1" applyFill="1" applyBorder="1" applyAlignment="1">
      <alignment horizontal="center"/>
    </xf>
    <xf numFmtId="0" fontId="48" fillId="23" borderId="58" xfId="0" applyFont="1" applyFill="1" applyBorder="1" applyAlignment="1">
      <alignment horizontal="left"/>
    </xf>
    <xf numFmtId="0" fontId="48" fillId="23" borderId="22" xfId="0" applyFont="1" applyFill="1" applyBorder="1" applyAlignment="1">
      <alignment horizontal="center"/>
    </xf>
    <xf numFmtId="0" fontId="48" fillId="23" borderId="17" xfId="0" applyFont="1" applyFill="1" applyBorder="1" applyAlignment="1">
      <alignment horizontal="left"/>
    </xf>
    <xf numFmtId="22" fontId="48" fillId="23" borderId="48" xfId="0" applyNumberFormat="1" applyFont="1" applyFill="1" applyBorder="1" applyAlignment="1">
      <alignment horizontal="center"/>
    </xf>
    <xf numFmtId="22" fontId="48" fillId="23" borderId="44" xfId="0" applyNumberFormat="1" applyFont="1" applyFill="1" applyBorder="1" applyAlignment="1">
      <alignment horizontal="center"/>
    </xf>
    <xf numFmtId="0" fontId="48" fillId="23" borderId="43" xfId="0" applyFont="1" applyFill="1" applyBorder="1" applyAlignment="1">
      <alignment horizontal="center"/>
    </xf>
    <xf numFmtId="0" fontId="48" fillId="23" borderId="39" xfId="0" applyFont="1" applyFill="1" applyBorder="1" applyAlignment="1">
      <alignment horizontal="center"/>
    </xf>
    <xf numFmtId="0" fontId="48" fillId="23" borderId="59" xfId="0" applyFont="1" applyFill="1" applyBorder="1" applyAlignment="1">
      <alignment horizontal="left"/>
    </xf>
    <xf numFmtId="0" fontId="48" fillId="23" borderId="60" xfId="0" applyFont="1" applyFill="1" applyBorder="1" applyAlignment="1">
      <alignment horizontal="center"/>
    </xf>
    <xf numFmtId="0" fontId="48" fillId="23" borderId="35" xfId="0" applyFont="1" applyFill="1" applyBorder="1" applyAlignment="1">
      <alignment horizontal="left"/>
    </xf>
    <xf numFmtId="22" fontId="48" fillId="23" borderId="43" xfId="0" applyNumberFormat="1" applyFont="1" applyFill="1" applyBorder="1" applyAlignment="1">
      <alignment horizontal="center"/>
    </xf>
    <xf numFmtId="22" fontId="48" fillId="23" borderId="40" xfId="0" applyNumberFormat="1" applyFont="1" applyFill="1" applyBorder="1" applyAlignment="1">
      <alignment horizontal="center"/>
    </xf>
    <xf numFmtId="0" fontId="48" fillId="11" borderId="26" xfId="0" applyFont="1" applyFill="1" applyBorder="1" applyAlignment="1">
      <alignment horizontal="center"/>
    </xf>
    <xf numFmtId="0" fontId="48" fillId="11" borderId="61" xfId="0" applyFont="1" applyFill="1" applyBorder="1" applyAlignment="1">
      <alignment horizontal="left"/>
    </xf>
    <xf numFmtId="0" fontId="48" fillId="11" borderId="61" xfId="0" applyFont="1" applyFill="1" applyBorder="1" applyAlignment="1">
      <alignment horizontal="center"/>
    </xf>
    <xf numFmtId="0" fontId="48" fillId="11" borderId="32" xfId="0" applyFont="1" applyFill="1" applyBorder="1" applyAlignment="1">
      <alignment horizontal="center"/>
    </xf>
    <xf numFmtId="0" fontId="48" fillId="11" borderId="14" xfId="0" applyFont="1" applyFill="1" applyBorder="1" applyAlignment="1">
      <alignment horizontal="left"/>
    </xf>
    <xf numFmtId="22" fontId="48" fillId="11" borderId="14" xfId="0" applyNumberFormat="1" applyFont="1" applyFill="1" applyBorder="1" applyAlignment="1">
      <alignment horizontal="center"/>
    </xf>
    <xf numFmtId="22" fontId="48" fillId="11" borderId="62" xfId="0" applyNumberFormat="1" applyFont="1" applyFill="1" applyBorder="1" applyAlignment="1">
      <alignment horizontal="center"/>
    </xf>
    <xf numFmtId="0" fontId="48" fillId="6" borderId="48" xfId="0" applyFont="1" applyFill="1" applyBorder="1" applyAlignment="1">
      <alignment horizontal="center"/>
    </xf>
    <xf numFmtId="0" fontId="48" fillId="6" borderId="48" xfId="0" applyFont="1" applyFill="1" applyBorder="1" applyAlignment="1">
      <alignment horizontal="left"/>
    </xf>
    <xf numFmtId="167" fontId="48" fillId="6" borderId="63" xfId="0" applyNumberFormat="1" applyFont="1" applyFill="1" applyBorder="1" applyAlignment="1">
      <alignment horizontal="center"/>
    </xf>
    <xf numFmtId="22" fontId="48" fillId="6" borderId="48" xfId="0" applyNumberFormat="1" applyFont="1" applyFill="1" applyBorder="1" applyAlignment="1">
      <alignment horizontal="center"/>
    </xf>
    <xf numFmtId="0" fontId="48" fillId="6" borderId="47" xfId="0" applyFont="1" applyFill="1" applyBorder="1" applyAlignment="1">
      <alignment horizontal="center"/>
    </xf>
    <xf numFmtId="0" fontId="48" fillId="6" borderId="47" xfId="0" applyFont="1" applyFill="1" applyBorder="1" applyAlignment="1">
      <alignment horizontal="left"/>
    </xf>
    <xf numFmtId="166" fontId="48" fillId="6" borderId="47" xfId="0" applyNumberFormat="1" applyFont="1" applyFill="1" applyBorder="1" applyAlignment="1">
      <alignment horizontal="center"/>
    </xf>
    <xf numFmtId="22" fontId="48" fillId="6" borderId="47" xfId="0" applyNumberFormat="1" applyFont="1" applyFill="1" applyBorder="1" applyAlignment="1">
      <alignment horizontal="center"/>
    </xf>
    <xf numFmtId="167" fontId="48" fillId="6" borderId="48" xfId="0" applyNumberFormat="1" applyFont="1" applyFill="1" applyBorder="1" applyAlignment="1">
      <alignment horizontal="center"/>
    </xf>
    <xf numFmtId="0" fontId="48" fillId="6" borderId="53" xfId="0" applyFont="1" applyFill="1" applyBorder="1" applyAlignment="1">
      <alignment horizontal="center"/>
    </xf>
    <xf numFmtId="0" fontId="48" fillId="6" borderId="53" xfId="0" applyFont="1" applyFill="1" applyBorder="1" applyAlignment="1">
      <alignment horizontal="left"/>
    </xf>
    <xf numFmtId="22" fontId="48" fillId="6" borderId="53" xfId="0" applyNumberFormat="1" applyFont="1" applyFill="1" applyBorder="1" applyAlignment="1">
      <alignment horizontal="center"/>
    </xf>
    <xf numFmtId="0" fontId="48" fillId="24" borderId="43" xfId="0" applyFont="1" applyFill="1" applyBorder="1" applyAlignment="1">
      <alignment horizontal="center"/>
    </xf>
    <xf numFmtId="0" fontId="48" fillId="24" borderId="43" xfId="0" applyFont="1" applyFill="1" applyBorder="1" applyAlignment="1">
      <alignment horizontal="left"/>
    </xf>
    <xf numFmtId="167" fontId="48" fillId="24" borderId="43" xfId="0" applyNumberFormat="1" applyFont="1" applyFill="1" applyBorder="1" applyAlignment="1">
      <alignment horizontal="center"/>
    </xf>
    <xf numFmtId="22" fontId="48" fillId="24" borderId="43" xfId="0" applyNumberFormat="1" applyFont="1" applyFill="1" applyBorder="1" applyAlignment="1">
      <alignment horizontal="center"/>
    </xf>
    <xf numFmtId="0" fontId="48" fillId="6" borderId="64" xfId="0" applyFont="1" applyFill="1" applyBorder="1" applyAlignment="1">
      <alignment horizontal="center"/>
    </xf>
    <xf numFmtId="0" fontId="48" fillId="6" borderId="63" xfId="0" applyFont="1" applyFill="1" applyBorder="1" applyAlignment="1">
      <alignment horizontal="center"/>
    </xf>
    <xf numFmtId="167" fontId="48" fillId="6" borderId="49" xfId="0" applyNumberFormat="1" applyFont="1" applyFill="1" applyBorder="1" applyAlignment="1">
      <alignment horizontal="center"/>
    </xf>
    <xf numFmtId="0" fontId="48" fillId="6" borderId="49" xfId="0" applyFont="1" applyFill="1" applyBorder="1" applyAlignment="1">
      <alignment horizontal="left"/>
    </xf>
    <xf numFmtId="22" fontId="48" fillId="6" borderId="44" xfId="0" applyNumberFormat="1" applyFont="1" applyFill="1" applyBorder="1" applyAlignment="1">
      <alignment horizontal="center"/>
    </xf>
    <xf numFmtId="0" fontId="48" fillId="6" borderId="45" xfId="0" applyFont="1" applyFill="1" applyBorder="1" applyAlignment="1">
      <alignment horizontal="center"/>
    </xf>
    <xf numFmtId="0" fontId="48" fillId="6" borderId="56" xfId="0" applyFont="1" applyFill="1" applyBorder="1" applyAlignment="1">
      <alignment horizontal="center"/>
    </xf>
    <xf numFmtId="0" fontId="48" fillId="6" borderId="56" xfId="0" applyFont="1" applyFill="1" applyBorder="1" applyAlignment="1">
      <alignment horizontal="left"/>
    </xf>
    <xf numFmtId="22" fontId="48" fillId="6" borderId="37" xfId="0" applyNumberFormat="1" applyFont="1" applyFill="1" applyBorder="1" applyAlignment="1">
      <alignment horizontal="center"/>
    </xf>
    <xf numFmtId="0" fontId="48" fillId="6" borderId="65" xfId="0" applyFont="1" applyFill="1" applyBorder="1" applyAlignment="1">
      <alignment horizontal="center"/>
    </xf>
    <xf numFmtId="0" fontId="48" fillId="6" borderId="50" xfId="0" applyFont="1" applyFill="1" applyBorder="1" applyAlignment="1">
      <alignment horizontal="left"/>
    </xf>
    <xf numFmtId="0" fontId="48" fillId="6" borderId="52" xfId="0" applyFont="1" applyFill="1" applyBorder="1" applyAlignment="1">
      <alignment horizontal="center"/>
    </xf>
    <xf numFmtId="0" fontId="48" fillId="6" borderId="50" xfId="0" applyFont="1" applyFill="1" applyBorder="1" applyAlignment="1">
      <alignment horizontal="center"/>
    </xf>
    <xf numFmtId="0" fontId="48" fillId="6" borderId="52" xfId="0" applyFont="1" applyFill="1" applyBorder="1" applyAlignment="1">
      <alignment horizontal="left"/>
    </xf>
    <xf numFmtId="22" fontId="48" fillId="6" borderId="50" xfId="0" applyNumberFormat="1" applyFont="1" applyFill="1" applyBorder="1" applyAlignment="1">
      <alignment horizontal="center"/>
    </xf>
    <xf numFmtId="22" fontId="48" fillId="6" borderId="51" xfId="0" applyNumberFormat="1" applyFont="1" applyFill="1" applyBorder="1" applyAlignment="1">
      <alignment horizontal="center"/>
    </xf>
    <xf numFmtId="0" fontId="48" fillId="25" borderId="26" xfId="0" applyFont="1" applyFill="1" applyBorder="1" applyAlignment="1">
      <alignment horizontal="center"/>
    </xf>
    <xf numFmtId="0" fontId="48" fillId="25" borderId="66" xfId="0" applyFont="1" applyFill="1" applyBorder="1" applyAlignment="1">
      <alignment horizontal="left"/>
    </xf>
    <xf numFmtId="0" fontId="48" fillId="25" borderId="67" xfId="0" applyFont="1" applyFill="1" applyBorder="1" applyAlignment="1">
      <alignment horizontal="center"/>
    </xf>
    <xf numFmtId="0" fontId="48" fillId="25" borderId="67" xfId="0" applyFont="1" applyFill="1" applyBorder="1" applyAlignment="1">
      <alignment horizontal="left"/>
    </xf>
    <xf numFmtId="22" fontId="48" fillId="25" borderId="67" xfId="0" applyNumberFormat="1" applyFont="1" applyFill="1" applyBorder="1" applyAlignment="1">
      <alignment horizontal="center"/>
    </xf>
    <xf numFmtId="22" fontId="48" fillId="25" borderId="68" xfId="0" applyNumberFormat="1" applyFont="1" applyFill="1" applyBorder="1" applyAlignment="1">
      <alignment horizontal="center"/>
    </xf>
    <xf numFmtId="0" fontId="48" fillId="25" borderId="66" xfId="0" applyFont="1" applyFill="1" applyBorder="1" applyAlignment="1">
      <alignment horizontal="center"/>
    </xf>
    <xf numFmtId="0" fontId="48" fillId="25" borderId="69" xfId="0" applyFont="1" applyFill="1" applyBorder="1" applyAlignment="1">
      <alignment horizontal="center"/>
    </xf>
    <xf numFmtId="0" fontId="48" fillId="25" borderId="67" xfId="0" applyFont="1" applyFill="1" applyBorder="1"/>
    <xf numFmtId="0" fontId="52" fillId="4" borderId="29" xfId="0" applyFont="1" applyFill="1" applyBorder="1" applyAlignment="1">
      <alignment horizontal="center"/>
    </xf>
    <xf numFmtId="0" fontId="52" fillId="4" borderId="55" xfId="0" applyFont="1" applyFill="1" applyBorder="1" applyAlignment="1">
      <alignment horizontal="center"/>
    </xf>
    <xf numFmtId="0" fontId="52" fillId="4" borderId="11" xfId="0" applyFont="1" applyFill="1" applyBorder="1"/>
    <xf numFmtId="167" fontId="52" fillId="4" borderId="11" xfId="0" applyNumberFormat="1" applyFont="1" applyFill="1" applyBorder="1" applyAlignment="1">
      <alignment horizontal="center"/>
    </xf>
    <xf numFmtId="0" fontId="52" fillId="4" borderId="11" xfId="0" applyFont="1" applyFill="1" applyBorder="1" applyAlignment="1">
      <alignment horizontal="center"/>
    </xf>
    <xf numFmtId="0" fontId="52" fillId="4" borderId="11" xfId="0" applyFont="1" applyFill="1" applyBorder="1" applyAlignment="1">
      <alignment horizontal="left"/>
    </xf>
    <xf numFmtId="168" fontId="52" fillId="4" borderId="22" xfId="0" applyNumberFormat="1" applyFont="1" applyFill="1" applyBorder="1" applyAlignment="1">
      <alignment horizontal="center"/>
    </xf>
    <xf numFmtId="168" fontId="52" fillId="4" borderId="36" xfId="0" applyNumberFormat="1" applyFont="1" applyFill="1" applyBorder="1" applyAlignment="1">
      <alignment horizontal="center"/>
    </xf>
    <xf numFmtId="18" fontId="48" fillId="0" borderId="0" xfId="0" applyNumberFormat="1" applyFont="1"/>
    <xf numFmtId="0" fontId="52" fillId="4" borderId="20" xfId="0" applyFont="1" applyFill="1" applyBorder="1" applyAlignment="1">
      <alignment horizontal="center"/>
    </xf>
    <xf numFmtId="0" fontId="52" fillId="4" borderId="57" xfId="0" applyFont="1" applyFill="1" applyBorder="1" applyAlignment="1">
      <alignment horizontal="center"/>
    </xf>
    <xf numFmtId="0" fontId="52" fillId="4" borderId="23" xfId="0" applyFont="1" applyFill="1" applyBorder="1"/>
    <xf numFmtId="167" fontId="52" fillId="4" borderId="23" xfId="0" applyNumberFormat="1" applyFont="1" applyFill="1" applyBorder="1" applyAlignment="1">
      <alignment horizontal="center"/>
    </xf>
    <xf numFmtId="0" fontId="52" fillId="4" borderId="23" xfId="0" applyFont="1" applyFill="1" applyBorder="1" applyAlignment="1">
      <alignment horizontal="center"/>
    </xf>
    <xf numFmtId="0" fontId="52" fillId="4" borderId="23" xfId="0" applyFont="1" applyFill="1" applyBorder="1" applyAlignment="1">
      <alignment horizontal="left"/>
    </xf>
    <xf numFmtId="168" fontId="52" fillId="4" borderId="23" xfId="0" applyNumberFormat="1" applyFont="1" applyFill="1" applyBorder="1" applyAlignment="1">
      <alignment horizontal="center"/>
    </xf>
    <xf numFmtId="168" fontId="52" fillId="4" borderId="21" xfId="0" applyNumberFormat="1" applyFont="1" applyFill="1" applyBorder="1" applyAlignment="1">
      <alignment horizontal="center"/>
    </xf>
    <xf numFmtId="0" fontId="53" fillId="6" borderId="29" xfId="0" applyFont="1" applyFill="1" applyBorder="1" applyAlignment="1">
      <alignment horizontal="center"/>
    </xf>
    <xf numFmtId="0" fontId="53" fillId="6" borderId="55" xfId="0" applyFont="1" applyFill="1" applyBorder="1" applyAlignment="1">
      <alignment horizontal="center"/>
    </xf>
    <xf numFmtId="0" fontId="53" fillId="6" borderId="11" xfId="0" applyFont="1" applyFill="1" applyBorder="1"/>
    <xf numFmtId="167" fontId="53" fillId="6" borderId="11" xfId="0" applyNumberFormat="1" applyFont="1" applyFill="1" applyBorder="1" applyAlignment="1">
      <alignment horizontal="center"/>
    </xf>
    <xf numFmtId="0" fontId="53" fillId="6" borderId="11" xfId="0" applyFont="1" applyFill="1" applyBorder="1" applyAlignment="1">
      <alignment horizontal="center"/>
    </xf>
    <xf numFmtId="0" fontId="53" fillId="6" borderId="11" xfId="0" applyFont="1" applyFill="1" applyBorder="1" applyAlignment="1">
      <alignment horizontal="left"/>
    </xf>
    <xf numFmtId="168" fontId="53" fillId="6" borderId="11" xfId="0" applyNumberFormat="1" applyFont="1" applyFill="1" applyBorder="1" applyAlignment="1">
      <alignment horizontal="center"/>
    </xf>
    <xf numFmtId="168" fontId="53" fillId="6" borderId="36" xfId="0" applyNumberFormat="1" applyFont="1" applyFill="1" applyBorder="1" applyAlignment="1">
      <alignment horizontal="center"/>
    </xf>
    <xf numFmtId="0" fontId="53" fillId="6" borderId="70" xfId="0" applyFont="1" applyFill="1" applyBorder="1" applyAlignment="1">
      <alignment horizontal="center"/>
    </xf>
    <xf numFmtId="0" fontId="53" fillId="6" borderId="71" xfId="0" applyFont="1" applyFill="1" applyBorder="1" applyAlignment="1">
      <alignment horizontal="center"/>
    </xf>
    <xf numFmtId="0" fontId="53" fillId="6" borderId="10" xfId="0" applyFont="1" applyFill="1" applyBorder="1"/>
    <xf numFmtId="167" fontId="53" fillId="6" borderId="10" xfId="0" applyNumberFormat="1" applyFont="1" applyFill="1" applyBorder="1" applyAlignment="1">
      <alignment horizontal="center"/>
    </xf>
    <xf numFmtId="0" fontId="53" fillId="6" borderId="10" xfId="0" applyFont="1" applyFill="1" applyBorder="1" applyAlignment="1">
      <alignment horizontal="center"/>
    </xf>
    <xf numFmtId="0" fontId="53" fillId="6" borderId="10" xfId="0" applyFont="1" applyFill="1" applyBorder="1" applyAlignment="1">
      <alignment horizontal="left"/>
    </xf>
    <xf numFmtId="168" fontId="53" fillId="6" borderId="10" xfId="0" applyNumberFormat="1" applyFont="1" applyFill="1" applyBorder="1" applyAlignment="1">
      <alignment horizontal="center"/>
    </xf>
    <xf numFmtId="168" fontId="53" fillId="6" borderId="72" xfId="0" applyNumberFormat="1" applyFont="1" applyFill="1" applyBorder="1" applyAlignment="1">
      <alignment horizontal="center"/>
    </xf>
    <xf numFmtId="168" fontId="53" fillId="6" borderId="22" xfId="0" applyNumberFormat="1" applyFont="1" applyFill="1" applyBorder="1" applyAlignment="1">
      <alignment horizontal="center"/>
    </xf>
    <xf numFmtId="0" fontId="48" fillId="4" borderId="0" xfId="0" applyFont="1" applyFill="1"/>
    <xf numFmtId="0" fontId="53" fillId="6" borderId="24" xfId="0" applyFont="1" applyFill="1" applyBorder="1" applyAlignment="1">
      <alignment horizontal="center"/>
    </xf>
    <xf numFmtId="0" fontId="53" fillId="6" borderId="73" xfId="0" applyFont="1" applyFill="1" applyBorder="1" applyAlignment="1">
      <alignment horizontal="center"/>
    </xf>
    <xf numFmtId="0" fontId="53" fillId="6" borderId="64" xfId="0" applyFont="1" applyFill="1" applyBorder="1"/>
    <xf numFmtId="167" fontId="54" fillId="6" borderId="64" xfId="0" applyNumberFormat="1" applyFont="1" applyFill="1" applyBorder="1" applyAlignment="1">
      <alignment horizontal="center"/>
    </xf>
    <xf numFmtId="0" fontId="53" fillId="6" borderId="64" xfId="0" applyFont="1" applyFill="1" applyBorder="1" applyAlignment="1">
      <alignment horizontal="center"/>
    </xf>
    <xf numFmtId="0" fontId="53" fillId="6" borderId="64" xfId="0" applyFont="1" applyFill="1" applyBorder="1" applyAlignment="1">
      <alignment horizontal="left"/>
    </xf>
    <xf numFmtId="168" fontId="53" fillId="6" borderId="64" xfId="0" applyNumberFormat="1" applyFont="1" applyFill="1" applyBorder="1" applyAlignment="1">
      <alignment horizontal="center"/>
    </xf>
    <xf numFmtId="168" fontId="53" fillId="6" borderId="25" xfId="0" applyNumberFormat="1" applyFont="1" applyFill="1" applyBorder="1" applyAlignment="1">
      <alignment horizontal="center"/>
    </xf>
    <xf numFmtId="0" fontId="53" fillId="6" borderId="16" xfId="0" applyFont="1" applyFill="1" applyBorder="1" applyAlignment="1">
      <alignment horizontal="center"/>
    </xf>
    <xf numFmtId="0" fontId="53" fillId="6" borderId="58" xfId="0" applyFont="1" applyFill="1" applyBorder="1" applyAlignment="1">
      <alignment horizontal="center"/>
    </xf>
    <xf numFmtId="0" fontId="53" fillId="6" borderId="22" xfId="0" applyFont="1" applyFill="1" applyBorder="1"/>
    <xf numFmtId="167" fontId="53" fillId="6" borderId="22" xfId="0" applyNumberFormat="1" applyFont="1" applyFill="1" applyBorder="1" applyAlignment="1">
      <alignment horizontal="center"/>
    </xf>
    <xf numFmtId="0" fontId="53" fillId="6" borderId="22" xfId="0" applyFont="1" applyFill="1" applyBorder="1" applyAlignment="1">
      <alignment horizontal="center"/>
    </xf>
    <xf numFmtId="0" fontId="53" fillId="6" borderId="22" xfId="0" applyFont="1" applyFill="1" applyBorder="1" applyAlignment="1">
      <alignment horizontal="left"/>
    </xf>
    <xf numFmtId="168" fontId="53" fillId="6" borderId="17" xfId="0" applyNumberFormat="1" applyFont="1" applyFill="1" applyBorder="1" applyAlignment="1">
      <alignment horizontal="center"/>
    </xf>
    <xf numFmtId="0" fontId="53" fillId="6" borderId="20" xfId="0" applyFont="1" applyFill="1" applyBorder="1" applyAlignment="1">
      <alignment horizontal="center"/>
    </xf>
    <xf numFmtId="0" fontId="53" fillId="6" borderId="57" xfId="0" applyFont="1" applyFill="1" applyBorder="1" applyAlignment="1">
      <alignment horizontal="center"/>
    </xf>
    <xf numFmtId="0" fontId="53" fillId="6" borderId="23" xfId="0" applyFont="1" applyFill="1" applyBorder="1"/>
    <xf numFmtId="167" fontId="54" fillId="6" borderId="23" xfId="0" applyNumberFormat="1" applyFont="1" applyFill="1" applyBorder="1" applyAlignment="1">
      <alignment horizontal="center"/>
    </xf>
    <xf numFmtId="0" fontId="53" fillId="6" borderId="23" xfId="0" applyFont="1" applyFill="1" applyBorder="1" applyAlignment="1">
      <alignment horizontal="center"/>
    </xf>
    <xf numFmtId="168" fontId="53" fillId="6" borderId="23" xfId="0" applyNumberFormat="1" applyFont="1" applyFill="1" applyBorder="1" applyAlignment="1">
      <alignment horizontal="center"/>
    </xf>
    <xf numFmtId="168" fontId="53" fillId="6" borderId="21" xfId="0" applyNumberFormat="1" applyFont="1" applyFill="1" applyBorder="1" applyAlignment="1">
      <alignment horizontal="center"/>
    </xf>
    <xf numFmtId="0" fontId="53" fillId="6" borderId="23" xfId="0" applyFont="1" applyFill="1" applyBorder="1" applyAlignment="1">
      <alignment horizontal="left"/>
    </xf>
    <xf numFmtId="0" fontId="55" fillId="6" borderId="16" xfId="0" applyFont="1" applyFill="1" applyBorder="1" applyAlignment="1">
      <alignment horizontal="center"/>
    </xf>
    <xf numFmtId="0" fontId="55" fillId="6" borderId="22" xfId="0" applyFont="1" applyFill="1" applyBorder="1" applyAlignment="1">
      <alignment horizontal="center"/>
    </xf>
    <xf numFmtId="0" fontId="55" fillId="6" borderId="22" xfId="0" applyFont="1" applyFill="1" applyBorder="1"/>
    <xf numFmtId="167" fontId="55" fillId="6" borderId="22" xfId="0" applyNumberFormat="1" applyFont="1" applyFill="1" applyBorder="1" applyAlignment="1">
      <alignment horizontal="center"/>
    </xf>
    <xf numFmtId="0" fontId="55" fillId="6" borderId="22" xfId="0" applyFont="1" applyFill="1" applyBorder="1" applyAlignment="1">
      <alignment horizontal="left"/>
    </xf>
    <xf numFmtId="168" fontId="55" fillId="6" borderId="22" xfId="0" applyNumberFormat="1" applyFont="1" applyFill="1" applyBorder="1" applyAlignment="1">
      <alignment horizontal="center"/>
    </xf>
    <xf numFmtId="168" fontId="55" fillId="6" borderId="17" xfId="0" applyNumberFormat="1" applyFont="1" applyFill="1" applyBorder="1" applyAlignment="1">
      <alignment horizontal="center"/>
    </xf>
    <xf numFmtId="0" fontId="53" fillId="4" borderId="0" xfId="0" applyFont="1" applyFill="1" applyAlignment="1">
      <alignment horizontal="center"/>
    </xf>
    <xf numFmtId="0" fontId="56" fillId="4" borderId="0" xfId="0" applyFont="1" applyFill="1" applyAlignment="1">
      <alignment horizontal="center"/>
    </xf>
    <xf numFmtId="0" fontId="53" fillId="4" borderId="0" xfId="0" applyFont="1" applyFill="1"/>
    <xf numFmtId="167" fontId="53" fillId="4" borderId="0" xfId="0" applyNumberFormat="1" applyFont="1" applyFill="1" applyAlignment="1">
      <alignment horizontal="center"/>
    </xf>
    <xf numFmtId="0" fontId="53" fillId="4" borderId="0" xfId="0" applyFont="1" applyFill="1" applyAlignment="1">
      <alignment horizontal="left"/>
    </xf>
    <xf numFmtId="168" fontId="53" fillId="4" borderId="0" xfId="0" applyNumberFormat="1" applyFont="1" applyFill="1" applyAlignment="1">
      <alignment horizontal="center"/>
    </xf>
    <xf numFmtId="0" fontId="48" fillId="4" borderId="0" xfId="0" applyFont="1" applyFill="1" applyAlignment="1">
      <alignment horizontal="center"/>
    </xf>
    <xf numFmtId="0" fontId="48" fillId="4" borderId="0" xfId="0" applyFont="1" applyFill="1" applyAlignment="1">
      <alignment horizontal="left"/>
    </xf>
    <xf numFmtId="166" fontId="56" fillId="4" borderId="0" xfId="0" applyNumberFormat="1" applyFont="1" applyFill="1" applyAlignment="1">
      <alignment horizontal="center"/>
    </xf>
    <xf numFmtId="0" fontId="56" fillId="6" borderId="0" xfId="0" applyFont="1" applyFill="1"/>
    <xf numFmtId="166" fontId="56" fillId="6" borderId="0" xfId="0" applyNumberFormat="1" applyFont="1" applyFill="1" applyAlignment="1">
      <alignment horizontal="center"/>
    </xf>
    <xf numFmtId="0" fontId="56" fillId="19" borderId="0" xfId="0" applyFont="1" applyFill="1"/>
    <xf numFmtId="0" fontId="56" fillId="19" borderId="0" xfId="0" applyFont="1" applyFill="1" applyAlignment="1">
      <alignment horizontal="center"/>
    </xf>
    <xf numFmtId="0" fontId="56" fillId="25" borderId="0" xfId="0" applyFont="1" applyFill="1"/>
    <xf numFmtId="0" fontId="56" fillId="25" borderId="0" xfId="0" applyFont="1" applyFill="1" applyAlignment="1">
      <alignment horizontal="center"/>
    </xf>
    <xf numFmtId="0" fontId="48" fillId="0" borderId="0" xfId="0" applyFont="1" applyAlignment="1">
      <alignment horizontal="left"/>
    </xf>
    <xf numFmtId="166" fontId="48" fillId="0" borderId="0" xfId="0" applyNumberFormat="1" applyFont="1" applyAlignment="1">
      <alignment horizontal="center"/>
    </xf>
    <xf numFmtId="0" fontId="56" fillId="26" borderId="0" xfId="0" applyFont="1" applyFill="1"/>
    <xf numFmtId="0" fontId="56" fillId="26" borderId="0" xfId="0" applyFont="1" applyFill="1" applyAlignment="1">
      <alignment horizontal="center"/>
    </xf>
    <xf numFmtId="0" fontId="56" fillId="27" borderId="0" xfId="0" applyFont="1" applyFill="1"/>
    <xf numFmtId="0" fontId="56" fillId="27" borderId="0" xfId="0" applyFont="1" applyFill="1" applyAlignment="1">
      <alignment horizontal="center"/>
    </xf>
    <xf numFmtId="0" fontId="20" fillId="0" borderId="29" xfId="0" applyFont="1" applyBorder="1" applyAlignment="1">
      <alignment vertical="center"/>
    </xf>
    <xf numFmtId="1" fontId="20" fillId="0" borderId="21" xfId="0" applyNumberFormat="1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4" borderId="0" xfId="0" applyFont="1" applyFill="1" applyAlignment="1">
      <alignment vertical="center"/>
    </xf>
    <xf numFmtId="165" fontId="20" fillId="4" borderId="0" xfId="0" applyNumberFormat="1" applyFont="1" applyFill="1" applyAlignment="1">
      <alignment vertical="center"/>
    </xf>
    <xf numFmtId="1" fontId="20" fillId="4" borderId="0" xfId="0" applyNumberFormat="1" applyFont="1" applyFill="1" applyAlignment="1">
      <alignment vertical="center"/>
    </xf>
    <xf numFmtId="0" fontId="55" fillId="6" borderId="29" xfId="0" applyFont="1" applyFill="1" applyBorder="1" applyAlignment="1">
      <alignment horizontal="center"/>
    </xf>
    <xf numFmtId="0" fontId="55" fillId="6" borderId="55" xfId="0" applyFont="1" applyFill="1" applyBorder="1" applyAlignment="1">
      <alignment horizontal="center"/>
    </xf>
    <xf numFmtId="0" fontId="55" fillId="6" borderId="11" xfId="0" applyFont="1" applyFill="1" applyBorder="1"/>
    <xf numFmtId="167" fontId="55" fillId="6" borderId="11" xfId="0" applyNumberFormat="1" applyFont="1" applyFill="1" applyBorder="1" applyAlignment="1">
      <alignment horizontal="center"/>
    </xf>
    <xf numFmtId="0" fontId="55" fillId="6" borderId="11" xfId="0" applyFont="1" applyFill="1" applyBorder="1" applyAlignment="1">
      <alignment horizontal="center"/>
    </xf>
    <xf numFmtId="0" fontId="55" fillId="6" borderId="11" xfId="0" applyFont="1" applyFill="1" applyBorder="1" applyAlignment="1">
      <alignment horizontal="left"/>
    </xf>
    <xf numFmtId="168" fontId="55" fillId="6" borderId="36" xfId="0" applyNumberFormat="1" applyFont="1" applyFill="1" applyBorder="1" applyAlignment="1">
      <alignment horizontal="center"/>
    </xf>
    <xf numFmtId="0" fontId="55" fillId="6" borderId="24" xfId="0" applyFont="1" applyFill="1" applyBorder="1" applyAlignment="1">
      <alignment horizontal="center"/>
    </xf>
    <xf numFmtId="0" fontId="55" fillId="6" borderId="73" xfId="0" applyFont="1" applyFill="1" applyBorder="1" applyAlignment="1">
      <alignment horizontal="center"/>
    </xf>
    <xf numFmtId="0" fontId="55" fillId="6" borderId="64" xfId="0" applyFont="1" applyFill="1" applyBorder="1"/>
    <xf numFmtId="167" fontId="55" fillId="6" borderId="64" xfId="0" applyNumberFormat="1" applyFont="1" applyFill="1" applyBorder="1" applyAlignment="1">
      <alignment horizontal="center"/>
    </xf>
    <xf numFmtId="0" fontId="55" fillId="6" borderId="64" xfId="0" applyFont="1" applyFill="1" applyBorder="1" applyAlignment="1">
      <alignment horizontal="center"/>
    </xf>
    <xf numFmtId="0" fontId="55" fillId="6" borderId="64" xfId="0" applyFont="1" applyFill="1" applyBorder="1" applyAlignment="1">
      <alignment horizontal="left"/>
    </xf>
    <xf numFmtId="168" fontId="55" fillId="6" borderId="64" xfId="0" applyNumberFormat="1" applyFont="1" applyFill="1" applyBorder="1" applyAlignment="1">
      <alignment horizontal="center"/>
    </xf>
    <xf numFmtId="168" fontId="55" fillId="6" borderId="25" xfId="0" applyNumberFormat="1" applyFont="1" applyFill="1" applyBorder="1" applyAlignment="1">
      <alignment horizontal="center"/>
    </xf>
    <xf numFmtId="0" fontId="55" fillId="6" borderId="58" xfId="0" applyFont="1" applyFill="1" applyBorder="1" applyAlignment="1">
      <alignment horizontal="center"/>
    </xf>
    <xf numFmtId="0" fontId="53" fillId="25" borderId="66" xfId="0" applyFont="1" applyFill="1" applyBorder="1" applyAlignment="1">
      <alignment horizontal="center"/>
    </xf>
    <xf numFmtId="0" fontId="53" fillId="25" borderId="67" xfId="0" applyFont="1" applyFill="1" applyBorder="1" applyAlignment="1">
      <alignment horizontal="center"/>
    </xf>
    <xf numFmtId="0" fontId="59" fillId="25" borderId="33" xfId="0" applyFont="1" applyFill="1" applyBorder="1"/>
    <xf numFmtId="167" fontId="59" fillId="25" borderId="67" xfId="0" applyNumberFormat="1" applyFont="1" applyFill="1" applyBorder="1" applyAlignment="1">
      <alignment horizontal="center"/>
    </xf>
    <xf numFmtId="0" fontId="59" fillId="25" borderId="67" xfId="0" applyFont="1" applyFill="1" applyBorder="1" applyAlignment="1">
      <alignment horizontal="center"/>
    </xf>
    <xf numFmtId="0" fontId="59" fillId="25" borderId="67" xfId="0" applyFont="1" applyFill="1" applyBorder="1" applyAlignment="1">
      <alignment horizontal="left"/>
    </xf>
    <xf numFmtId="168" fontId="59" fillId="25" borderId="67" xfId="0" applyNumberFormat="1" applyFont="1" applyFill="1" applyBorder="1" applyAlignment="1">
      <alignment horizontal="center"/>
    </xf>
    <xf numFmtId="168" fontId="59" fillId="25" borderId="68" xfId="0" applyNumberFormat="1" applyFont="1" applyFill="1" applyBorder="1" applyAlignment="1">
      <alignment horizontal="center"/>
    </xf>
    <xf numFmtId="0" fontId="55" fillId="6" borderId="66" xfId="0" applyFont="1" applyFill="1" applyBorder="1" applyAlignment="1">
      <alignment horizontal="center"/>
    </xf>
    <xf numFmtId="0" fontId="55" fillId="6" borderId="69" xfId="0" applyFont="1" applyFill="1" applyBorder="1" applyAlignment="1">
      <alignment horizontal="center"/>
    </xf>
    <xf numFmtId="0" fontId="55" fillId="6" borderId="67" xfId="0" applyFont="1" applyFill="1" applyBorder="1"/>
    <xf numFmtId="167" fontId="55" fillId="6" borderId="67" xfId="0" applyNumberFormat="1" applyFont="1" applyFill="1" applyBorder="1" applyAlignment="1">
      <alignment horizontal="center"/>
    </xf>
    <xf numFmtId="0" fontId="55" fillId="6" borderId="67" xfId="0" applyFont="1" applyFill="1" applyBorder="1" applyAlignment="1">
      <alignment horizontal="center"/>
    </xf>
    <xf numFmtId="0" fontId="55" fillId="6" borderId="67" xfId="0" applyFont="1" applyFill="1" applyBorder="1" applyAlignment="1">
      <alignment horizontal="left"/>
    </xf>
    <xf numFmtId="168" fontId="55" fillId="6" borderId="67" xfId="0" applyNumberFormat="1" applyFont="1" applyFill="1" applyBorder="1" applyAlignment="1">
      <alignment horizontal="center"/>
    </xf>
    <xf numFmtId="168" fontId="55" fillId="6" borderId="68" xfId="0" applyNumberFormat="1" applyFont="1" applyFill="1" applyBorder="1" applyAlignment="1">
      <alignment horizontal="center"/>
    </xf>
    <xf numFmtId="0" fontId="21" fillId="8" borderId="66" xfId="0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2" fontId="2" fillId="0" borderId="0" xfId="0" applyNumberFormat="1" applyFont="1"/>
    <xf numFmtId="0" fontId="60" fillId="0" borderId="0" xfId="0" applyFont="1"/>
    <xf numFmtId="2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0" fontId="21" fillId="8" borderId="27" xfId="0" applyFont="1" applyFill="1" applyBorder="1"/>
    <xf numFmtId="2" fontId="2" fillId="0" borderId="0" xfId="0" applyNumberFormat="1" applyFont="1" applyAlignment="1">
      <alignment horizontal="center"/>
    </xf>
    <xf numFmtId="164" fontId="20" fillId="4" borderId="0" xfId="0" applyNumberFormat="1" applyFont="1" applyFill="1" applyAlignment="1">
      <alignment horizontal="right" vertical="center"/>
    </xf>
    <xf numFmtId="164" fontId="0" fillId="0" borderId="0" xfId="0" applyNumberFormat="1"/>
    <xf numFmtId="164" fontId="20" fillId="0" borderId="36" xfId="0" applyNumberFormat="1" applyFont="1" applyBorder="1" applyAlignment="1">
      <alignment vertical="center"/>
    </xf>
    <xf numFmtId="165" fontId="0" fillId="0" borderId="0" xfId="0" applyNumberFormat="1"/>
    <xf numFmtId="164" fontId="2" fillId="0" borderId="0" xfId="0" applyNumberFormat="1" applyFont="1" applyAlignment="1">
      <alignment vertical="center"/>
    </xf>
    <xf numFmtId="4" fontId="0" fillId="0" borderId="0" xfId="0" applyNumberFormat="1"/>
    <xf numFmtId="0" fontId="21" fillId="5" borderId="66" xfId="0" applyFont="1" applyFill="1" applyBorder="1" applyAlignment="1">
      <alignment horizontal="right" vertical="center"/>
    </xf>
    <xf numFmtId="2" fontId="20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vertical="center"/>
    </xf>
    <xf numFmtId="0" fontId="31" fillId="0" borderId="0" xfId="0" applyFont="1"/>
    <xf numFmtId="169" fontId="0" fillId="0" borderId="0" xfId="0" applyNumberFormat="1"/>
    <xf numFmtId="164" fontId="37" fillId="0" borderId="12" xfId="0" applyNumberFormat="1" applyFont="1" applyBorder="1"/>
    <xf numFmtId="164" fontId="21" fillId="8" borderId="68" xfId="0" applyNumberFormat="1" applyFont="1" applyFill="1" applyBorder="1" applyAlignment="1">
      <alignment vertical="center"/>
    </xf>
    <xf numFmtId="164" fontId="21" fillId="5" borderId="68" xfId="0" applyNumberFormat="1" applyFont="1" applyFill="1" applyBorder="1" applyAlignment="1">
      <alignment vertical="center"/>
    </xf>
    <xf numFmtId="3" fontId="31" fillId="0" borderId="12" xfId="0" applyNumberFormat="1" applyFont="1" applyBorder="1"/>
    <xf numFmtId="0" fontId="24" fillId="0" borderId="16" xfId="0" applyFont="1" applyBorder="1"/>
    <xf numFmtId="0" fontId="24" fillId="0" borderId="20" xfId="0" applyFont="1" applyBorder="1"/>
    <xf numFmtId="0" fontId="35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center"/>
    </xf>
    <xf numFmtId="0" fontId="64" fillId="0" borderId="0" xfId="0" applyFont="1"/>
    <xf numFmtId="0" fontId="24" fillId="0" borderId="29" xfId="0" applyFont="1" applyBorder="1"/>
    <xf numFmtId="0" fontId="24" fillId="0" borderId="24" xfId="0" applyFont="1" applyBorder="1"/>
    <xf numFmtId="0" fontId="39" fillId="0" borderId="0" xfId="0" applyFont="1" applyAlignment="1">
      <alignment vertical="center"/>
    </xf>
    <xf numFmtId="3" fontId="21" fillId="0" borderId="23" xfId="0" applyNumberFormat="1" applyFont="1" applyBorder="1"/>
    <xf numFmtId="1" fontId="31" fillId="0" borderId="30" xfId="0" applyNumberFormat="1" applyFont="1" applyBorder="1"/>
    <xf numFmtId="166" fontId="20" fillId="0" borderId="0" xfId="0" applyNumberFormat="1" applyFont="1" applyAlignment="1">
      <alignment horizontal="left"/>
    </xf>
    <xf numFmtId="166" fontId="21" fillId="0" borderId="0" xfId="0" applyNumberFormat="1" applyFont="1" applyAlignment="1">
      <alignment horizontal="center"/>
    </xf>
    <xf numFmtId="167" fontId="0" fillId="0" borderId="0" xfId="0" applyNumberFormat="1"/>
    <xf numFmtId="0" fontId="66" fillId="4" borderId="0" xfId="0" applyFont="1" applyFill="1" applyAlignment="1">
      <alignment horizontal="center"/>
    </xf>
    <xf numFmtId="1" fontId="0" fillId="0" borderId="0" xfId="0" applyNumberFormat="1"/>
    <xf numFmtId="2" fontId="20" fillId="0" borderId="21" xfId="0" applyNumberFormat="1" applyFont="1" applyBorder="1" applyAlignment="1">
      <alignment vertical="center"/>
    </xf>
    <xf numFmtId="2" fontId="24" fillId="0" borderId="29" xfId="0" applyNumberFormat="1" applyFont="1" applyBorder="1"/>
    <xf numFmtId="3" fontId="24" fillId="0" borderId="11" xfId="0" applyNumberFormat="1" applyFont="1" applyBorder="1"/>
    <xf numFmtId="164" fontId="24" fillId="0" borderId="11" xfId="0" applyNumberFormat="1" applyFont="1" applyBorder="1"/>
    <xf numFmtId="164" fontId="20" fillId="0" borderId="36" xfId="0" applyNumberFormat="1" applyFont="1" applyBorder="1"/>
    <xf numFmtId="0" fontId="21" fillId="10" borderId="66" xfId="0" applyFont="1" applyFill="1" applyBorder="1" applyAlignment="1">
      <alignment horizontal="center"/>
    </xf>
    <xf numFmtId="0" fontId="21" fillId="0" borderId="67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21" fillId="12" borderId="66" xfId="0" applyFont="1" applyFill="1" applyBorder="1" applyAlignment="1">
      <alignment horizontal="center"/>
    </xf>
    <xf numFmtId="1" fontId="31" fillId="0" borderId="0" xfId="0" applyNumberFormat="1" applyFont="1"/>
    <xf numFmtId="0" fontId="24" fillId="0" borderId="18" xfId="0" applyFont="1" applyBorder="1"/>
    <xf numFmtId="1" fontId="31" fillId="0" borderId="74" xfId="0" applyNumberFormat="1" applyFont="1" applyBorder="1"/>
    <xf numFmtId="0" fontId="20" fillId="5" borderId="66" xfId="0" applyFont="1" applyFill="1" applyBorder="1" applyAlignment="1">
      <alignment vertical="center"/>
    </xf>
    <xf numFmtId="0" fontId="32" fillId="0" borderId="0" xfId="0" applyFont="1" applyAlignment="1">
      <alignment horizontal="left"/>
    </xf>
    <xf numFmtId="164" fontId="32" fillId="0" borderId="0" xfId="0" applyNumberFormat="1" applyFont="1"/>
    <xf numFmtId="164" fontId="18" fillId="0" borderId="0" xfId="0" applyNumberFormat="1" applyFont="1" applyAlignment="1">
      <alignment horizontal="left" vertical="center"/>
    </xf>
    <xf numFmtId="1" fontId="31" fillId="4" borderId="31" xfId="0" applyNumberFormat="1" applyFont="1" applyFill="1" applyBorder="1"/>
    <xf numFmtId="2" fontId="24" fillId="0" borderId="16" xfId="0" applyNumberFormat="1" applyFont="1" applyBorder="1"/>
    <xf numFmtId="3" fontId="24" fillId="0" borderId="22" xfId="0" applyNumberFormat="1" applyFont="1" applyBorder="1"/>
    <xf numFmtId="164" fontId="24" fillId="0" borderId="22" xfId="0" applyNumberFormat="1" applyFont="1" applyBorder="1"/>
    <xf numFmtId="164" fontId="20" fillId="0" borderId="17" xfId="0" applyNumberFormat="1" applyFont="1" applyBorder="1"/>
    <xf numFmtId="0" fontId="0" fillId="0" borderId="62" xfId="0" applyBorder="1"/>
    <xf numFmtId="0" fontId="0" fillId="0" borderId="18" xfId="0" applyBorder="1"/>
    <xf numFmtId="170" fontId="0" fillId="0" borderId="0" xfId="0" applyNumberFormat="1"/>
    <xf numFmtId="2" fontId="67" fillId="5" borderId="15" xfId="0" applyNumberFormat="1" applyFont="1" applyFill="1" applyBorder="1" applyAlignment="1">
      <alignment horizontal="center"/>
    </xf>
    <xf numFmtId="2" fontId="2" fillId="5" borderId="0" xfId="0" applyNumberFormat="1" applyFont="1" applyFill="1" applyAlignment="1">
      <alignment horizontal="center"/>
    </xf>
    <xf numFmtId="165" fontId="31" fillId="4" borderId="44" xfId="0" applyNumberFormat="1" applyFont="1" applyFill="1" applyBorder="1"/>
    <xf numFmtId="165" fontId="31" fillId="0" borderId="37" xfId="0" applyNumberFormat="1" applyFont="1" applyBorder="1"/>
    <xf numFmtId="1" fontId="31" fillId="4" borderId="17" xfId="0" applyNumberFormat="1" applyFont="1" applyFill="1" applyBorder="1"/>
    <xf numFmtId="1" fontId="31" fillId="4" borderId="21" xfId="0" applyNumberFormat="1" applyFont="1" applyFill="1" applyBorder="1"/>
    <xf numFmtId="0" fontId="19" fillId="0" borderId="0" xfId="0" applyFont="1" applyAlignment="1">
      <alignment horizontal="center"/>
    </xf>
    <xf numFmtId="0" fontId="31" fillId="8" borderId="27" xfId="0" applyFont="1" applyFill="1" applyBorder="1" applyAlignment="1">
      <alignment horizontal="left"/>
    </xf>
    <xf numFmtId="0" fontId="31" fillId="8" borderId="28" xfId="0" applyFont="1" applyFill="1" applyBorder="1" applyAlignment="1">
      <alignment horizontal="left"/>
    </xf>
    <xf numFmtId="0" fontId="19" fillId="5" borderId="27" xfId="0" applyFont="1" applyFill="1" applyBorder="1" applyAlignment="1">
      <alignment horizontal="center" vertical="center"/>
    </xf>
    <xf numFmtId="0" fontId="19" fillId="5" borderId="28" xfId="0" applyFont="1" applyFill="1" applyBorder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2" fontId="13" fillId="4" borderId="14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61" fillId="2" borderId="0" xfId="0" applyFont="1" applyFill="1" applyAlignment="1">
      <alignment horizontal="center" wrapText="1"/>
    </xf>
    <xf numFmtId="49" fontId="4" fillId="2" borderId="0" xfId="0" applyNumberFormat="1" applyFont="1" applyFill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3" xfId="0" quotePrefix="1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7" fillId="17" borderId="27" xfId="0" applyFont="1" applyFill="1" applyBorder="1" applyAlignment="1">
      <alignment horizontal="center"/>
    </xf>
    <xf numFmtId="0" fontId="47" fillId="17" borderId="33" xfId="0" applyFont="1" applyFill="1" applyBorder="1" applyAlignment="1">
      <alignment horizontal="center"/>
    </xf>
    <xf numFmtId="0" fontId="47" fillId="17" borderId="28" xfId="0" applyFont="1" applyFill="1" applyBorder="1" applyAlignment="1">
      <alignment horizontal="center"/>
    </xf>
    <xf numFmtId="14" fontId="49" fillId="0" borderId="0" xfId="0" applyNumberFormat="1" applyFont="1" applyAlignment="1">
      <alignment horizontal="left"/>
    </xf>
    <xf numFmtId="0" fontId="49" fillId="18" borderId="43" xfId="0" applyFont="1" applyFill="1" applyBorder="1" applyAlignment="1">
      <alignment horizontal="center" vertical="center" wrapText="1"/>
    </xf>
    <xf numFmtId="0" fontId="49" fillId="18" borderId="47" xfId="0" applyFont="1" applyFill="1" applyBorder="1" applyAlignment="1">
      <alignment horizontal="center" vertical="center" wrapText="1"/>
    </xf>
    <xf numFmtId="166" fontId="49" fillId="18" borderId="43" xfId="0" applyNumberFormat="1" applyFont="1" applyFill="1" applyBorder="1" applyAlignment="1">
      <alignment horizontal="center" vertical="center" wrapText="1"/>
    </xf>
    <xf numFmtId="166" fontId="49" fillId="18" borderId="47" xfId="0" applyNumberFormat="1" applyFont="1" applyFill="1" applyBorder="1" applyAlignment="1">
      <alignment horizontal="center" vertical="center" wrapText="1"/>
    </xf>
    <xf numFmtId="49" fontId="13" fillId="4" borderId="10" xfId="0" applyNumberFormat="1" applyFont="1" applyFill="1" applyBorder="1" applyAlignment="1">
      <alignment horizontal="center" vertical="center"/>
    </xf>
    <xf numFmtId="49" fontId="13" fillId="4" borderId="14" xfId="0" applyNumberFormat="1" applyFont="1" applyFill="1" applyBorder="1" applyAlignment="1">
      <alignment horizontal="center" vertical="center"/>
    </xf>
    <xf numFmtId="49" fontId="13" fillId="4" borderId="11" xfId="0" applyNumberFormat="1" applyFont="1" applyFill="1" applyBorder="1" applyAlignment="1">
      <alignment horizontal="center" vertical="center"/>
    </xf>
    <xf numFmtId="2" fontId="13" fillId="4" borderId="10" xfId="0" applyNumberFormat="1" applyFont="1" applyFill="1" applyBorder="1" applyAlignment="1">
      <alignment horizontal="center" vertical="center"/>
    </xf>
    <xf numFmtId="2" fontId="13" fillId="4" borderId="11" xfId="0" applyNumberFormat="1" applyFont="1" applyFill="1" applyBorder="1" applyAlignment="1">
      <alignment horizontal="center" vertical="center"/>
    </xf>
    <xf numFmtId="2" fontId="12" fillId="4" borderId="10" xfId="0" applyNumberFormat="1" applyFont="1" applyFill="1" applyBorder="1" applyAlignment="1">
      <alignment horizontal="center" vertical="center"/>
    </xf>
    <xf numFmtId="2" fontId="12" fillId="4" borderId="14" xfId="0" applyNumberFormat="1" applyFont="1" applyFill="1" applyBorder="1" applyAlignment="1">
      <alignment horizontal="center" vertical="center"/>
    </xf>
    <xf numFmtId="2" fontId="12" fillId="4" borderId="11" xfId="0" applyNumberFormat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3" fillId="11" borderId="38" xfId="0" applyFont="1" applyFill="1" applyBorder="1" applyAlignment="1">
      <alignment horizontal="center"/>
    </xf>
    <xf numFmtId="0" fontId="43" fillId="11" borderId="39" xfId="0" applyFont="1" applyFill="1" applyBorder="1" applyAlignment="1">
      <alignment horizontal="center"/>
    </xf>
    <xf numFmtId="0" fontId="43" fillId="11" borderId="40" xfId="0" applyFont="1" applyFill="1" applyBorder="1" applyAlignment="1">
      <alignment horizontal="center"/>
    </xf>
    <xf numFmtId="0" fontId="44" fillId="11" borderId="41" xfId="0" applyFont="1" applyFill="1" applyBorder="1" applyAlignment="1">
      <alignment horizontal="center"/>
    </xf>
    <xf numFmtId="0" fontId="44" fillId="11" borderId="42" xfId="0" applyFont="1" applyFill="1" applyBorder="1" applyAlignment="1">
      <alignment horizontal="center"/>
    </xf>
    <xf numFmtId="0" fontId="44" fillId="11" borderId="31" xfId="0" applyFont="1" applyFill="1" applyBorder="1" applyAlignment="1">
      <alignment horizontal="center"/>
    </xf>
    <xf numFmtId="165" fontId="20" fillId="4" borderId="0" xfId="0" applyNumberFormat="1" applyFont="1" applyFill="1" applyAlignment="1">
      <alignment horizontal="center" vertical="center"/>
    </xf>
    <xf numFmtId="165" fontId="21" fillId="4" borderId="18" xfId="0" applyNumberFormat="1" applyFont="1" applyFill="1" applyBorder="1" applyAlignment="1">
      <alignment horizontal="center" vertical="center"/>
    </xf>
    <xf numFmtId="165" fontId="21" fillId="4" borderId="20" xfId="0" applyNumberFormat="1" applyFont="1" applyFill="1" applyBorder="1" applyAlignment="1">
      <alignment horizontal="center" vertical="center"/>
    </xf>
    <xf numFmtId="165" fontId="21" fillId="4" borderId="19" xfId="0" applyNumberFormat="1" applyFont="1" applyFill="1" applyBorder="1" applyAlignment="1">
      <alignment horizontal="center" vertical="center"/>
    </xf>
    <xf numFmtId="165" fontId="21" fillId="4" borderId="21" xfId="0" applyNumberFormat="1" applyFont="1" applyFill="1" applyBorder="1" applyAlignment="1">
      <alignment horizontal="center" vertical="center"/>
    </xf>
    <xf numFmtId="165" fontId="21" fillId="4" borderId="0" xfId="0" applyNumberFormat="1" applyFont="1" applyFill="1" applyAlignment="1">
      <alignment horizontal="center" vertical="center"/>
    </xf>
    <xf numFmtId="0" fontId="32" fillId="4" borderId="38" xfId="0" applyFont="1" applyFill="1" applyBorder="1" applyAlignment="1">
      <alignment horizontal="center" wrapText="1"/>
    </xf>
    <xf numFmtId="0" fontId="32" fillId="4" borderId="39" xfId="0" applyFont="1" applyFill="1" applyBorder="1" applyAlignment="1">
      <alignment horizontal="center" wrapText="1"/>
    </xf>
    <xf numFmtId="0" fontId="32" fillId="4" borderId="40" xfId="0" applyFont="1" applyFill="1" applyBorder="1" applyAlignment="1">
      <alignment horizontal="center" wrapText="1"/>
    </xf>
    <xf numFmtId="0" fontId="41" fillId="4" borderId="41" xfId="0" applyFont="1" applyFill="1" applyBorder="1" applyAlignment="1">
      <alignment horizontal="center" wrapText="1"/>
    </xf>
    <xf numFmtId="0" fontId="42" fillId="4" borderId="42" xfId="0" applyFont="1" applyFill="1" applyBorder="1" applyAlignment="1">
      <alignment horizontal="center" wrapText="1"/>
    </xf>
    <xf numFmtId="0" fontId="42" fillId="4" borderId="31" xfId="0" applyFont="1" applyFill="1" applyBorder="1" applyAlignment="1">
      <alignment horizontal="center" wrapText="1"/>
    </xf>
    <xf numFmtId="0" fontId="31" fillId="4" borderId="41" xfId="0" applyFont="1" applyFill="1" applyBorder="1" applyAlignment="1">
      <alignment horizontal="center"/>
    </xf>
    <xf numFmtId="0" fontId="31" fillId="4" borderId="42" xfId="0" applyFont="1" applyFill="1" applyBorder="1" applyAlignment="1">
      <alignment horizontal="center"/>
    </xf>
    <xf numFmtId="0" fontId="31" fillId="4" borderId="31" xfId="0" applyFont="1" applyFill="1" applyBorder="1" applyAlignment="1">
      <alignment horizontal="center"/>
    </xf>
    <xf numFmtId="0" fontId="21" fillId="4" borderId="0" xfId="0" applyFont="1" applyFill="1" applyAlignment="1">
      <alignment horizontal="center" vertical="center" wrapText="1"/>
    </xf>
    <xf numFmtId="0" fontId="16" fillId="9" borderId="45" xfId="0" applyFont="1" applyFill="1" applyBorder="1" applyAlignment="1">
      <alignment horizontal="left"/>
    </xf>
    <xf numFmtId="0" fontId="16" fillId="9" borderId="37" xfId="0" applyFont="1" applyFill="1" applyBorder="1" applyAlignment="1">
      <alignment horizontal="left"/>
    </xf>
    <xf numFmtId="0" fontId="61" fillId="4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44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63" fillId="4" borderId="0" xfId="0" applyFont="1" applyFill="1" applyBorder="1" applyAlignment="1">
      <alignment horizontal="center" vertical="center" wrapText="1"/>
    </xf>
    <xf numFmtId="0" fontId="63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left"/>
    </xf>
    <xf numFmtId="2" fontId="0" fillId="4" borderId="0" xfId="0" applyNumberFormat="1" applyFill="1" applyBorder="1" applyAlignment="1">
      <alignment horizontal="center"/>
    </xf>
    <xf numFmtId="2" fontId="66" fillId="4" borderId="0" xfId="0" applyNumberFormat="1" applyFont="1" applyFill="1" applyBorder="1" applyAlignment="1">
      <alignment horizontal="center" vertical="center"/>
    </xf>
    <xf numFmtId="2" fontId="13" fillId="4" borderId="0" xfId="0" applyNumberFormat="1" applyFont="1" applyFill="1" applyBorder="1" applyAlignment="1">
      <alignment horizontal="center" vertical="center"/>
    </xf>
    <xf numFmtId="2" fontId="11" fillId="4" borderId="0" xfId="0" applyNumberFormat="1" applyFont="1" applyFill="1" applyBorder="1" applyAlignment="1">
      <alignment horizontal="center"/>
    </xf>
    <xf numFmtId="10" fontId="11" fillId="4" borderId="0" xfId="0" applyNumberFormat="1" applyFont="1" applyFill="1" applyBorder="1"/>
    <xf numFmtId="0" fontId="2" fillId="4" borderId="0" xfId="0" applyFont="1" applyFill="1" applyBorder="1" applyAlignment="1">
      <alignment horizontal="left"/>
    </xf>
    <xf numFmtId="2" fontId="2" fillId="4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left"/>
    </xf>
    <xf numFmtId="2" fontId="13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2" fontId="66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/>
    </xf>
    <xf numFmtId="2" fontId="13" fillId="4" borderId="0" xfId="0" applyNumberFormat="1" applyFont="1" applyFill="1" applyBorder="1" applyAlignment="1">
      <alignment horizontal="center"/>
    </xf>
    <xf numFmtId="0" fontId="65" fillId="4" borderId="0" xfId="0" applyFont="1" applyFill="1" applyBorder="1"/>
    <xf numFmtId="0" fontId="62" fillId="4" borderId="0" xfId="0" applyFont="1" applyFill="1" applyBorder="1"/>
    <xf numFmtId="0" fontId="68" fillId="0" borderId="0" xfId="0" applyFont="1" applyAlignment="1">
      <alignment horizontal="left"/>
    </xf>
    <xf numFmtId="2" fontId="20" fillId="0" borderId="18" xfId="0" applyNumberFormat="1" applyFont="1" applyBorder="1"/>
  </cellXfs>
  <cellStyles count="2">
    <cellStyle name="Millares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4" tint="-0.249977111117893"/>
    <pageSetUpPr fitToPage="1"/>
  </sheetPr>
  <dimension ref="A2:K35"/>
  <sheetViews>
    <sheetView tabSelected="1" workbookViewId="0">
      <selection activeCell="C29" sqref="C29"/>
    </sheetView>
  </sheetViews>
  <sheetFormatPr baseColWidth="10" defaultRowHeight="15" x14ac:dyDescent="0.25"/>
  <cols>
    <col min="1" max="1" width="51.85546875" customWidth="1"/>
    <col min="2" max="2" width="20.85546875" customWidth="1"/>
    <col min="3" max="3" width="11.5703125" customWidth="1"/>
    <col min="4" max="4" width="41.28515625" customWidth="1"/>
    <col min="5" max="5" width="12.42578125" customWidth="1"/>
    <col min="6" max="6" width="21.5703125" customWidth="1"/>
    <col min="7" max="7" width="16.140625" customWidth="1"/>
    <col min="8" max="8" width="36.140625" customWidth="1"/>
    <col min="9" max="9" width="14.42578125" customWidth="1"/>
    <col min="10" max="10" width="13.140625" customWidth="1"/>
    <col min="11" max="11" width="14.42578125" customWidth="1"/>
    <col min="12" max="12" width="13.85546875" customWidth="1"/>
  </cols>
  <sheetData>
    <row r="2" spans="1:11" x14ac:dyDescent="0.25">
      <c r="A2" s="506" t="s">
        <v>29</v>
      </c>
      <c r="B2" s="506"/>
      <c r="C2" s="506"/>
      <c r="D2" s="506" t="s">
        <v>93</v>
      </c>
      <c r="E2" s="506"/>
      <c r="F2" s="506"/>
      <c r="G2" s="506"/>
    </row>
    <row r="3" spans="1:11" ht="15.75" thickBot="1" x14ac:dyDescent="0.3">
      <c r="A3" s="37"/>
      <c r="B3" s="42"/>
      <c r="C3" s="42"/>
      <c r="D3" s="32"/>
      <c r="E3" s="32"/>
      <c r="F3" s="32"/>
      <c r="G3" s="32"/>
    </row>
    <row r="4" spans="1:11" ht="18" customHeight="1" thickBot="1" x14ac:dyDescent="0.3">
      <c r="A4" s="441" t="s">
        <v>167</v>
      </c>
      <c r="B4" s="65"/>
      <c r="C4" s="53"/>
      <c r="D4" s="481" t="s">
        <v>101</v>
      </c>
      <c r="E4" s="482" t="s">
        <v>33</v>
      </c>
      <c r="F4" s="482" t="s">
        <v>31</v>
      </c>
      <c r="G4" s="483" t="s">
        <v>32</v>
      </c>
      <c r="H4" s="51"/>
      <c r="I4" s="52"/>
      <c r="J4" s="52"/>
      <c r="K4" s="52"/>
    </row>
    <row r="5" spans="1:11" x14ac:dyDescent="0.25">
      <c r="A5" s="460" t="s">
        <v>43</v>
      </c>
      <c r="B5" s="504">
        <v>200</v>
      </c>
      <c r="C5" s="32"/>
      <c r="D5" s="477" t="s">
        <v>159</v>
      </c>
      <c r="E5" s="478">
        <f>+B5</f>
        <v>200</v>
      </c>
      <c r="F5" s="479">
        <v>655.28</v>
      </c>
      <c r="G5" s="480">
        <f>+F5*E5</f>
        <v>131056</v>
      </c>
      <c r="H5" s="141" t="s">
        <v>168</v>
      </c>
      <c r="I5" s="175"/>
      <c r="J5" s="444"/>
    </row>
    <row r="6" spans="1:11" ht="15.75" thickBot="1" x14ac:dyDescent="0.3">
      <c r="A6" s="461" t="s">
        <v>44</v>
      </c>
      <c r="B6" s="505">
        <v>69</v>
      </c>
      <c r="C6" s="32"/>
      <c r="D6" s="596" t="s">
        <v>179</v>
      </c>
      <c r="E6" s="459">
        <f>+B10</f>
        <v>200</v>
      </c>
      <c r="F6" s="456">
        <f>+B17</f>
        <v>1135</v>
      </c>
      <c r="G6" s="35">
        <f>+F6*E6</f>
        <v>227000</v>
      </c>
      <c r="H6" s="454"/>
      <c r="I6" s="32"/>
      <c r="J6" s="444"/>
    </row>
    <row r="7" spans="1:11" ht="15.75" thickBot="1" x14ac:dyDescent="0.3">
      <c r="A7" s="462"/>
      <c r="B7" s="463"/>
      <c r="C7" s="32"/>
      <c r="D7" s="39" t="s">
        <v>38</v>
      </c>
      <c r="E7" s="469">
        <f>SUM(E5:E6)</f>
        <v>400</v>
      </c>
      <c r="F7" s="40"/>
      <c r="G7" s="41">
        <f>+G5+G6</f>
        <v>358056</v>
      </c>
      <c r="H7" s="32"/>
      <c r="I7" s="32"/>
      <c r="J7" s="174"/>
      <c r="K7" s="42"/>
    </row>
    <row r="8" spans="1:11" ht="15.75" thickBot="1" x14ac:dyDescent="0.3">
      <c r="A8" s="464"/>
      <c r="B8" s="465"/>
      <c r="C8" s="32"/>
      <c r="D8" s="36"/>
      <c r="E8" s="32"/>
      <c r="F8" s="61" t="s">
        <v>48</v>
      </c>
      <c r="G8" s="62">
        <f>+G7/E7</f>
        <v>895.14</v>
      </c>
      <c r="H8" s="173" t="s">
        <v>40</v>
      </c>
      <c r="I8" s="32"/>
      <c r="J8" s="175"/>
      <c r="K8" s="32"/>
    </row>
    <row r="9" spans="1:11" ht="15.75" thickBot="1" x14ac:dyDescent="0.3">
      <c r="A9" s="507" t="s">
        <v>177</v>
      </c>
      <c r="B9" s="508"/>
      <c r="C9" s="43"/>
      <c r="D9" s="38"/>
      <c r="E9" s="37"/>
      <c r="F9" s="37"/>
      <c r="G9" s="32"/>
      <c r="H9" s="32"/>
      <c r="I9" s="32"/>
      <c r="J9" s="175"/>
      <c r="K9" s="32"/>
    </row>
    <row r="10" spans="1:11" ht="17.25" customHeight="1" thickBot="1" x14ac:dyDescent="0.3">
      <c r="A10" s="466" t="s">
        <v>46</v>
      </c>
      <c r="B10" s="470">
        <v>200</v>
      </c>
      <c r="D10" s="484" t="s">
        <v>30</v>
      </c>
      <c r="E10" s="482" t="s">
        <v>33</v>
      </c>
      <c r="F10" s="482" t="s">
        <v>31</v>
      </c>
      <c r="G10" s="483" t="s">
        <v>32</v>
      </c>
      <c r="H10" s="32"/>
      <c r="I10" s="32"/>
      <c r="J10" s="176"/>
      <c r="K10" s="32"/>
    </row>
    <row r="11" spans="1:11" ht="17.25" customHeight="1" x14ac:dyDescent="0.25">
      <c r="A11" s="486" t="s">
        <v>47</v>
      </c>
      <c r="B11" s="487">
        <v>80</v>
      </c>
      <c r="D11" s="493" t="s">
        <v>159</v>
      </c>
      <c r="E11" s="494">
        <f>+B6</f>
        <v>69</v>
      </c>
      <c r="F11" s="495">
        <v>1083.8399999999999</v>
      </c>
      <c r="G11" s="496">
        <f>+E11*F11</f>
        <v>74784.959999999992</v>
      </c>
      <c r="H11" s="32"/>
      <c r="I11" s="32"/>
      <c r="J11" s="176"/>
      <c r="K11" s="32"/>
    </row>
    <row r="12" spans="1:11" ht="15.75" thickBot="1" x14ac:dyDescent="0.3">
      <c r="A12" s="467"/>
      <c r="B12" s="492"/>
      <c r="C12" s="33"/>
      <c r="D12" s="596" t="s">
        <v>180</v>
      </c>
      <c r="E12" s="459">
        <f>+B11</f>
        <v>80</v>
      </c>
      <c r="F12" s="456">
        <f>+B18</f>
        <v>1785</v>
      </c>
      <c r="G12" s="35">
        <f>+F12*E12</f>
        <v>142800</v>
      </c>
      <c r="H12" s="141" t="s">
        <v>168</v>
      </c>
      <c r="I12" s="32"/>
      <c r="J12" s="32"/>
      <c r="K12" s="32"/>
    </row>
    <row r="13" spans="1:11" x14ac:dyDescent="0.25">
      <c r="A13" s="462"/>
      <c r="B13" s="485"/>
      <c r="C13" s="33"/>
      <c r="D13" s="498"/>
      <c r="E13" s="19"/>
      <c r="F13" s="19"/>
      <c r="G13" s="497"/>
      <c r="H13" s="454"/>
      <c r="I13" s="32"/>
      <c r="J13" s="176"/>
      <c r="K13" s="32"/>
    </row>
    <row r="14" spans="1:11" ht="15.75" thickBot="1" x14ac:dyDescent="0.3">
      <c r="A14" s="462"/>
      <c r="B14" s="45"/>
      <c r="C14" s="32"/>
      <c r="D14" s="39" t="s">
        <v>38</v>
      </c>
      <c r="E14" s="469">
        <f>SUM(E11:E13)</f>
        <v>149</v>
      </c>
      <c r="F14" s="40"/>
      <c r="G14" s="41">
        <f>SUM(G11:G13)</f>
        <v>217584.96</v>
      </c>
      <c r="H14" s="32"/>
      <c r="I14" s="32"/>
    </row>
    <row r="15" spans="1:11" ht="15.75" customHeight="1" thickBot="1" x14ac:dyDescent="0.3">
      <c r="A15" s="45"/>
      <c r="B15" s="45"/>
      <c r="C15" s="32"/>
      <c r="D15" s="36"/>
      <c r="E15" s="32"/>
      <c r="F15" s="63" t="s">
        <v>49</v>
      </c>
      <c r="G15" s="62">
        <f>+G14/E14</f>
        <v>1460.3017449664428</v>
      </c>
      <c r="H15" s="173" t="s">
        <v>40</v>
      </c>
      <c r="I15" s="32"/>
    </row>
    <row r="16" spans="1:11" ht="16.5" customHeight="1" thickBot="1" x14ac:dyDescent="0.3">
      <c r="A16" s="507" t="s">
        <v>178</v>
      </c>
      <c r="B16" s="508"/>
      <c r="C16" s="32"/>
      <c r="D16" s="38"/>
    </row>
    <row r="17" spans="1:11" x14ac:dyDescent="0.25">
      <c r="A17" s="460" t="s">
        <v>185</v>
      </c>
      <c r="B17" s="502">
        <v>1135</v>
      </c>
      <c r="C17" s="438"/>
      <c r="F17" s="436"/>
      <c r="G17" s="444"/>
      <c r="J17" s="32"/>
      <c r="K17" s="32"/>
    </row>
    <row r="18" spans="1:11" ht="15.75" thickBot="1" x14ac:dyDescent="0.3">
      <c r="A18" s="461" t="s">
        <v>184</v>
      </c>
      <c r="B18" s="503">
        <v>1785</v>
      </c>
      <c r="C18" s="438"/>
      <c r="F18" s="489"/>
      <c r="G18" s="490"/>
      <c r="J18" s="32"/>
      <c r="K18" s="32"/>
    </row>
    <row r="19" spans="1:11" x14ac:dyDescent="0.25">
      <c r="A19" s="64"/>
      <c r="C19" s="32"/>
      <c r="D19" s="450"/>
      <c r="E19" s="450"/>
      <c r="F19" s="471"/>
      <c r="G19" s="451"/>
      <c r="H19" s="448"/>
      <c r="J19" s="32"/>
      <c r="K19" s="32"/>
    </row>
    <row r="20" spans="1:11" ht="15.75" thickBot="1" x14ac:dyDescent="0.3">
      <c r="D20" s="450"/>
      <c r="E20" s="450"/>
      <c r="F20" s="472"/>
      <c r="G20" s="452"/>
      <c r="H20" s="448"/>
      <c r="J20" s="32"/>
      <c r="K20" s="32"/>
    </row>
    <row r="21" spans="1:11" ht="18" customHeight="1" thickBot="1" x14ac:dyDescent="0.3">
      <c r="A21" s="509" t="s">
        <v>160</v>
      </c>
      <c r="B21" s="510"/>
      <c r="D21" s="511"/>
      <c r="E21" s="511"/>
      <c r="F21" s="453"/>
      <c r="G21" s="439"/>
      <c r="H21" s="473"/>
    </row>
    <row r="22" spans="1:11" ht="18" customHeight="1" x14ac:dyDescent="0.25">
      <c r="A22" s="397" t="s">
        <v>163</v>
      </c>
      <c r="B22" s="445">
        <f>+B17</f>
        <v>1135</v>
      </c>
      <c r="C22" s="438"/>
      <c r="D22" s="400"/>
      <c r="E22" s="401"/>
      <c r="F22" s="447"/>
      <c r="G22" s="444"/>
      <c r="H22" s="439"/>
    </row>
    <row r="23" spans="1:11" ht="18" customHeight="1" thickBot="1" x14ac:dyDescent="0.3">
      <c r="A23" s="399" t="s">
        <v>158</v>
      </c>
      <c r="B23" s="398">
        <f>+B10</f>
        <v>200</v>
      </c>
      <c r="D23" s="400"/>
      <c r="E23" s="402"/>
      <c r="F23" s="447"/>
      <c r="H23" s="439"/>
    </row>
    <row r="24" spans="1:11" ht="18" customHeight="1" thickBot="1" x14ac:dyDescent="0.3">
      <c r="A24" s="435" t="s">
        <v>161</v>
      </c>
      <c r="B24" s="457">
        <f>+B22*B23</f>
        <v>227000</v>
      </c>
      <c r="D24" s="443"/>
      <c r="E24" s="124"/>
      <c r="F24" s="450"/>
      <c r="G24" s="451"/>
      <c r="H24" s="448"/>
    </row>
    <row r="25" spans="1:11" x14ac:dyDescent="0.25">
      <c r="A25" s="397" t="s">
        <v>164</v>
      </c>
      <c r="B25" s="445">
        <f>+B18</f>
        <v>1785</v>
      </c>
      <c r="C25" s="34"/>
      <c r="D25" s="34"/>
      <c r="E25" s="34"/>
      <c r="F25" s="450"/>
      <c r="G25" s="451"/>
      <c r="H25" s="448"/>
    </row>
    <row r="26" spans="1:11" ht="15.75" thickBot="1" x14ac:dyDescent="0.3">
      <c r="A26" s="399" t="s">
        <v>158</v>
      </c>
      <c r="B26" s="476">
        <f>+B11</f>
        <v>80</v>
      </c>
      <c r="C26" s="34"/>
      <c r="D26" s="34"/>
      <c r="E26" s="34"/>
      <c r="F26" s="450"/>
      <c r="G26" s="451"/>
      <c r="H26" s="448"/>
    </row>
    <row r="27" spans="1:11" ht="15.75" thickBot="1" x14ac:dyDescent="0.3">
      <c r="A27" s="488"/>
      <c r="B27" s="458">
        <f>+B25*B26</f>
        <v>142800</v>
      </c>
      <c r="C27" s="34"/>
      <c r="D27" s="491"/>
      <c r="E27" s="34"/>
      <c r="F27" s="450"/>
      <c r="G27" s="451"/>
      <c r="H27" s="448"/>
    </row>
    <row r="28" spans="1:11" ht="15.75" thickBot="1" x14ac:dyDescent="0.3">
      <c r="A28" s="435" t="s">
        <v>162</v>
      </c>
      <c r="B28" s="457">
        <f>+B27</f>
        <v>142800</v>
      </c>
      <c r="D28" s="444"/>
      <c r="F28" s="447"/>
      <c r="G28" s="444"/>
      <c r="H28" s="439"/>
    </row>
    <row r="29" spans="1:11" ht="15.75" thickBot="1" x14ac:dyDescent="0.3">
      <c r="D29" s="444"/>
      <c r="F29" s="444"/>
    </row>
    <row r="30" spans="1:11" ht="15.75" thickBot="1" x14ac:dyDescent="0.3">
      <c r="A30" s="449" t="s">
        <v>165</v>
      </c>
      <c r="B30" s="458">
        <f>+B28+B24</f>
        <v>369800</v>
      </c>
    </row>
    <row r="31" spans="1:11" x14ac:dyDescent="0.25">
      <c r="A31" s="468"/>
      <c r="D31" s="444"/>
    </row>
    <row r="32" spans="1:11" x14ac:dyDescent="0.25">
      <c r="B32" s="444"/>
      <c r="G32" s="439"/>
    </row>
    <row r="33" spans="2:7" x14ac:dyDescent="0.25">
      <c r="B33" s="446"/>
    </row>
    <row r="35" spans="2:7" x14ac:dyDescent="0.25">
      <c r="G35" s="439"/>
    </row>
  </sheetData>
  <mergeCells count="6">
    <mergeCell ref="A2:C2"/>
    <mergeCell ref="D2:G2"/>
    <mergeCell ref="A9:B9"/>
    <mergeCell ref="A16:B16"/>
    <mergeCell ref="A21:B21"/>
    <mergeCell ref="D21:E21"/>
  </mergeCells>
  <printOptions horizontalCentered="1"/>
  <pageMargins left="0.31496062992125984" right="0.31496062992125984" top="0.74803149606299213" bottom="0.55118110236220474" header="0.31496062992125984" footer="0.31496062992125984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FFFF00"/>
    <pageSetUpPr fitToPage="1"/>
  </sheetPr>
  <dimension ref="B1:Y83"/>
  <sheetViews>
    <sheetView showGridLines="0" workbookViewId="0">
      <selection activeCell="E14" sqref="E14"/>
    </sheetView>
  </sheetViews>
  <sheetFormatPr baseColWidth="10" defaultRowHeight="15" x14ac:dyDescent="0.25"/>
  <cols>
    <col min="1" max="1" width="4.28515625" customWidth="1"/>
    <col min="2" max="2" width="44.28515625" customWidth="1"/>
    <col min="3" max="3" width="12.5703125" customWidth="1"/>
    <col min="4" max="4" width="17" customWidth="1"/>
    <col min="5" max="5" width="55.85546875" bestFit="1" customWidth="1"/>
    <col min="6" max="6" width="7.85546875" customWidth="1"/>
    <col min="7" max="7" width="2.85546875" customWidth="1"/>
    <col min="8" max="8" width="0.7109375" customWidth="1"/>
    <col min="9" max="9" width="34.85546875" customWidth="1"/>
    <col min="10" max="10" width="21" customWidth="1"/>
    <col min="11" max="11" width="13.5703125" style="26" customWidth="1"/>
    <col min="12" max="12" width="20.7109375" style="26" hidden="1" customWidth="1"/>
    <col min="13" max="13" width="18.7109375" customWidth="1"/>
    <col min="14" max="14" width="21" customWidth="1"/>
    <col min="15" max="15" width="15.7109375" customWidth="1"/>
    <col min="16" max="16" width="24.42578125" customWidth="1"/>
    <col min="17" max="17" width="15.7109375" customWidth="1"/>
    <col min="18" max="18" width="22" customWidth="1"/>
    <col min="19" max="19" width="17" customWidth="1"/>
    <col min="20" max="20" width="18" customWidth="1"/>
    <col min="21" max="21" width="15.42578125" customWidth="1"/>
    <col min="22" max="22" width="18.7109375" customWidth="1"/>
    <col min="23" max="23" width="3.85546875" customWidth="1"/>
    <col min="24" max="24" width="10.28515625" customWidth="1"/>
    <col min="25" max="25" width="11" customWidth="1"/>
  </cols>
  <sheetData>
    <row r="1" spans="2:25" x14ac:dyDescent="0.25">
      <c r="B1" s="1"/>
    </row>
    <row r="2" spans="2:25" ht="19.5" customHeight="1" x14ac:dyDescent="0.3">
      <c r="B2" s="517" t="s">
        <v>181</v>
      </c>
      <c r="C2" s="517"/>
      <c r="D2" s="517"/>
      <c r="E2" s="517"/>
      <c r="F2" s="517"/>
      <c r="G2" s="517"/>
      <c r="H2" s="517"/>
      <c r="I2" s="517"/>
      <c r="J2" s="517"/>
      <c r="K2" s="517"/>
      <c r="L2" s="517"/>
    </row>
    <row r="3" spans="2:25" ht="18" customHeight="1" x14ac:dyDescent="0.3"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</row>
    <row r="4" spans="2:25" ht="15.75" thickBot="1" x14ac:dyDescent="0.3">
      <c r="B4" s="70"/>
      <c r="C4" s="71"/>
      <c r="D4" s="71"/>
      <c r="E4" s="71"/>
      <c r="F4" s="71"/>
      <c r="G4" s="71"/>
      <c r="H4" s="71"/>
      <c r="I4" s="71"/>
      <c r="J4" s="71"/>
      <c r="K4" s="72"/>
      <c r="L4" s="72"/>
    </row>
    <row r="5" spans="2:25" ht="18.75" x14ac:dyDescent="0.25">
      <c r="B5" s="519" t="s">
        <v>150</v>
      </c>
      <c r="C5" s="521" t="s">
        <v>0</v>
      </c>
      <c r="D5" s="66"/>
      <c r="E5" s="523" t="s">
        <v>34</v>
      </c>
      <c r="F5" s="523"/>
      <c r="G5" s="523"/>
      <c r="H5" s="523"/>
      <c r="I5" s="523"/>
      <c r="J5" s="523"/>
      <c r="K5" s="523"/>
      <c r="L5" s="523"/>
    </row>
    <row r="6" spans="2:25" ht="19.5" thickBot="1" x14ac:dyDescent="0.3">
      <c r="B6" s="520"/>
      <c r="C6" s="522"/>
      <c r="D6" s="67"/>
      <c r="E6" s="524" t="s">
        <v>35</v>
      </c>
      <c r="F6" s="524"/>
      <c r="G6" s="524"/>
      <c r="H6" s="524"/>
      <c r="I6" s="524"/>
      <c r="J6" s="524"/>
      <c r="K6" s="524"/>
      <c r="L6" s="524"/>
    </row>
    <row r="7" spans="2:25" x14ac:dyDescent="0.25">
      <c r="E7" s="73"/>
    </row>
    <row r="8" spans="2:25" ht="15.75" x14ac:dyDescent="0.25">
      <c r="B8" s="23" t="s">
        <v>1</v>
      </c>
    </row>
    <row r="9" spans="2:25" x14ac:dyDescent="0.25">
      <c r="C9" s="2"/>
      <c r="D9" s="2"/>
      <c r="G9" s="3"/>
    </row>
    <row r="10" spans="2:25" ht="18" x14ac:dyDescent="0.35">
      <c r="B10" s="4" t="s">
        <v>25</v>
      </c>
      <c r="C10" s="44">
        <v>655.28</v>
      </c>
      <c r="D10" t="s">
        <v>3</v>
      </c>
      <c r="E10" s="45" t="s">
        <v>169</v>
      </c>
      <c r="F10" s="45"/>
      <c r="G10" s="46"/>
      <c r="H10" s="45"/>
    </row>
    <row r="11" spans="2:25" ht="18" x14ac:dyDescent="0.35">
      <c r="B11" s="4" t="s">
        <v>2</v>
      </c>
      <c r="C11" s="44">
        <v>1083.8399999999999</v>
      </c>
      <c r="D11" t="s">
        <v>3</v>
      </c>
      <c r="E11" s="45" t="s">
        <v>169</v>
      </c>
      <c r="F11" s="45"/>
      <c r="G11" s="46"/>
      <c r="H11" s="45"/>
    </row>
    <row r="12" spans="2:25" ht="18" x14ac:dyDescent="0.35">
      <c r="B12" s="4" t="s">
        <v>26</v>
      </c>
      <c r="C12" s="5">
        <f>+'Precios promedio y consumos'!G8</f>
        <v>895.14</v>
      </c>
      <c r="D12" t="s">
        <v>3</v>
      </c>
      <c r="E12" s="49" t="s">
        <v>182</v>
      </c>
      <c r="G12" s="3"/>
      <c r="I12" s="448"/>
    </row>
    <row r="13" spans="2:25" ht="18" x14ac:dyDescent="0.35">
      <c r="B13" s="4" t="s">
        <v>27</v>
      </c>
      <c r="C13" s="5">
        <f>+'Precios promedio y consumos'!G15</f>
        <v>1460.3017449664428</v>
      </c>
      <c r="D13" t="s">
        <v>3</v>
      </c>
      <c r="E13" s="49" t="s">
        <v>183</v>
      </c>
      <c r="G13" s="3"/>
    </row>
    <row r="14" spans="2:25" x14ac:dyDescent="0.25">
      <c r="C14" s="6"/>
      <c r="D14" s="6"/>
      <c r="G14" s="3"/>
    </row>
    <row r="15" spans="2:25" ht="15.75" thickBot="1" x14ac:dyDescent="0.3">
      <c r="B15" s="70"/>
      <c r="C15" s="71"/>
      <c r="D15" s="71"/>
      <c r="E15" s="71"/>
    </row>
    <row r="16" spans="2:25" ht="19.5" thickBot="1" x14ac:dyDescent="0.3">
      <c r="B16" s="7" t="s">
        <v>170</v>
      </c>
      <c r="C16" s="8" t="s">
        <v>4</v>
      </c>
      <c r="D16" s="31">
        <f>ROUNDUP(1+(((C12*38.4+C13*9.5)-(C10*38.4+C11*9.5))/(C10*38.4+C11*9.5)),4)</f>
        <v>1.3607</v>
      </c>
      <c r="E16" s="20"/>
      <c r="I16" s="569"/>
      <c r="J16" s="569"/>
      <c r="K16" s="569"/>
      <c r="L16" s="569"/>
      <c r="M16" s="569"/>
      <c r="N16" s="569"/>
      <c r="O16" s="569"/>
      <c r="P16" s="569"/>
      <c r="Q16" s="569"/>
      <c r="R16" s="569"/>
      <c r="S16" s="569"/>
      <c r="T16" s="569"/>
      <c r="U16" s="569"/>
      <c r="V16" s="569"/>
      <c r="W16" s="570"/>
      <c r="X16" s="570"/>
      <c r="Y16" s="570"/>
    </row>
    <row r="17" spans="2:25" ht="10.5" customHeight="1" x14ac:dyDescent="0.25">
      <c r="I17" s="570"/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/>
      <c r="U17" s="570"/>
      <c r="V17" s="570"/>
      <c r="W17" s="570"/>
      <c r="X17" s="570"/>
      <c r="Y17" s="570"/>
    </row>
    <row r="18" spans="2:25" ht="15.75" customHeight="1" x14ac:dyDescent="0.25">
      <c r="I18" s="571"/>
      <c r="J18" s="571"/>
      <c r="K18" s="571"/>
      <c r="L18" s="571"/>
      <c r="M18" s="571"/>
      <c r="N18" s="571"/>
      <c r="O18" s="571"/>
      <c r="P18" s="571"/>
      <c r="Q18" s="571"/>
      <c r="R18" s="571"/>
      <c r="S18" s="571"/>
      <c r="T18" s="571"/>
      <c r="U18" s="571"/>
      <c r="V18" s="571"/>
      <c r="W18" s="570"/>
      <c r="X18" s="570"/>
      <c r="Y18" s="570"/>
    </row>
    <row r="19" spans="2:25" ht="16.5" customHeight="1" x14ac:dyDescent="0.25">
      <c r="B19" s="513" t="s">
        <v>5</v>
      </c>
      <c r="C19" s="513"/>
      <c r="D19" s="513"/>
      <c r="E19" s="513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0"/>
      <c r="X19" s="570"/>
      <c r="Y19" s="570"/>
    </row>
    <row r="20" spans="2:25" x14ac:dyDescent="0.25"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</row>
    <row r="21" spans="2:25" x14ac:dyDescent="0.25">
      <c r="C21" s="22" t="s">
        <v>6</v>
      </c>
      <c r="D21" s="22"/>
      <c r="I21" s="572"/>
      <c r="J21" s="573"/>
      <c r="K21" s="574"/>
      <c r="L21" s="573"/>
      <c r="M21" s="574"/>
      <c r="N21" s="573"/>
      <c r="O21" s="574"/>
      <c r="P21" s="573"/>
      <c r="Q21" s="574"/>
      <c r="R21" s="573"/>
      <c r="S21" s="574"/>
      <c r="T21" s="573"/>
      <c r="U21" s="574"/>
      <c r="V21" s="573"/>
      <c r="W21" s="570"/>
      <c r="X21" s="570"/>
      <c r="Y21" s="570"/>
    </row>
    <row r="22" spans="2:25" ht="26.25" customHeight="1" x14ac:dyDescent="0.25">
      <c r="B22" t="s">
        <v>8</v>
      </c>
      <c r="C22" s="184">
        <v>2.86</v>
      </c>
      <c r="D22" s="595" t="s">
        <v>171</v>
      </c>
      <c r="E22" s="595"/>
      <c r="I22" s="572"/>
      <c r="J22" s="575"/>
      <c r="K22" s="575"/>
      <c r="L22" s="575"/>
      <c r="M22" s="575"/>
      <c r="N22" s="575"/>
      <c r="O22" s="575"/>
      <c r="P22" s="575"/>
      <c r="Q22" s="576"/>
      <c r="R22" s="575"/>
      <c r="S22" s="575"/>
      <c r="T22" s="575"/>
      <c r="U22" s="575"/>
      <c r="V22" s="575"/>
      <c r="W22" s="570"/>
      <c r="X22" s="577"/>
      <c r="Y22" s="578"/>
    </row>
    <row r="23" spans="2:25" x14ac:dyDescent="0.25">
      <c r="B23" t="s">
        <v>172</v>
      </c>
      <c r="C23" s="54">
        <f>D16</f>
        <v>1.3607</v>
      </c>
      <c r="D23" s="22"/>
      <c r="I23" s="579"/>
      <c r="J23" s="580"/>
      <c r="K23" s="581"/>
      <c r="L23" s="580"/>
      <c r="M23" s="581"/>
      <c r="N23" s="580"/>
      <c r="O23" s="582"/>
      <c r="P23" s="580"/>
      <c r="Q23" s="581"/>
      <c r="R23" s="580"/>
      <c r="S23" s="581"/>
      <c r="T23" s="580"/>
      <c r="U23" s="582"/>
      <c r="V23" s="580"/>
      <c r="W23" s="570"/>
      <c r="X23" s="583"/>
      <c r="Y23" s="584"/>
    </row>
    <row r="24" spans="2:25" x14ac:dyDescent="0.25">
      <c r="E24" s="475"/>
      <c r="I24" s="579"/>
      <c r="J24" s="580"/>
      <c r="K24" s="581"/>
      <c r="L24" s="580"/>
      <c r="M24" s="581"/>
      <c r="N24" s="580"/>
      <c r="O24" s="582"/>
      <c r="P24" s="580"/>
      <c r="Q24" s="581"/>
      <c r="R24" s="580"/>
      <c r="S24" s="581"/>
      <c r="T24" s="580"/>
      <c r="U24" s="582"/>
      <c r="V24" s="580"/>
      <c r="W24" s="570"/>
      <c r="X24" s="583"/>
      <c r="Y24" s="584"/>
    </row>
    <row r="25" spans="2:25" x14ac:dyDescent="0.25">
      <c r="B25" s="1" t="s">
        <v>173</v>
      </c>
      <c r="I25" s="585"/>
      <c r="J25" s="586"/>
      <c r="K25" s="581"/>
      <c r="L25" s="586"/>
      <c r="M25" s="581"/>
      <c r="N25" s="586"/>
      <c r="O25" s="582"/>
      <c r="P25" s="586"/>
      <c r="Q25" s="581"/>
      <c r="R25" s="586"/>
      <c r="S25" s="581"/>
      <c r="T25" s="586"/>
      <c r="U25" s="582"/>
      <c r="V25" s="586"/>
      <c r="W25" s="570"/>
      <c r="X25" s="583"/>
      <c r="Y25" s="584"/>
    </row>
    <row r="26" spans="2:25" ht="15.75" thickBot="1" x14ac:dyDescent="0.3">
      <c r="I26" s="579"/>
      <c r="J26" s="580"/>
      <c r="K26" s="581"/>
      <c r="L26" s="580"/>
      <c r="M26" s="581"/>
      <c r="N26" s="580"/>
      <c r="O26" s="582"/>
      <c r="P26" s="580"/>
      <c r="Q26" s="581"/>
      <c r="R26" s="580"/>
      <c r="S26" s="581"/>
      <c r="T26" s="580"/>
      <c r="U26" s="582"/>
      <c r="V26" s="580"/>
      <c r="W26" s="570"/>
      <c r="X26" s="583"/>
      <c r="Y26" s="584"/>
    </row>
    <row r="27" spans="2:25" ht="18" customHeight="1" thickBot="1" x14ac:dyDescent="0.3">
      <c r="B27" s="514" t="s">
        <v>174</v>
      </c>
      <c r="C27" s="515"/>
      <c r="D27" s="515"/>
      <c r="E27" s="516"/>
      <c r="I27" s="587"/>
      <c r="J27" s="580"/>
      <c r="K27" s="588"/>
      <c r="L27" s="580"/>
      <c r="M27" s="588"/>
      <c r="N27" s="580"/>
      <c r="O27" s="588"/>
      <c r="P27" s="580"/>
      <c r="Q27" s="588"/>
      <c r="R27" s="580"/>
      <c r="S27" s="588"/>
      <c r="T27" s="580"/>
      <c r="U27" s="588"/>
      <c r="V27" s="580"/>
      <c r="W27" s="570"/>
      <c r="X27" s="583"/>
      <c r="Y27" s="588"/>
    </row>
    <row r="28" spans="2:25" ht="15.75" customHeight="1" x14ac:dyDescent="0.25">
      <c r="B28" s="81"/>
      <c r="C28" s="81"/>
      <c r="D28" s="81"/>
      <c r="E28" s="81"/>
      <c r="I28" s="587"/>
      <c r="J28" s="580"/>
      <c r="K28" s="588"/>
      <c r="L28" s="580"/>
      <c r="M28" s="588"/>
      <c r="N28" s="580"/>
      <c r="O28" s="588"/>
      <c r="P28" s="580"/>
      <c r="Q28" s="588"/>
      <c r="R28" s="580"/>
      <c r="S28" s="588"/>
      <c r="T28" s="580"/>
      <c r="U28" s="588"/>
      <c r="V28" s="580"/>
      <c r="W28" s="570"/>
      <c r="X28" s="583"/>
      <c r="Y28" s="588"/>
    </row>
    <row r="29" spans="2:25" x14ac:dyDescent="0.25">
      <c r="B29" s="81" t="s">
        <v>176</v>
      </c>
      <c r="C29" s="82">
        <f>SUM(C22*C23)</f>
        <v>3.8916019999999998</v>
      </c>
      <c r="E29" s="455"/>
      <c r="I29" s="589"/>
      <c r="J29" s="573"/>
      <c r="K29" s="574"/>
      <c r="L29" s="573"/>
      <c r="M29" s="574"/>
      <c r="N29" s="573"/>
      <c r="O29" s="574"/>
      <c r="P29" s="573"/>
      <c r="Q29" s="574"/>
      <c r="R29" s="573"/>
      <c r="S29" s="574"/>
      <c r="T29" s="573"/>
      <c r="U29" s="574"/>
      <c r="V29" s="573"/>
      <c r="W29" s="570"/>
      <c r="X29" s="583"/>
      <c r="Y29" s="588"/>
    </row>
    <row r="30" spans="2:25" x14ac:dyDescent="0.25">
      <c r="D30" s="26"/>
      <c r="E30" s="439"/>
      <c r="I30" s="589"/>
      <c r="J30" s="574"/>
      <c r="K30" s="575"/>
      <c r="L30" s="574"/>
      <c r="M30" s="575"/>
      <c r="N30" s="574"/>
      <c r="O30" s="575"/>
      <c r="P30" s="574"/>
      <c r="Q30" s="576"/>
      <c r="R30" s="574"/>
      <c r="S30" s="575"/>
      <c r="T30" s="574"/>
      <c r="U30" s="575"/>
      <c r="V30" s="574"/>
      <c r="W30" s="570"/>
      <c r="X30" s="573"/>
      <c r="Y30" s="573"/>
    </row>
    <row r="31" spans="2:25" ht="20.25" customHeight="1" x14ac:dyDescent="0.25">
      <c r="B31" s="1" t="s">
        <v>16</v>
      </c>
      <c r="C31" s="13"/>
      <c r="D31" s="84"/>
      <c r="E31" s="439"/>
      <c r="I31" s="579"/>
      <c r="J31" s="586"/>
      <c r="K31" s="590"/>
      <c r="L31" s="586"/>
      <c r="M31" s="590"/>
      <c r="N31" s="586"/>
      <c r="O31" s="588"/>
      <c r="P31" s="586"/>
      <c r="Q31" s="590"/>
      <c r="R31" s="586"/>
      <c r="S31" s="590"/>
      <c r="T31" s="586"/>
      <c r="U31" s="588"/>
      <c r="V31" s="586"/>
      <c r="W31" s="570"/>
      <c r="X31" s="583"/>
      <c r="Y31" s="584"/>
    </row>
    <row r="32" spans="2:25" ht="19.5" customHeight="1" x14ac:dyDescent="0.25">
      <c r="B32" s="21" t="s">
        <v>175</v>
      </c>
      <c r="C32" s="501">
        <f>+C29</f>
        <v>3.8916019999999998</v>
      </c>
      <c r="D32" s="474"/>
      <c r="E32" s="499"/>
      <c r="I32" s="587"/>
      <c r="J32" s="570"/>
      <c r="K32" s="570"/>
      <c r="L32" s="570"/>
      <c r="M32" s="570"/>
      <c r="N32" s="570"/>
      <c r="O32" s="570"/>
      <c r="P32" s="570"/>
      <c r="Q32" s="570"/>
      <c r="R32" s="570"/>
      <c r="S32" s="570"/>
      <c r="T32" s="570"/>
      <c r="U32" s="570"/>
      <c r="V32" s="570"/>
      <c r="W32" s="570"/>
      <c r="X32" s="591"/>
      <c r="Y32" s="588"/>
    </row>
    <row r="33" spans="2:25" ht="15.75" thickBot="1" x14ac:dyDescent="0.3">
      <c r="B33" s="85" t="s">
        <v>166</v>
      </c>
      <c r="C33" s="14">
        <f>+C22</f>
        <v>2.86</v>
      </c>
      <c r="D33" s="74"/>
      <c r="E33" s="439"/>
      <c r="I33" s="570"/>
      <c r="J33" s="570"/>
      <c r="K33" s="570"/>
      <c r="L33" s="570"/>
      <c r="M33" s="570"/>
      <c r="N33" s="570"/>
      <c r="O33" s="570"/>
      <c r="P33" s="570"/>
      <c r="Q33" s="570"/>
      <c r="R33" s="570"/>
      <c r="S33" s="570"/>
      <c r="T33" s="570"/>
      <c r="U33" s="570"/>
      <c r="V33" s="570"/>
      <c r="W33" s="570"/>
      <c r="X33" s="583"/>
      <c r="Y33" s="588"/>
    </row>
    <row r="34" spans="2:25" ht="16.5" thickBot="1" x14ac:dyDescent="0.3">
      <c r="B34" s="15" t="s">
        <v>28</v>
      </c>
      <c r="C34" s="500">
        <f>SUM(C32-C33)</f>
        <v>1.0316019999999999</v>
      </c>
      <c r="D34" s="22"/>
      <c r="E34" s="439"/>
      <c r="I34" s="589"/>
      <c r="J34" s="573"/>
      <c r="K34" s="574"/>
      <c r="L34" s="573"/>
      <c r="M34" s="574"/>
      <c r="N34" s="573"/>
      <c r="O34" s="574"/>
      <c r="P34" s="573"/>
      <c r="Q34" s="574"/>
      <c r="R34" s="573"/>
      <c r="S34" s="574"/>
      <c r="T34" s="573"/>
      <c r="U34" s="574"/>
      <c r="V34" s="573"/>
      <c r="W34" s="570"/>
      <c r="X34" s="592"/>
      <c r="Y34" s="588"/>
    </row>
    <row r="35" spans="2:25" ht="15.75" customHeight="1" x14ac:dyDescent="0.25">
      <c r="B35" s="4"/>
      <c r="C35" s="437"/>
      <c r="D35" s="4"/>
      <c r="I35" s="589"/>
      <c r="J35" s="574"/>
      <c r="K35" s="575"/>
      <c r="L35" s="574"/>
      <c r="M35" s="575"/>
      <c r="N35" s="574"/>
      <c r="O35" s="575"/>
      <c r="P35" s="574"/>
      <c r="Q35" s="576"/>
      <c r="R35" s="574"/>
      <c r="S35" s="575"/>
      <c r="T35" s="574"/>
      <c r="U35" s="575"/>
      <c r="V35" s="574"/>
      <c r="W35" s="570"/>
      <c r="X35" s="583"/>
      <c r="Y35" s="588"/>
    </row>
    <row r="36" spans="2:25" x14ac:dyDescent="0.25">
      <c r="B36" s="4"/>
      <c r="C36" s="442"/>
      <c r="D36" s="4"/>
      <c r="I36" s="579"/>
      <c r="J36" s="580"/>
      <c r="K36" s="581"/>
      <c r="L36" s="580"/>
      <c r="M36" s="581"/>
      <c r="N36" s="580"/>
      <c r="O36" s="582"/>
      <c r="P36" s="580"/>
      <c r="Q36" s="581"/>
      <c r="R36" s="580"/>
      <c r="S36" s="581"/>
      <c r="T36" s="580"/>
      <c r="U36" s="582"/>
      <c r="V36" s="580"/>
      <c r="W36" s="570"/>
      <c r="X36" s="583"/>
      <c r="Y36" s="584"/>
    </row>
    <row r="37" spans="2:25" x14ac:dyDescent="0.25">
      <c r="B37" s="15"/>
      <c r="C37" s="80"/>
      <c r="I37" s="579"/>
      <c r="J37" s="580"/>
      <c r="K37" s="581"/>
      <c r="L37" s="580"/>
      <c r="M37" s="581"/>
      <c r="N37" s="580"/>
      <c r="O37" s="582"/>
      <c r="P37" s="580"/>
      <c r="Q37" s="581"/>
      <c r="R37" s="580"/>
      <c r="S37" s="581"/>
      <c r="T37" s="580"/>
      <c r="U37" s="582"/>
      <c r="V37" s="580"/>
      <c r="W37" s="570"/>
      <c r="X37" s="583"/>
      <c r="Y37" s="584"/>
    </row>
    <row r="38" spans="2:25" x14ac:dyDescent="0.25">
      <c r="I38" s="585"/>
      <c r="J38" s="586"/>
      <c r="K38" s="581"/>
      <c r="L38" s="586"/>
      <c r="M38" s="581"/>
      <c r="N38" s="586"/>
      <c r="O38" s="582"/>
      <c r="P38" s="586"/>
      <c r="Q38" s="581"/>
      <c r="R38" s="586"/>
      <c r="S38" s="581"/>
      <c r="T38" s="586"/>
      <c r="U38" s="582"/>
      <c r="V38" s="586"/>
      <c r="W38" s="570"/>
      <c r="X38" s="583"/>
      <c r="Y38" s="584"/>
    </row>
    <row r="39" spans="2:25" x14ac:dyDescent="0.25">
      <c r="I39" s="585"/>
      <c r="J39" s="586"/>
      <c r="K39" s="581"/>
      <c r="L39" s="586"/>
      <c r="M39" s="581"/>
      <c r="N39" s="586"/>
      <c r="O39" s="582"/>
      <c r="P39" s="586"/>
      <c r="Q39" s="581"/>
      <c r="R39" s="586"/>
      <c r="S39" s="581"/>
      <c r="T39" s="586"/>
      <c r="U39" s="582"/>
      <c r="V39" s="586"/>
      <c r="W39" s="570"/>
      <c r="X39" s="583"/>
      <c r="Y39" s="584"/>
    </row>
    <row r="40" spans="2:25" x14ac:dyDescent="0.25">
      <c r="I40" s="587"/>
      <c r="J40" s="586"/>
      <c r="K40" s="586"/>
      <c r="L40" s="586"/>
      <c r="M40" s="586"/>
      <c r="N40" s="586"/>
      <c r="O40" s="586"/>
      <c r="P40" s="586"/>
      <c r="Q40" s="586"/>
      <c r="R40" s="586"/>
      <c r="S40" s="586"/>
      <c r="T40" s="586"/>
      <c r="U40" s="586"/>
      <c r="V40" s="586"/>
      <c r="W40" s="570"/>
      <c r="X40" s="591"/>
      <c r="Y40" s="593"/>
    </row>
    <row r="41" spans="2:25" x14ac:dyDescent="0.25">
      <c r="I41" s="570"/>
      <c r="J41" s="570"/>
      <c r="K41" s="570"/>
      <c r="L41" s="570"/>
      <c r="M41" s="570"/>
      <c r="N41" s="570"/>
      <c r="O41" s="570"/>
      <c r="P41" s="570"/>
      <c r="Q41" s="570"/>
      <c r="R41" s="570"/>
      <c r="S41" s="570"/>
      <c r="T41" s="570"/>
      <c r="U41" s="570"/>
      <c r="V41" s="570"/>
      <c r="W41" s="570"/>
      <c r="X41" s="591"/>
      <c r="Y41" s="593"/>
    </row>
    <row r="42" spans="2:25" x14ac:dyDescent="0.25">
      <c r="I42" s="572"/>
      <c r="J42" s="573"/>
      <c r="K42" s="574"/>
      <c r="L42" s="573"/>
      <c r="M42" s="574"/>
      <c r="N42" s="573"/>
      <c r="O42" s="574"/>
      <c r="P42" s="573"/>
      <c r="Q42" s="574"/>
      <c r="R42" s="573"/>
      <c r="S42" s="574"/>
      <c r="T42" s="573"/>
      <c r="U42" s="574"/>
      <c r="V42" s="573"/>
      <c r="W42" s="570"/>
      <c r="X42" s="591"/>
      <c r="Y42" s="593"/>
    </row>
    <row r="43" spans="2:25" x14ac:dyDescent="0.25">
      <c r="I43" s="572"/>
      <c r="J43" s="574"/>
      <c r="K43" s="575"/>
      <c r="L43" s="574"/>
      <c r="M43" s="575"/>
      <c r="N43" s="574"/>
      <c r="O43" s="575"/>
      <c r="P43" s="574"/>
      <c r="Q43" s="576"/>
      <c r="R43" s="574"/>
      <c r="S43" s="575"/>
      <c r="T43" s="574"/>
      <c r="U43" s="575"/>
      <c r="V43" s="574"/>
      <c r="W43" s="570"/>
      <c r="X43" s="592"/>
      <c r="Y43" s="590"/>
    </row>
    <row r="44" spans="2:25" x14ac:dyDescent="0.25">
      <c r="I44" s="579"/>
      <c r="J44" s="580"/>
      <c r="K44" s="581"/>
      <c r="L44" s="580"/>
      <c r="M44" s="581"/>
      <c r="N44" s="580"/>
      <c r="O44" s="582"/>
      <c r="P44" s="580"/>
      <c r="Q44" s="581"/>
      <c r="R44" s="580"/>
      <c r="S44" s="581"/>
      <c r="T44" s="580"/>
      <c r="U44" s="582"/>
      <c r="V44" s="580"/>
      <c r="W44" s="570"/>
      <c r="X44" s="583"/>
      <c r="Y44" s="584"/>
    </row>
    <row r="45" spans="2:25" x14ac:dyDescent="0.25">
      <c r="I45" s="579"/>
      <c r="J45" s="580"/>
      <c r="K45" s="581"/>
      <c r="L45" s="580"/>
      <c r="M45" s="581"/>
      <c r="N45" s="580"/>
      <c r="O45" s="582"/>
      <c r="P45" s="580"/>
      <c r="Q45" s="581"/>
      <c r="R45" s="580"/>
      <c r="S45" s="581"/>
      <c r="T45" s="580"/>
      <c r="U45" s="582"/>
      <c r="V45" s="580"/>
      <c r="W45" s="570"/>
      <c r="X45" s="583"/>
      <c r="Y45" s="584"/>
    </row>
    <row r="46" spans="2:25" x14ac:dyDescent="0.25">
      <c r="I46" s="585"/>
      <c r="J46" s="586"/>
      <c r="K46" s="581"/>
      <c r="L46" s="586"/>
      <c r="M46" s="581"/>
      <c r="N46" s="586"/>
      <c r="O46" s="582"/>
      <c r="P46" s="586"/>
      <c r="Q46" s="581"/>
      <c r="R46" s="586"/>
      <c r="S46" s="581"/>
      <c r="T46" s="586"/>
      <c r="U46" s="582"/>
      <c r="V46" s="586"/>
      <c r="W46" s="570"/>
      <c r="X46" s="583"/>
      <c r="Y46" s="584"/>
    </row>
    <row r="47" spans="2:25" x14ac:dyDescent="0.25">
      <c r="H47" s="88"/>
      <c r="I47" s="579"/>
      <c r="J47" s="580"/>
      <c r="K47" s="581"/>
      <c r="L47" s="580"/>
      <c r="M47" s="581"/>
      <c r="N47" s="580"/>
      <c r="O47" s="582"/>
      <c r="P47" s="580"/>
      <c r="Q47" s="581"/>
      <c r="R47" s="580"/>
      <c r="S47" s="581"/>
      <c r="T47" s="580"/>
      <c r="U47" s="582"/>
      <c r="V47" s="580"/>
      <c r="W47" s="570"/>
      <c r="X47" s="583"/>
      <c r="Y47" s="584"/>
    </row>
    <row r="48" spans="2:25" x14ac:dyDescent="0.25">
      <c r="H48" s="88"/>
      <c r="I48" s="570"/>
      <c r="J48" s="570"/>
      <c r="K48" s="570"/>
      <c r="L48" s="570"/>
      <c r="M48" s="570"/>
      <c r="N48" s="570"/>
      <c r="O48" s="570"/>
      <c r="P48" s="570"/>
      <c r="Q48" s="570"/>
      <c r="R48" s="570"/>
      <c r="S48" s="570"/>
      <c r="T48" s="570"/>
      <c r="U48" s="570"/>
      <c r="V48" s="570"/>
      <c r="W48" s="570"/>
      <c r="X48" s="583"/>
      <c r="Y48" s="588"/>
    </row>
    <row r="49" spans="8:25" x14ac:dyDescent="0.25">
      <c r="H49" s="88"/>
      <c r="I49" s="579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83"/>
      <c r="Y49" s="588"/>
    </row>
    <row r="50" spans="8:25" x14ac:dyDescent="0.25">
      <c r="H50" s="88"/>
      <c r="I50" s="572"/>
      <c r="J50" s="573"/>
      <c r="K50" s="574"/>
      <c r="L50" s="573"/>
      <c r="M50" s="574"/>
      <c r="N50" s="573"/>
      <c r="O50" s="574"/>
      <c r="P50" s="573"/>
      <c r="Q50" s="574"/>
      <c r="R50" s="573"/>
      <c r="S50" s="574"/>
      <c r="T50" s="573"/>
      <c r="U50" s="574"/>
      <c r="V50" s="573"/>
      <c r="W50" s="570"/>
      <c r="X50" s="583"/>
      <c r="Y50" s="588"/>
    </row>
    <row r="51" spans="8:25" x14ac:dyDescent="0.25">
      <c r="H51" s="74"/>
      <c r="I51" s="572"/>
      <c r="J51" s="574"/>
      <c r="K51" s="575"/>
      <c r="L51" s="574"/>
      <c r="M51" s="575"/>
      <c r="N51" s="574"/>
      <c r="O51" s="575"/>
      <c r="P51" s="574"/>
      <c r="Q51" s="575"/>
      <c r="R51" s="574"/>
      <c r="S51" s="575"/>
      <c r="T51" s="574"/>
      <c r="U51" s="575"/>
      <c r="V51" s="574"/>
      <c r="W51" s="570"/>
      <c r="X51" s="592"/>
      <c r="Y51" s="588"/>
    </row>
    <row r="52" spans="8:25" x14ac:dyDescent="0.25">
      <c r="H52" s="74"/>
      <c r="I52" s="585"/>
      <c r="J52" s="586"/>
      <c r="K52" s="581"/>
      <c r="L52" s="586"/>
      <c r="M52" s="581"/>
      <c r="N52" s="586"/>
      <c r="O52" s="582"/>
      <c r="P52" s="586"/>
      <c r="Q52" s="581"/>
      <c r="R52" s="586"/>
      <c r="S52" s="581"/>
      <c r="T52" s="586"/>
      <c r="U52" s="582"/>
      <c r="V52" s="586"/>
      <c r="W52" s="570"/>
      <c r="X52" s="583"/>
      <c r="Y52" s="584"/>
    </row>
    <row r="53" spans="8:25" x14ac:dyDescent="0.25">
      <c r="H53" s="88"/>
      <c r="I53" s="579"/>
      <c r="J53" s="580"/>
      <c r="K53" s="581"/>
      <c r="L53" s="580"/>
      <c r="M53" s="581"/>
      <c r="N53" s="580"/>
      <c r="O53" s="582"/>
      <c r="P53" s="580"/>
      <c r="Q53" s="581"/>
      <c r="R53" s="580"/>
      <c r="S53" s="581"/>
      <c r="T53" s="580"/>
      <c r="U53" s="582"/>
      <c r="V53" s="580"/>
      <c r="W53" s="570"/>
      <c r="X53" s="583"/>
      <c r="Y53" s="584"/>
    </row>
    <row r="54" spans="8:25" x14ac:dyDescent="0.25">
      <c r="H54" s="90"/>
      <c r="I54" s="579"/>
      <c r="J54" s="580"/>
      <c r="K54" s="581"/>
      <c r="L54" s="580"/>
      <c r="M54" s="581"/>
      <c r="N54" s="580"/>
      <c r="O54" s="582"/>
      <c r="P54" s="580"/>
      <c r="Q54" s="581"/>
      <c r="R54" s="580"/>
      <c r="S54" s="581"/>
      <c r="T54" s="580"/>
      <c r="U54" s="582"/>
      <c r="V54" s="580"/>
      <c r="W54" s="570"/>
      <c r="X54" s="583"/>
      <c r="Y54" s="584"/>
    </row>
    <row r="55" spans="8:25" x14ac:dyDescent="0.25">
      <c r="H55" s="26"/>
      <c r="I55" s="570"/>
      <c r="J55" s="570"/>
      <c r="K55" s="570"/>
      <c r="L55" s="570"/>
      <c r="M55" s="594"/>
      <c r="N55" s="570"/>
      <c r="O55" s="570"/>
      <c r="P55" s="570"/>
      <c r="Q55" s="570"/>
      <c r="R55" s="570"/>
      <c r="S55" s="570"/>
      <c r="T55" s="570"/>
      <c r="U55" s="570"/>
      <c r="V55" s="570"/>
      <c r="W55" s="570"/>
      <c r="X55" s="570"/>
      <c r="Y55" s="570"/>
    </row>
    <row r="56" spans="8:25" x14ac:dyDescent="0.25">
      <c r="H56" s="440"/>
      <c r="I56" s="570"/>
      <c r="J56" s="570"/>
      <c r="K56" s="570"/>
      <c r="L56" s="570"/>
      <c r="M56" s="594"/>
      <c r="N56" s="570"/>
      <c r="O56" s="570"/>
      <c r="P56" s="570"/>
      <c r="Q56" s="570"/>
      <c r="R56" s="570"/>
      <c r="S56" s="570"/>
      <c r="T56" s="570"/>
      <c r="U56" s="570"/>
      <c r="V56" s="570"/>
      <c r="W56" s="570"/>
      <c r="X56" s="570"/>
      <c r="Y56" s="570"/>
    </row>
    <row r="57" spans="8:25" x14ac:dyDescent="0.25">
      <c r="H57" s="88"/>
      <c r="I57" s="570"/>
      <c r="J57" s="570"/>
      <c r="K57" s="570"/>
      <c r="L57" s="570"/>
      <c r="M57" s="594"/>
      <c r="N57" s="570"/>
      <c r="O57" s="570"/>
      <c r="P57" s="570"/>
      <c r="Q57" s="570"/>
      <c r="R57" s="570"/>
      <c r="S57" s="570"/>
      <c r="T57" s="570"/>
      <c r="U57" s="570"/>
      <c r="V57" s="570"/>
      <c r="W57" s="570"/>
      <c r="X57" s="570"/>
      <c r="Y57" s="570"/>
    </row>
    <row r="58" spans="8:25" x14ac:dyDescent="0.25">
      <c r="H58" s="90"/>
      <c r="I58" s="570"/>
      <c r="J58" s="570"/>
      <c r="K58" s="570"/>
      <c r="L58" s="570"/>
      <c r="M58" s="594"/>
      <c r="N58" s="570"/>
      <c r="O58" s="570"/>
      <c r="P58" s="570"/>
      <c r="Q58" s="570"/>
      <c r="R58" s="570"/>
      <c r="S58" s="570"/>
      <c r="T58" s="570"/>
      <c r="U58" s="570"/>
      <c r="V58" s="570"/>
      <c r="W58" s="570"/>
      <c r="X58" s="570"/>
      <c r="Y58" s="570"/>
    </row>
    <row r="59" spans="8:25" x14ac:dyDescent="0.25">
      <c r="H59" s="26"/>
      <c r="I59" s="570"/>
      <c r="J59" s="570"/>
      <c r="K59" s="570"/>
      <c r="L59" s="570"/>
      <c r="M59" s="594"/>
      <c r="N59" s="570"/>
      <c r="O59" s="570"/>
      <c r="P59" s="570"/>
      <c r="Q59" s="570"/>
      <c r="R59" s="570"/>
      <c r="S59" s="570"/>
      <c r="T59" s="570"/>
      <c r="U59" s="570"/>
      <c r="V59" s="570"/>
      <c r="W59" s="570"/>
      <c r="X59" s="570"/>
      <c r="Y59" s="570"/>
    </row>
    <row r="60" spans="8:25" x14ac:dyDescent="0.25">
      <c r="H60" s="525"/>
      <c r="I60" s="570"/>
      <c r="J60" s="570"/>
      <c r="K60" s="570"/>
      <c r="L60" s="570"/>
      <c r="M60" s="594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</row>
    <row r="61" spans="8:25" x14ac:dyDescent="0.25">
      <c r="H61" s="525"/>
      <c r="I61" s="570"/>
      <c r="J61" s="570"/>
      <c r="K61" s="570"/>
      <c r="L61" s="570"/>
      <c r="M61" s="594"/>
      <c r="N61" s="570"/>
      <c r="O61" s="570"/>
      <c r="P61" s="570"/>
      <c r="Q61" s="570"/>
      <c r="R61" s="570"/>
      <c r="S61" s="570"/>
      <c r="T61" s="570"/>
      <c r="U61" s="570"/>
      <c r="V61" s="570"/>
      <c r="W61" s="570"/>
      <c r="X61" s="570"/>
      <c r="Y61" s="570"/>
    </row>
    <row r="62" spans="8:25" x14ac:dyDescent="0.25">
      <c r="H62" s="88"/>
      <c r="I62" s="570"/>
      <c r="J62" s="570"/>
      <c r="K62" s="570"/>
      <c r="L62" s="570"/>
      <c r="M62" s="594"/>
      <c r="N62" s="570"/>
      <c r="O62" s="570"/>
      <c r="P62" s="570"/>
      <c r="Q62" s="570"/>
      <c r="R62" s="570"/>
      <c r="S62" s="570"/>
      <c r="T62" s="570"/>
      <c r="U62" s="570"/>
      <c r="V62" s="570"/>
      <c r="W62" s="570"/>
      <c r="X62" s="570"/>
      <c r="Y62" s="570"/>
    </row>
    <row r="63" spans="8:25" x14ac:dyDescent="0.25">
      <c r="H63" s="90"/>
      <c r="I63" s="570"/>
      <c r="J63" s="570"/>
      <c r="K63" s="570"/>
      <c r="L63" s="570"/>
      <c r="M63" s="594"/>
      <c r="N63" s="570"/>
      <c r="O63" s="570"/>
      <c r="P63" s="570"/>
      <c r="Q63" s="570"/>
      <c r="R63" s="570"/>
      <c r="S63" s="570"/>
      <c r="T63" s="570"/>
      <c r="U63" s="570"/>
      <c r="V63" s="570"/>
      <c r="W63" s="570"/>
      <c r="X63" s="570"/>
      <c r="Y63" s="570"/>
    </row>
    <row r="64" spans="8:25" x14ac:dyDescent="0.25">
      <c r="H64" s="91"/>
      <c r="I64" s="570"/>
      <c r="J64" s="570"/>
      <c r="K64" s="570"/>
      <c r="L64" s="570"/>
      <c r="M64" s="594"/>
      <c r="N64" s="570"/>
      <c r="O64" s="570"/>
      <c r="P64" s="570"/>
      <c r="Q64" s="570"/>
      <c r="R64" s="570"/>
      <c r="S64" s="570"/>
      <c r="T64" s="570"/>
      <c r="U64" s="570"/>
      <c r="V64" s="570"/>
      <c r="W64" s="570"/>
      <c r="X64" s="570"/>
      <c r="Y64" s="570"/>
    </row>
    <row r="65" spans="8:25" x14ac:dyDescent="0.25">
      <c r="H65" s="26"/>
      <c r="I65" s="570"/>
      <c r="J65" s="570"/>
      <c r="K65" s="570"/>
      <c r="L65" s="570"/>
      <c r="M65" s="594"/>
      <c r="N65" s="570"/>
      <c r="O65" s="570"/>
      <c r="P65" s="570"/>
      <c r="Q65" s="570"/>
      <c r="R65" s="570"/>
      <c r="S65" s="570"/>
      <c r="T65" s="570"/>
      <c r="U65" s="570"/>
      <c r="V65" s="570"/>
      <c r="W65" s="570"/>
      <c r="X65" s="570"/>
      <c r="Y65" s="570"/>
    </row>
    <row r="66" spans="8:25" x14ac:dyDescent="0.25">
      <c r="H66" s="26"/>
      <c r="I66" s="570"/>
      <c r="J66" s="570"/>
      <c r="K66" s="570"/>
      <c r="L66" s="570"/>
      <c r="M66" s="594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</row>
    <row r="67" spans="8:25" x14ac:dyDescent="0.25">
      <c r="H67" s="26"/>
      <c r="I67" s="570"/>
      <c r="J67" s="570"/>
      <c r="K67" s="570"/>
      <c r="L67" s="570"/>
      <c r="M67" s="594"/>
      <c r="N67" s="570"/>
      <c r="O67" s="570"/>
      <c r="P67" s="570"/>
      <c r="Q67" s="570"/>
      <c r="R67" s="570"/>
      <c r="S67" s="570"/>
      <c r="T67" s="570"/>
      <c r="U67" s="570"/>
      <c r="V67" s="570"/>
      <c r="W67" s="570"/>
      <c r="X67" s="570"/>
      <c r="Y67" s="570"/>
    </row>
    <row r="68" spans="8:25" x14ac:dyDescent="0.25">
      <c r="H68" s="26"/>
      <c r="I68" s="26"/>
      <c r="J68" s="26"/>
    </row>
    <row r="69" spans="8:25" x14ac:dyDescent="0.25">
      <c r="H69" s="26"/>
      <c r="I69" s="26"/>
      <c r="J69" s="26"/>
    </row>
    <row r="70" spans="8:25" x14ac:dyDescent="0.25">
      <c r="H70" s="26"/>
      <c r="I70" s="26"/>
      <c r="J70" s="26"/>
    </row>
    <row r="71" spans="8:25" x14ac:dyDescent="0.25">
      <c r="H71" s="26"/>
      <c r="I71" s="26"/>
      <c r="J71" s="26"/>
    </row>
    <row r="72" spans="8:25" x14ac:dyDescent="0.25">
      <c r="H72" s="26"/>
      <c r="I72" s="26"/>
      <c r="J72" s="26"/>
    </row>
    <row r="73" spans="8:25" x14ac:dyDescent="0.25">
      <c r="H73" s="26"/>
      <c r="I73" s="26"/>
      <c r="J73" s="26"/>
    </row>
    <row r="74" spans="8:25" x14ac:dyDescent="0.25">
      <c r="H74" s="26"/>
      <c r="I74" s="26"/>
      <c r="J74" s="26"/>
    </row>
    <row r="75" spans="8:25" x14ac:dyDescent="0.25">
      <c r="H75" s="26"/>
      <c r="I75" s="26"/>
      <c r="J75" s="26"/>
    </row>
    <row r="76" spans="8:25" x14ac:dyDescent="0.25">
      <c r="H76" s="26"/>
      <c r="I76" s="26"/>
      <c r="J76" s="26"/>
    </row>
    <row r="77" spans="8:25" x14ac:dyDescent="0.25">
      <c r="H77" s="26"/>
      <c r="I77" s="26"/>
      <c r="J77" s="26"/>
    </row>
    <row r="78" spans="8:25" x14ac:dyDescent="0.25">
      <c r="H78" s="26"/>
      <c r="I78" s="26"/>
      <c r="J78" s="26"/>
    </row>
    <row r="79" spans="8:25" x14ac:dyDescent="0.25">
      <c r="H79" s="26"/>
      <c r="I79" s="26"/>
      <c r="J79" s="26"/>
    </row>
    <row r="80" spans="8:25" x14ac:dyDescent="0.25">
      <c r="H80" s="26"/>
      <c r="I80" s="26"/>
      <c r="J80" s="26"/>
    </row>
    <row r="81" spans="8:10" x14ac:dyDescent="0.25">
      <c r="H81" s="26"/>
      <c r="I81" s="26"/>
      <c r="J81" s="26"/>
    </row>
    <row r="82" spans="8:10" x14ac:dyDescent="0.25">
      <c r="H82" s="26"/>
      <c r="I82" s="26"/>
      <c r="J82" s="26"/>
    </row>
    <row r="83" spans="8:10" x14ac:dyDescent="0.25">
      <c r="H83" s="26"/>
      <c r="I83" s="26"/>
      <c r="J83" s="26"/>
    </row>
  </sheetData>
  <mergeCells count="41">
    <mergeCell ref="I42:I43"/>
    <mergeCell ref="K36:K39"/>
    <mergeCell ref="I50:I51"/>
    <mergeCell ref="Q23:Q26"/>
    <mergeCell ref="Q36:Q39"/>
    <mergeCell ref="Q44:Q47"/>
    <mergeCell ref="O44:O47"/>
    <mergeCell ref="S44:S47"/>
    <mergeCell ref="S52:S54"/>
    <mergeCell ref="H60:H61"/>
    <mergeCell ref="K44:K47"/>
    <mergeCell ref="K52:K54"/>
    <mergeCell ref="Q52:Q54"/>
    <mergeCell ref="O52:O54"/>
    <mergeCell ref="B2:L2"/>
    <mergeCell ref="B3:L3"/>
    <mergeCell ref="B5:B6"/>
    <mergeCell ref="C5:C6"/>
    <mergeCell ref="E5:L5"/>
    <mergeCell ref="E6:L6"/>
    <mergeCell ref="B19:E19"/>
    <mergeCell ref="B27:E27"/>
    <mergeCell ref="D22:E22"/>
    <mergeCell ref="I21:I22"/>
    <mergeCell ref="K23:K26"/>
    <mergeCell ref="U23:U26"/>
    <mergeCell ref="U36:U39"/>
    <mergeCell ref="U44:U47"/>
    <mergeCell ref="U52:U54"/>
    <mergeCell ref="I16:V16"/>
    <mergeCell ref="I18:V19"/>
    <mergeCell ref="M44:M47"/>
    <mergeCell ref="M52:M54"/>
    <mergeCell ref="I34:I35"/>
    <mergeCell ref="I29:I30"/>
    <mergeCell ref="M23:M26"/>
    <mergeCell ref="O23:O26"/>
    <mergeCell ref="O36:O39"/>
    <mergeCell ref="M36:M39"/>
    <mergeCell ref="S23:S26"/>
    <mergeCell ref="S36:S39"/>
  </mergeCells>
  <printOptions horizontalCentered="1"/>
  <pageMargins left="0" right="0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0ADE-495B-49A9-969B-CC12F61CEE21}">
  <sheetPr codeName="Hoja3">
    <pageSetUpPr fitToPage="1"/>
  </sheetPr>
  <dimension ref="A1:L73"/>
  <sheetViews>
    <sheetView topLeftCell="A4" workbookViewId="0">
      <selection activeCell="F58" sqref="F58"/>
    </sheetView>
  </sheetViews>
  <sheetFormatPr baseColWidth="10" defaultColWidth="11.42578125" defaultRowHeight="13.5" x14ac:dyDescent="0.25"/>
  <cols>
    <col min="1" max="1" width="13.5703125" style="193" customWidth="1"/>
    <col min="2" max="2" width="19.7109375" style="193" customWidth="1"/>
    <col min="3" max="3" width="21" style="391" customWidth="1"/>
    <col min="4" max="4" width="17" style="392" customWidth="1"/>
    <col min="5" max="5" width="15" style="187" customWidth="1"/>
    <col min="6" max="6" width="32.85546875" style="391" customWidth="1"/>
    <col min="7" max="7" width="24.42578125" style="193" customWidth="1"/>
    <col min="8" max="8" width="25.140625" style="193" customWidth="1"/>
    <col min="9" max="16384" width="11.42578125" style="187"/>
  </cols>
  <sheetData>
    <row r="1" spans="1:8" ht="23.25" thickBot="1" x14ac:dyDescent="0.35">
      <c r="A1" s="526" t="s">
        <v>102</v>
      </c>
      <c r="B1" s="527"/>
      <c r="C1" s="527"/>
      <c r="D1" s="527"/>
      <c r="E1" s="527"/>
      <c r="F1" s="527"/>
      <c r="G1" s="527"/>
      <c r="H1" s="528"/>
    </row>
    <row r="2" spans="1:8" ht="23.25" thickBot="1" x14ac:dyDescent="0.35">
      <c r="A2" s="529">
        <f ca="1">NOW()</f>
        <v>46204.481823958333</v>
      </c>
      <c r="B2" s="529"/>
      <c r="C2" s="529"/>
      <c r="D2" s="529"/>
      <c r="E2" s="529"/>
      <c r="F2" s="188"/>
      <c r="G2" s="188"/>
      <c r="H2" s="188"/>
    </row>
    <row r="3" spans="1:8" ht="18.75" customHeight="1" thickBot="1" x14ac:dyDescent="0.35">
      <c r="A3" s="189" t="s">
        <v>103</v>
      </c>
      <c r="B3" s="190"/>
      <c r="C3" s="190"/>
      <c r="D3" s="190"/>
      <c r="E3" s="190"/>
      <c r="F3" s="191"/>
      <c r="G3" s="191"/>
      <c r="H3" s="192"/>
    </row>
    <row r="4" spans="1:8" s="193" customFormat="1" ht="12.75" customHeight="1" x14ac:dyDescent="0.25">
      <c r="A4" s="530" t="s">
        <v>104</v>
      </c>
      <c r="B4" s="530" t="s">
        <v>105</v>
      </c>
      <c r="C4" s="530" t="s">
        <v>106</v>
      </c>
      <c r="D4" s="532" t="s">
        <v>107</v>
      </c>
      <c r="E4" s="530" t="s">
        <v>108</v>
      </c>
      <c r="F4" s="530" t="s">
        <v>109</v>
      </c>
      <c r="G4" s="530" t="s">
        <v>110</v>
      </c>
      <c r="H4" s="530" t="s">
        <v>111</v>
      </c>
    </row>
    <row r="5" spans="1:8" s="193" customFormat="1" ht="18" customHeight="1" thickBot="1" x14ac:dyDescent="0.3">
      <c r="A5" s="531"/>
      <c r="B5" s="531"/>
      <c r="C5" s="531"/>
      <c r="D5" s="533"/>
      <c r="E5" s="531"/>
      <c r="F5" s="531"/>
      <c r="G5" s="531"/>
      <c r="H5" s="531"/>
    </row>
    <row r="6" spans="1:8" s="200" customFormat="1" ht="15.95" hidden="1" customHeight="1" x14ac:dyDescent="0.25">
      <c r="A6" s="194" t="s">
        <v>112</v>
      </c>
      <c r="B6" s="195"/>
      <c r="C6" s="196" t="s">
        <v>113</v>
      </c>
      <c r="D6" s="197">
        <v>13532.47</v>
      </c>
      <c r="E6" s="194" t="s">
        <v>114</v>
      </c>
      <c r="F6" s="198" t="s">
        <v>115</v>
      </c>
      <c r="G6" s="199">
        <v>41335.895833333336</v>
      </c>
      <c r="H6" s="199">
        <v>41337.158333333333</v>
      </c>
    </row>
    <row r="7" spans="1:8" s="200" customFormat="1" ht="15.95" hidden="1" customHeight="1" x14ac:dyDescent="0.25">
      <c r="A7" s="201" t="s">
        <v>112</v>
      </c>
      <c r="B7" s="202"/>
      <c r="C7" s="203" t="s">
        <v>113</v>
      </c>
      <c r="D7" s="204"/>
      <c r="E7" s="201" t="s">
        <v>116</v>
      </c>
      <c r="F7" s="205" t="s">
        <v>117</v>
      </c>
      <c r="G7" s="206">
        <v>41338.533333333333</v>
      </c>
      <c r="H7" s="207">
        <v>41340.033333333333</v>
      </c>
    </row>
    <row r="8" spans="1:8" s="200" customFormat="1" ht="15.95" hidden="1" customHeight="1" x14ac:dyDescent="0.25">
      <c r="A8" s="208"/>
      <c r="B8" s="209"/>
      <c r="C8" s="210"/>
      <c r="D8" s="211"/>
      <c r="E8" s="208" t="s">
        <v>118</v>
      </c>
      <c r="F8" s="212" t="s">
        <v>119</v>
      </c>
      <c r="G8" s="213" t="e">
        <v>#REF!</v>
      </c>
      <c r="H8" s="213" t="e">
        <v>#REF!</v>
      </c>
    </row>
    <row r="9" spans="1:8" ht="15.95" hidden="1" customHeight="1" x14ac:dyDescent="0.25">
      <c r="A9" s="214" t="s">
        <v>120</v>
      </c>
      <c r="B9" s="215"/>
      <c r="C9" s="216" t="s">
        <v>113</v>
      </c>
      <c r="D9" s="217">
        <v>13514.351000000001</v>
      </c>
      <c r="E9" s="214" t="s">
        <v>114</v>
      </c>
      <c r="F9" s="218" t="s">
        <v>115</v>
      </c>
      <c r="G9" s="219">
        <v>41341.6875</v>
      </c>
      <c r="H9" s="219">
        <v>41342.887499999997</v>
      </c>
    </row>
    <row r="10" spans="1:8" ht="15.95" hidden="1" customHeight="1" x14ac:dyDescent="0.25">
      <c r="A10" s="220" t="s">
        <v>120</v>
      </c>
      <c r="B10" s="221"/>
      <c r="C10" s="222" t="s">
        <v>113</v>
      </c>
      <c r="D10" s="220"/>
      <c r="E10" s="220" t="s">
        <v>116</v>
      </c>
      <c r="F10" s="223" t="s">
        <v>20</v>
      </c>
      <c r="G10" s="224">
        <v>41343.1175</v>
      </c>
      <c r="H10" s="225">
        <v>41344.708333333336</v>
      </c>
    </row>
    <row r="11" spans="1:8" s="234" customFormat="1" ht="15.95" hidden="1" customHeight="1" x14ac:dyDescent="0.25">
      <c r="A11" s="226"/>
      <c r="B11" s="227"/>
      <c r="C11" s="228" t="s">
        <v>121</v>
      </c>
      <c r="D11" s="229"/>
      <c r="E11" s="230"/>
      <c r="F11" s="231"/>
      <c r="G11" s="232">
        <v>41344.938333333339</v>
      </c>
      <c r="H11" s="233">
        <v>41338</v>
      </c>
    </row>
    <row r="12" spans="1:8" ht="15.95" hidden="1" customHeight="1" x14ac:dyDescent="0.25">
      <c r="A12" s="214" t="s">
        <v>120</v>
      </c>
      <c r="B12" s="215"/>
      <c r="C12" s="216" t="s">
        <v>113</v>
      </c>
      <c r="D12" s="217">
        <v>13514.351000000001</v>
      </c>
      <c r="E12" s="214" t="s">
        <v>114</v>
      </c>
      <c r="F12" s="218" t="s">
        <v>115</v>
      </c>
      <c r="G12" s="219">
        <v>41341.6875</v>
      </c>
      <c r="H12" s="219">
        <v>41342.887499999997</v>
      </c>
    </row>
    <row r="13" spans="1:8" ht="15.95" hidden="1" customHeight="1" x14ac:dyDescent="0.25">
      <c r="A13" s="220" t="s">
        <v>120</v>
      </c>
      <c r="B13" s="221"/>
      <c r="C13" s="222" t="s">
        <v>113</v>
      </c>
      <c r="D13" s="220"/>
      <c r="E13" s="220" t="s">
        <v>116</v>
      </c>
      <c r="F13" s="223" t="s">
        <v>20</v>
      </c>
      <c r="G13" s="224" t="e">
        <v>#REF!</v>
      </c>
      <c r="H13" s="225">
        <v>41344.708333333336</v>
      </c>
    </row>
    <row r="14" spans="1:8" ht="15.95" hidden="1" customHeight="1" x14ac:dyDescent="0.25">
      <c r="A14" s="226"/>
      <c r="B14" s="227"/>
      <c r="C14" s="228" t="s">
        <v>121</v>
      </c>
      <c r="D14" s="229"/>
      <c r="E14" s="230"/>
      <c r="F14" s="231"/>
      <c r="G14" s="232" t="e">
        <v>#REF!</v>
      </c>
      <c r="H14" s="233">
        <v>41338</v>
      </c>
    </row>
    <row r="15" spans="1:8" ht="15.95" hidden="1" customHeight="1" x14ac:dyDescent="0.25">
      <c r="A15" s="235"/>
      <c r="B15" s="236"/>
      <c r="C15" s="237" t="s">
        <v>122</v>
      </c>
      <c r="D15" s="238">
        <v>2000</v>
      </c>
      <c r="E15" s="238" t="s">
        <v>114</v>
      </c>
      <c r="F15" s="239" t="s">
        <v>115</v>
      </c>
      <c r="G15" s="240">
        <v>41435</v>
      </c>
      <c r="H15" s="241">
        <v>41436</v>
      </c>
    </row>
    <row r="16" spans="1:8" ht="15.95" hidden="1" customHeight="1" x14ac:dyDescent="0.25">
      <c r="A16" s="242"/>
      <c r="B16" s="243"/>
      <c r="C16" s="244" t="s">
        <v>123</v>
      </c>
      <c r="D16" s="245">
        <v>4500</v>
      </c>
      <c r="E16" s="245" t="s">
        <v>114</v>
      </c>
      <c r="F16" s="246" t="s">
        <v>124</v>
      </c>
      <c r="G16" s="247">
        <v>41439.356666666667</v>
      </c>
      <c r="H16" s="248">
        <v>41440.356666666667</v>
      </c>
    </row>
    <row r="17" spans="1:8" ht="15.95" hidden="1" customHeight="1" x14ac:dyDescent="0.25">
      <c r="A17" s="249"/>
      <c r="B17" s="250"/>
      <c r="C17" s="251" t="s">
        <v>122</v>
      </c>
      <c r="D17" s="252">
        <v>2000</v>
      </c>
      <c r="E17" s="252" t="s">
        <v>116</v>
      </c>
      <c r="F17" s="253" t="s">
        <v>125</v>
      </c>
      <c r="G17" s="254">
        <v>41442.080000000002</v>
      </c>
      <c r="H17" s="255">
        <v>41443.08</v>
      </c>
    </row>
    <row r="18" spans="1:8" ht="15.95" hidden="1" customHeight="1" x14ac:dyDescent="0.25">
      <c r="A18" s="242"/>
      <c r="B18" s="243"/>
      <c r="C18" s="244" t="s">
        <v>123</v>
      </c>
      <c r="D18" s="245">
        <v>4500</v>
      </c>
      <c r="E18" s="245" t="s">
        <v>116</v>
      </c>
      <c r="F18" s="246" t="s">
        <v>125</v>
      </c>
      <c r="G18" s="247">
        <v>41443.113333333335</v>
      </c>
      <c r="H18" s="248">
        <v>41444.113333333335</v>
      </c>
    </row>
    <row r="19" spans="1:8" ht="15.95" hidden="1" customHeight="1" x14ac:dyDescent="0.25">
      <c r="A19" s="249"/>
      <c r="B19" s="250"/>
      <c r="C19" s="251" t="s">
        <v>113</v>
      </c>
      <c r="D19" s="252">
        <v>13500</v>
      </c>
      <c r="E19" s="252" t="s">
        <v>114</v>
      </c>
      <c r="F19" s="253" t="s">
        <v>125</v>
      </c>
      <c r="G19" s="254">
        <v>41444.146666666667</v>
      </c>
      <c r="H19" s="255">
        <v>41445.44666666667</v>
      </c>
    </row>
    <row r="20" spans="1:8" ht="15.95" hidden="1" customHeight="1" x14ac:dyDescent="0.25">
      <c r="A20" s="242"/>
      <c r="B20" s="243"/>
      <c r="C20" s="244"/>
      <c r="D20" s="245"/>
      <c r="E20" s="245" t="s">
        <v>116</v>
      </c>
      <c r="F20" s="246" t="s">
        <v>117</v>
      </c>
      <c r="G20" s="247">
        <v>41448.050000000003</v>
      </c>
      <c r="H20" s="248">
        <v>41449.550000000003</v>
      </c>
    </row>
    <row r="21" spans="1:8" ht="15.95" hidden="1" customHeight="1" x14ac:dyDescent="0.25">
      <c r="A21" s="256"/>
      <c r="B21" s="257"/>
      <c r="C21" s="258"/>
      <c r="D21" s="259"/>
      <c r="E21" s="259" t="s">
        <v>114</v>
      </c>
      <c r="F21" s="260" t="s">
        <v>115</v>
      </c>
      <c r="G21" s="261">
        <v>41450.666666666672</v>
      </c>
      <c r="H21" s="262"/>
    </row>
    <row r="22" spans="1:8" ht="15.95" hidden="1" customHeight="1" x14ac:dyDescent="0.25">
      <c r="A22" s="263"/>
      <c r="B22" s="263"/>
      <c r="C22" s="264" t="s">
        <v>121</v>
      </c>
      <c r="D22" s="265"/>
      <c r="E22" s="266"/>
      <c r="F22" s="267"/>
      <c r="G22" s="268">
        <v>41440.212500000001</v>
      </c>
      <c r="H22" s="269">
        <v>41443</v>
      </c>
    </row>
    <row r="23" spans="1:8" ht="15.95" hidden="1" customHeight="1" x14ac:dyDescent="0.25">
      <c r="A23" s="270" t="s">
        <v>126</v>
      </c>
      <c r="B23" s="270"/>
      <c r="C23" s="271" t="s">
        <v>113</v>
      </c>
      <c r="D23" s="272">
        <v>8551.4339999999993</v>
      </c>
      <c r="E23" s="270" t="s">
        <v>114</v>
      </c>
      <c r="F23" s="271" t="s">
        <v>115</v>
      </c>
      <c r="G23" s="273">
        <v>41459.683333333334</v>
      </c>
      <c r="H23" s="273">
        <v>41463.5625</v>
      </c>
    </row>
    <row r="24" spans="1:8" ht="15.95" hidden="1" customHeight="1" x14ac:dyDescent="0.25">
      <c r="A24" s="274" t="s">
        <v>126</v>
      </c>
      <c r="B24" s="274"/>
      <c r="C24" s="275"/>
      <c r="D24" s="276"/>
      <c r="E24" s="274" t="s">
        <v>116</v>
      </c>
      <c r="F24" s="222" t="s">
        <v>20</v>
      </c>
      <c r="G24" s="277">
        <v>41463.770972222221</v>
      </c>
      <c r="H24" s="277">
        <v>41464.916666666664</v>
      </c>
    </row>
    <row r="25" spans="1:8" ht="15.95" hidden="1" customHeight="1" x14ac:dyDescent="0.25">
      <c r="A25" s="270" t="s">
        <v>127</v>
      </c>
      <c r="B25" s="270"/>
      <c r="C25" s="271" t="s">
        <v>113</v>
      </c>
      <c r="D25" s="278">
        <v>13509.358</v>
      </c>
      <c r="E25" s="270" t="s">
        <v>114</v>
      </c>
      <c r="F25" s="271" t="s">
        <v>115</v>
      </c>
      <c r="G25" s="273">
        <v>41465.104305555556</v>
      </c>
      <c r="H25" s="273">
        <v>41466.45416666667</v>
      </c>
    </row>
    <row r="26" spans="1:8" ht="15.95" hidden="1" customHeight="1" x14ac:dyDescent="0.25">
      <c r="A26" s="279" t="s">
        <v>127</v>
      </c>
      <c r="B26" s="279"/>
      <c r="C26" s="280"/>
      <c r="D26" s="279"/>
      <c r="E26" s="279" t="s">
        <v>116</v>
      </c>
      <c r="F26" s="280" t="s">
        <v>117</v>
      </c>
      <c r="G26" s="281">
        <v>41467.770833333336</v>
      </c>
      <c r="H26" s="281">
        <v>41469.4375</v>
      </c>
    </row>
    <row r="27" spans="1:8" ht="15.95" hidden="1" customHeight="1" x14ac:dyDescent="0.25">
      <c r="A27" s="282"/>
      <c r="B27" s="282"/>
      <c r="C27" s="283" t="s">
        <v>118</v>
      </c>
      <c r="D27" s="284"/>
      <c r="E27" s="282" t="s">
        <v>114</v>
      </c>
      <c r="F27" s="283" t="s">
        <v>119</v>
      </c>
      <c r="G27" s="285">
        <v>41470.020833333336</v>
      </c>
      <c r="H27" s="285">
        <v>41471.260416666664</v>
      </c>
    </row>
    <row r="28" spans="1:8" ht="15.95" hidden="1" customHeight="1" x14ac:dyDescent="0.25">
      <c r="A28" s="270" t="s">
        <v>128</v>
      </c>
      <c r="B28" s="270"/>
      <c r="C28" s="271" t="s">
        <v>113</v>
      </c>
      <c r="D28" s="278">
        <v>13517.241</v>
      </c>
      <c r="E28" s="270" t="s">
        <v>114</v>
      </c>
      <c r="F28" s="271" t="s">
        <v>115</v>
      </c>
      <c r="G28" s="273">
        <v>41471.82916666667</v>
      </c>
      <c r="H28" s="273">
        <v>41472.995833333334</v>
      </c>
    </row>
    <row r="29" spans="1:8" ht="15.95" hidden="1" customHeight="1" x14ac:dyDescent="0.25">
      <c r="A29" s="274" t="s">
        <v>128</v>
      </c>
      <c r="B29" s="274"/>
      <c r="C29" s="275"/>
      <c r="D29" s="286"/>
      <c r="E29" s="274" t="s">
        <v>116</v>
      </c>
      <c r="F29" s="275" t="s">
        <v>117</v>
      </c>
      <c r="G29" s="277">
        <v>41474.416666666664</v>
      </c>
      <c r="H29" s="277">
        <v>41475.887499999997</v>
      </c>
    </row>
    <row r="30" spans="1:8" ht="15.95" hidden="1" customHeight="1" x14ac:dyDescent="0.25">
      <c r="A30" s="287" t="s">
        <v>129</v>
      </c>
      <c r="B30" s="287"/>
      <c r="C30" s="271" t="s">
        <v>113</v>
      </c>
      <c r="D30" s="288">
        <v>12518.14</v>
      </c>
      <c r="E30" s="270" t="s">
        <v>114</v>
      </c>
      <c r="F30" s="289" t="s">
        <v>115</v>
      </c>
      <c r="G30" s="273">
        <v>41476.962500000001</v>
      </c>
      <c r="H30" s="290">
        <v>41478.074999999997</v>
      </c>
    </row>
    <row r="31" spans="1:8" ht="15.95" hidden="1" customHeight="1" x14ac:dyDescent="0.25">
      <c r="A31" s="291" t="s">
        <v>129</v>
      </c>
      <c r="B31" s="291"/>
      <c r="C31" s="280"/>
      <c r="D31" s="292"/>
      <c r="E31" s="279" t="s">
        <v>116</v>
      </c>
      <c r="F31" s="293" t="s">
        <v>20</v>
      </c>
      <c r="G31" s="281">
        <v>41478.300000000003</v>
      </c>
      <c r="H31" s="294">
        <v>41482.870833333334</v>
      </c>
    </row>
    <row r="32" spans="1:8" ht="15.95" hidden="1" customHeight="1" x14ac:dyDescent="0.25">
      <c r="A32" s="287" t="s">
        <v>130</v>
      </c>
      <c r="B32" s="287"/>
      <c r="C32" s="271" t="s">
        <v>113</v>
      </c>
      <c r="D32" s="288">
        <v>10021.128000000001</v>
      </c>
      <c r="E32" s="270" t="s">
        <v>114</v>
      </c>
      <c r="F32" s="289" t="s">
        <v>115</v>
      </c>
      <c r="G32" s="273">
        <v>41483.074999999997</v>
      </c>
      <c r="H32" s="290">
        <v>41485.9375</v>
      </c>
    </row>
    <row r="33" spans="1:12" ht="15.95" hidden="1" customHeight="1" x14ac:dyDescent="0.25">
      <c r="A33" s="291" t="s">
        <v>130</v>
      </c>
      <c r="B33" s="291"/>
      <c r="C33" s="280"/>
      <c r="D33" s="292"/>
      <c r="E33" s="279" t="s">
        <v>116</v>
      </c>
      <c r="F33" s="293" t="s">
        <v>20</v>
      </c>
      <c r="G33" s="281">
        <v>41486.145833333336</v>
      </c>
      <c r="H33" s="294">
        <v>41487.541666666664</v>
      </c>
    </row>
    <row r="34" spans="1:12" ht="15.95" hidden="1" customHeight="1" x14ac:dyDescent="0.25">
      <c r="A34" s="287" t="s">
        <v>131</v>
      </c>
      <c r="B34" s="287"/>
      <c r="C34" s="271" t="s">
        <v>113</v>
      </c>
      <c r="D34" s="288">
        <v>13517.989</v>
      </c>
      <c r="E34" s="270" t="s">
        <v>114</v>
      </c>
      <c r="F34" s="289" t="s">
        <v>115</v>
      </c>
      <c r="G34" s="273">
        <v>41487.737500000003</v>
      </c>
      <c r="H34" s="290">
        <v>41488.958333333336</v>
      </c>
    </row>
    <row r="35" spans="1:12" ht="15.95" hidden="1" customHeight="1" x14ac:dyDescent="0.25">
      <c r="A35" s="291" t="s">
        <v>131</v>
      </c>
      <c r="B35" s="291"/>
      <c r="C35" s="280"/>
      <c r="D35" s="292"/>
      <c r="E35" s="279" t="s">
        <v>116</v>
      </c>
      <c r="F35" s="293" t="s">
        <v>132</v>
      </c>
      <c r="G35" s="281">
        <v>41490.337500000001</v>
      </c>
      <c r="H35" s="294">
        <v>41492.383333333331</v>
      </c>
    </row>
    <row r="36" spans="1:12" ht="15.95" hidden="1" customHeight="1" x14ac:dyDescent="0.25">
      <c r="A36" s="287" t="s">
        <v>133</v>
      </c>
      <c r="B36" s="287"/>
      <c r="C36" s="271" t="s">
        <v>113</v>
      </c>
      <c r="D36" s="288">
        <v>13517.645</v>
      </c>
      <c r="E36" s="270" t="s">
        <v>114</v>
      </c>
      <c r="F36" s="289" t="s">
        <v>115</v>
      </c>
      <c r="G36" s="273">
        <v>41493.458333333336</v>
      </c>
      <c r="H36" s="290">
        <v>41494.675000000003</v>
      </c>
    </row>
    <row r="37" spans="1:12" ht="15.95" hidden="1" customHeight="1" x14ac:dyDescent="0.25">
      <c r="A37" s="291" t="s">
        <v>133</v>
      </c>
      <c r="B37" s="291"/>
      <c r="C37" s="280"/>
      <c r="D37" s="292"/>
      <c r="E37" s="279" t="s">
        <v>116</v>
      </c>
      <c r="F37" s="293" t="s">
        <v>117</v>
      </c>
      <c r="G37" s="281">
        <v>41496.145833333336</v>
      </c>
      <c r="H37" s="294">
        <v>41497.572916666664</v>
      </c>
    </row>
    <row r="38" spans="1:12" ht="15.95" hidden="1" customHeight="1" x14ac:dyDescent="0.25">
      <c r="A38" s="287" t="s">
        <v>134</v>
      </c>
      <c r="B38" s="287"/>
      <c r="C38" s="271" t="s">
        <v>113</v>
      </c>
      <c r="D38" s="288">
        <v>13516.512000000001</v>
      </c>
      <c r="E38" s="270" t="s">
        <v>114</v>
      </c>
      <c r="F38" s="289" t="s">
        <v>115</v>
      </c>
      <c r="G38" s="273">
        <v>41498.708333333336</v>
      </c>
      <c r="H38" s="290">
        <v>41499.9375</v>
      </c>
    </row>
    <row r="39" spans="1:12" ht="15.95" hidden="1" customHeight="1" x14ac:dyDescent="0.25">
      <c r="A39" s="295" t="s">
        <v>134</v>
      </c>
      <c r="B39" s="295"/>
      <c r="C39" s="296"/>
      <c r="D39" s="297"/>
      <c r="E39" s="298" t="s">
        <v>116</v>
      </c>
      <c r="F39" s="299" t="s">
        <v>117</v>
      </c>
      <c r="G39" s="300">
        <v>41501.458333333336</v>
      </c>
      <c r="H39" s="301">
        <v>41502.866666666669</v>
      </c>
    </row>
    <row r="40" spans="1:12" ht="15.95" hidden="1" customHeight="1" x14ac:dyDescent="0.25">
      <c r="A40" s="302"/>
      <c r="B40" s="302"/>
      <c r="C40" s="303" t="s">
        <v>118</v>
      </c>
      <c r="D40" s="304"/>
      <c r="E40" s="304"/>
      <c r="F40" s="305" t="s">
        <v>117</v>
      </c>
      <c r="G40" s="306">
        <v>41602.25</v>
      </c>
      <c r="H40" s="307">
        <v>41602.416666666664</v>
      </c>
    </row>
    <row r="41" spans="1:12" ht="14.25" hidden="1" thickBot="1" x14ac:dyDescent="0.3">
      <c r="A41" s="308"/>
      <c r="B41" s="309"/>
      <c r="C41" s="310" t="s">
        <v>118</v>
      </c>
      <c r="D41" s="304"/>
      <c r="E41" s="304"/>
      <c r="F41" s="305" t="s">
        <v>117</v>
      </c>
      <c r="G41" s="306">
        <v>41735.71875</v>
      </c>
      <c r="H41" s="307">
        <v>41735.958333333336</v>
      </c>
    </row>
    <row r="42" spans="1:12" ht="14.25" hidden="1" thickBot="1" x14ac:dyDescent="0.3">
      <c r="A42" s="308"/>
      <c r="B42" s="309"/>
      <c r="C42" s="310" t="s">
        <v>118</v>
      </c>
      <c r="D42" s="304"/>
      <c r="E42" s="304"/>
      <c r="F42" s="305" t="s">
        <v>117</v>
      </c>
      <c r="G42" s="306">
        <v>41773.357638888891</v>
      </c>
      <c r="H42" s="307">
        <v>41773.625</v>
      </c>
    </row>
    <row r="43" spans="1:12" ht="15.95" hidden="1" customHeight="1" x14ac:dyDescent="0.25">
      <c r="A43" s="308"/>
      <c r="B43" s="309"/>
      <c r="C43" s="310" t="s">
        <v>118</v>
      </c>
      <c r="D43" s="304"/>
      <c r="E43" s="304"/>
      <c r="F43" s="305" t="s">
        <v>135</v>
      </c>
      <c r="G43" s="306">
        <v>41833.097222222219</v>
      </c>
      <c r="H43" s="307">
        <v>41833.770833333336</v>
      </c>
    </row>
    <row r="44" spans="1:12" ht="15.95" hidden="1" customHeight="1" x14ac:dyDescent="0.3">
      <c r="A44" s="311" t="s">
        <v>136</v>
      </c>
      <c r="B44" s="312"/>
      <c r="C44" s="313" t="s">
        <v>113</v>
      </c>
      <c r="D44" s="314">
        <v>13508.393</v>
      </c>
      <c r="E44" s="315" t="s">
        <v>114</v>
      </c>
      <c r="F44" s="316" t="s">
        <v>115</v>
      </c>
      <c r="G44" s="317">
        <v>43664.770833333336</v>
      </c>
      <c r="H44" s="318">
        <v>43665.979166666664</v>
      </c>
      <c r="L44" s="319"/>
    </row>
    <row r="45" spans="1:12" ht="27" hidden="1" customHeight="1" x14ac:dyDescent="0.3">
      <c r="A45" s="320" t="s">
        <v>136</v>
      </c>
      <c r="B45" s="321"/>
      <c r="C45" s="322"/>
      <c r="D45" s="323"/>
      <c r="E45" s="324" t="s">
        <v>116</v>
      </c>
      <c r="F45" s="325" t="s">
        <v>117</v>
      </c>
      <c r="G45" s="326">
        <v>43667.34375</v>
      </c>
      <c r="H45" s="327">
        <v>43669.333333333336</v>
      </c>
      <c r="L45" s="319"/>
    </row>
    <row r="46" spans="1:12" ht="21" hidden="1" customHeight="1" x14ac:dyDescent="0.25">
      <c r="A46" s="328" t="s">
        <v>137</v>
      </c>
      <c r="B46" s="329"/>
      <c r="C46" s="330" t="s">
        <v>113</v>
      </c>
      <c r="D46" s="331">
        <v>10314.526</v>
      </c>
      <c r="E46" s="332" t="s">
        <v>114</v>
      </c>
      <c r="F46" s="333" t="s">
        <v>115</v>
      </c>
      <c r="G46" s="334">
        <v>43820.10833333333</v>
      </c>
      <c r="H46" s="335">
        <v>43821.270833333336</v>
      </c>
      <c r="L46" s="319"/>
    </row>
    <row r="47" spans="1:12" ht="18" hidden="1" customHeight="1" x14ac:dyDescent="0.25">
      <c r="A47" s="336" t="s">
        <v>137</v>
      </c>
      <c r="B47" s="337"/>
      <c r="C47" s="338"/>
      <c r="D47" s="339"/>
      <c r="E47" s="340" t="s">
        <v>116</v>
      </c>
      <c r="F47" s="341" t="s">
        <v>20</v>
      </c>
      <c r="G47" s="342">
        <v>43821.445833333331</v>
      </c>
      <c r="H47" s="343">
        <v>43823.916666666664</v>
      </c>
      <c r="L47" s="319"/>
    </row>
    <row r="48" spans="1:12" ht="18" customHeight="1" x14ac:dyDescent="0.25">
      <c r="A48" s="354" t="s">
        <v>140</v>
      </c>
      <c r="B48" s="355" t="s">
        <v>138</v>
      </c>
      <c r="C48" s="356" t="s">
        <v>113</v>
      </c>
      <c r="D48" s="357">
        <v>10500</v>
      </c>
      <c r="E48" s="358" t="s">
        <v>114</v>
      </c>
      <c r="F48" s="359" t="s">
        <v>115</v>
      </c>
      <c r="G48" s="344">
        <v>44359.395833333336</v>
      </c>
      <c r="H48" s="360">
        <v>44371.833333333336</v>
      </c>
      <c r="L48" s="319"/>
    </row>
    <row r="49" spans="1:12" ht="18" customHeight="1" thickBot="1" x14ac:dyDescent="0.3">
      <c r="A49" s="346" t="s">
        <v>140</v>
      </c>
      <c r="B49" s="347"/>
      <c r="C49" s="348"/>
      <c r="D49" s="349"/>
      <c r="E49" s="350" t="s">
        <v>116</v>
      </c>
      <c r="F49" s="351" t="s">
        <v>139</v>
      </c>
      <c r="G49" s="352">
        <v>44372.858695652176</v>
      </c>
      <c r="H49" s="353">
        <v>44374.758695652177</v>
      </c>
      <c r="L49" s="319"/>
    </row>
    <row r="50" spans="1:12" ht="18" customHeight="1" x14ac:dyDescent="0.25">
      <c r="A50" s="403" t="s">
        <v>144</v>
      </c>
      <c r="B50" s="404" t="s">
        <v>138</v>
      </c>
      <c r="C50" s="405" t="s">
        <v>141</v>
      </c>
      <c r="D50" s="406">
        <v>5000</v>
      </c>
      <c r="E50" s="407" t="s">
        <v>114</v>
      </c>
      <c r="F50" s="408" t="s">
        <v>142</v>
      </c>
      <c r="G50" s="374">
        <v>44375.784057971017</v>
      </c>
      <c r="H50" s="409">
        <v>44377.034057971017</v>
      </c>
      <c r="L50" s="319"/>
    </row>
    <row r="51" spans="1:12" ht="18" customHeight="1" thickBot="1" x14ac:dyDescent="0.3">
      <c r="A51" s="410" t="s">
        <v>144</v>
      </c>
      <c r="B51" s="411"/>
      <c r="C51" s="412"/>
      <c r="D51" s="413"/>
      <c r="E51" s="414" t="s">
        <v>116</v>
      </c>
      <c r="F51" s="415" t="s">
        <v>143</v>
      </c>
      <c r="G51" s="416">
        <v>44378.896376811594</v>
      </c>
      <c r="H51" s="417">
        <v>44380.996376811592</v>
      </c>
      <c r="L51" s="319"/>
    </row>
    <row r="52" spans="1:12" ht="18" customHeight="1" x14ac:dyDescent="0.25">
      <c r="A52" s="354" t="s">
        <v>146</v>
      </c>
      <c r="B52" s="355" t="s">
        <v>138</v>
      </c>
      <c r="C52" s="356" t="s">
        <v>113</v>
      </c>
      <c r="D52" s="357">
        <v>13500</v>
      </c>
      <c r="E52" s="358" t="s">
        <v>114</v>
      </c>
      <c r="F52" s="359" t="s">
        <v>151</v>
      </c>
      <c r="G52" s="344">
        <v>44382.858695652169</v>
      </c>
      <c r="H52" s="360">
        <v>44384.058695652166</v>
      </c>
      <c r="L52" s="319"/>
    </row>
    <row r="53" spans="1:12" ht="18" customHeight="1" thickBot="1" x14ac:dyDescent="0.3">
      <c r="A53" s="346" t="s">
        <v>146</v>
      </c>
      <c r="B53" s="347"/>
      <c r="C53" s="348"/>
      <c r="D53" s="349"/>
      <c r="E53" s="350" t="s">
        <v>116</v>
      </c>
      <c r="F53" s="351" t="s">
        <v>20</v>
      </c>
      <c r="G53" s="366">
        <v>44384.308695652166</v>
      </c>
      <c r="H53" s="353">
        <v>44385.808695652166</v>
      </c>
      <c r="L53" s="319"/>
    </row>
    <row r="54" spans="1:12" ht="18" customHeight="1" x14ac:dyDescent="0.25">
      <c r="A54" s="369" t="s">
        <v>152</v>
      </c>
      <c r="B54" s="418" t="s">
        <v>138</v>
      </c>
      <c r="C54" s="371" t="s">
        <v>141</v>
      </c>
      <c r="D54" s="372">
        <v>7000</v>
      </c>
      <c r="E54" s="370" t="s">
        <v>114</v>
      </c>
      <c r="F54" s="373" t="s">
        <v>142</v>
      </c>
      <c r="G54" s="374">
        <v>44386.058695652166</v>
      </c>
      <c r="H54" s="375">
        <v>44387.758695652163</v>
      </c>
      <c r="L54" s="319"/>
    </row>
    <row r="55" spans="1:12" ht="18" customHeight="1" thickBot="1" x14ac:dyDescent="0.3">
      <c r="A55" s="410" t="s">
        <v>152</v>
      </c>
      <c r="B55" s="411"/>
      <c r="C55" s="412"/>
      <c r="D55" s="413"/>
      <c r="E55" s="414" t="s">
        <v>116</v>
      </c>
      <c r="F55" s="415" t="s">
        <v>143</v>
      </c>
      <c r="G55" s="416">
        <v>44389.621014492739</v>
      </c>
      <c r="H55" s="417">
        <v>44392.121014492739</v>
      </c>
      <c r="L55" s="319"/>
    </row>
    <row r="56" spans="1:12" ht="18" customHeight="1" thickBot="1" x14ac:dyDescent="0.3">
      <c r="A56" s="369" t="s">
        <v>153</v>
      </c>
      <c r="B56" s="418" t="s">
        <v>138</v>
      </c>
      <c r="C56" s="371" t="s">
        <v>154</v>
      </c>
      <c r="D56" s="372">
        <v>2000</v>
      </c>
      <c r="E56" s="370" t="s">
        <v>114</v>
      </c>
      <c r="F56" s="373" t="s">
        <v>155</v>
      </c>
      <c r="G56" s="374">
        <v>44392.149999999987</v>
      </c>
      <c r="H56" s="375">
        <v>44393.249999999985</v>
      </c>
      <c r="L56" s="319"/>
    </row>
    <row r="57" spans="1:12" ht="18" customHeight="1" thickBot="1" x14ac:dyDescent="0.3">
      <c r="A57" s="419"/>
      <c r="B57" s="420"/>
      <c r="C57" s="421" t="s">
        <v>145</v>
      </c>
      <c r="D57" s="422"/>
      <c r="E57" s="423"/>
      <c r="F57" s="424" t="s">
        <v>125</v>
      </c>
      <c r="G57" s="425">
        <v>44393.260869565202</v>
      </c>
      <c r="H57" s="426">
        <v>44394.260869565202</v>
      </c>
      <c r="L57" s="319"/>
    </row>
    <row r="58" spans="1:12" ht="18" customHeight="1" thickBot="1" x14ac:dyDescent="0.3">
      <c r="A58" s="427" t="s">
        <v>153</v>
      </c>
      <c r="B58" s="428"/>
      <c r="C58" s="429"/>
      <c r="D58" s="430"/>
      <c r="E58" s="431" t="s">
        <v>116</v>
      </c>
      <c r="F58" s="432" t="s">
        <v>156</v>
      </c>
      <c r="G58" s="433">
        <v>44397.097826086938</v>
      </c>
      <c r="H58" s="434">
        <v>44398.297826086935</v>
      </c>
      <c r="L58" s="319"/>
    </row>
    <row r="59" spans="1:12" ht="18" customHeight="1" x14ac:dyDescent="0.25">
      <c r="A59" s="354" t="s">
        <v>157</v>
      </c>
      <c r="B59" s="355" t="s">
        <v>138</v>
      </c>
      <c r="C59" s="356" t="s">
        <v>113</v>
      </c>
      <c r="D59" s="357">
        <v>13500</v>
      </c>
      <c r="E59" s="358" t="s">
        <v>114</v>
      </c>
      <c r="F59" s="359" t="s">
        <v>115</v>
      </c>
      <c r="G59" s="344">
        <v>44399.511594202879</v>
      </c>
      <c r="H59" s="360">
        <v>44400.711594202876</v>
      </c>
      <c r="L59" s="319"/>
    </row>
    <row r="60" spans="1:12" ht="18" customHeight="1" thickBot="1" x14ac:dyDescent="0.3">
      <c r="A60" s="361" t="s">
        <v>157</v>
      </c>
      <c r="B60" s="362"/>
      <c r="C60" s="363"/>
      <c r="D60" s="364"/>
      <c r="E60" s="365" t="s">
        <v>116</v>
      </c>
      <c r="F60" s="368" t="s">
        <v>20</v>
      </c>
      <c r="G60" s="366">
        <v>44400.961594202876</v>
      </c>
      <c r="H60" s="367">
        <v>44402.461594202876</v>
      </c>
      <c r="L60" s="319"/>
    </row>
    <row r="61" spans="1:12" ht="20.100000000000001" customHeight="1" x14ac:dyDescent="0.3">
      <c r="A61" s="376"/>
      <c r="B61" s="377"/>
      <c r="C61" s="378"/>
      <c r="D61" s="379"/>
      <c r="E61" s="376"/>
      <c r="F61" s="380"/>
      <c r="G61" s="381"/>
      <c r="H61" s="381"/>
      <c r="I61" s="345"/>
      <c r="J61" s="345"/>
      <c r="K61" s="345"/>
      <c r="L61" s="319"/>
    </row>
    <row r="62" spans="1:12" ht="15" customHeight="1" x14ac:dyDescent="0.3">
      <c r="A62" s="376"/>
      <c r="B62" s="382"/>
      <c r="C62" s="383"/>
      <c r="D62" s="384"/>
      <c r="E62" s="376"/>
      <c r="F62" s="380"/>
      <c r="G62" s="381"/>
      <c r="H62" s="381"/>
      <c r="I62" s="345"/>
      <c r="J62" s="345"/>
      <c r="K62" s="345"/>
      <c r="L62" s="319"/>
    </row>
    <row r="63" spans="1:12" ht="18.75" customHeight="1" x14ac:dyDescent="0.3">
      <c r="A63" s="385" t="s">
        <v>147</v>
      </c>
      <c r="B63" s="385"/>
      <c r="C63" s="385"/>
      <c r="D63" s="386"/>
      <c r="E63" s="376"/>
      <c r="F63" s="380"/>
      <c r="G63" s="381"/>
      <c r="H63" s="381"/>
      <c r="I63" s="345"/>
      <c r="J63" s="345"/>
      <c r="K63" s="345"/>
      <c r="L63" s="319"/>
    </row>
    <row r="64" spans="1:12" ht="13.5" customHeight="1" x14ac:dyDescent="0.3">
      <c r="A64" s="387"/>
      <c r="B64" s="387"/>
      <c r="C64" s="387"/>
      <c r="D64" s="388"/>
      <c r="E64" s="376"/>
      <c r="F64" s="380"/>
      <c r="G64" s="381"/>
      <c r="H64" s="381"/>
      <c r="I64" s="345"/>
      <c r="J64" s="345"/>
      <c r="K64" s="345"/>
      <c r="L64" s="319"/>
    </row>
    <row r="65" spans="1:12" ht="17.25" customHeight="1" x14ac:dyDescent="0.3">
      <c r="A65" s="389" t="s">
        <v>145</v>
      </c>
      <c r="B65" s="389"/>
      <c r="C65" s="389"/>
      <c r="D65" s="390"/>
      <c r="E65" s="376"/>
      <c r="F65" s="380"/>
      <c r="G65" s="381"/>
      <c r="H65" s="381"/>
      <c r="I65" s="345"/>
      <c r="J65" s="345"/>
      <c r="K65" s="345"/>
      <c r="L65" s="319"/>
    </row>
    <row r="66" spans="1:12" ht="24.75" customHeight="1" x14ac:dyDescent="0.3">
      <c r="A66" s="376"/>
      <c r="B66" s="382"/>
      <c r="C66" s="383"/>
      <c r="D66" s="384"/>
      <c r="E66" s="376"/>
      <c r="F66" s="380"/>
      <c r="G66" s="381"/>
      <c r="H66" s="381"/>
      <c r="I66" s="345"/>
      <c r="J66" s="345"/>
      <c r="K66" s="345"/>
      <c r="L66" s="319"/>
    </row>
    <row r="67" spans="1:12" x14ac:dyDescent="0.25">
      <c r="A67" s="187"/>
      <c r="B67" s="187"/>
      <c r="C67" s="187"/>
      <c r="D67" s="187"/>
    </row>
    <row r="68" spans="1:12" x14ac:dyDescent="0.25">
      <c r="A68" s="187"/>
      <c r="B68" s="187"/>
      <c r="C68" s="187"/>
      <c r="D68" s="187"/>
    </row>
    <row r="69" spans="1:12" ht="12.75" customHeight="1" x14ac:dyDescent="0.25"/>
    <row r="70" spans="1:12" ht="17.25" hidden="1" x14ac:dyDescent="0.3">
      <c r="A70" s="393" t="s">
        <v>148</v>
      </c>
      <c r="B70" s="393"/>
      <c r="C70" s="393"/>
      <c r="D70" s="394"/>
    </row>
    <row r="72" spans="1:12" ht="12.75" customHeight="1" x14ac:dyDescent="0.25"/>
    <row r="73" spans="1:12" ht="17.25" hidden="1" x14ac:dyDescent="0.3">
      <c r="A73" s="395" t="s">
        <v>149</v>
      </c>
      <c r="B73" s="395"/>
      <c r="C73" s="395"/>
      <c r="D73" s="396"/>
    </row>
  </sheetData>
  <mergeCells count="10">
    <mergeCell ref="A1:H1"/>
    <mergeCell ref="A2:E2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0CB5-2960-4527-9AAD-A1893C810939}">
  <sheetPr codeName="Hoja4"/>
  <dimension ref="A1:I33"/>
  <sheetViews>
    <sheetView topLeftCell="A28" workbookViewId="0">
      <selection activeCell="A3" sqref="A3:I3"/>
    </sheetView>
  </sheetViews>
  <sheetFormatPr baseColWidth="10" defaultRowHeight="15" x14ac:dyDescent="0.25"/>
  <cols>
    <col min="1" max="1" width="23.28515625" customWidth="1"/>
    <col min="2" max="3" width="0" hidden="1" customWidth="1"/>
    <col min="4" max="4" width="13.42578125" customWidth="1"/>
    <col min="5" max="5" width="19.5703125" customWidth="1"/>
    <col min="6" max="6" width="13.5703125" customWidth="1"/>
    <col min="7" max="7" width="26.5703125" customWidth="1"/>
    <col min="8" max="8" width="16.5703125" customWidth="1"/>
    <col min="9" max="9" width="23.28515625" customWidth="1"/>
  </cols>
  <sheetData>
    <row r="1" spans="1:9" ht="19.5" thickBot="1" x14ac:dyDescent="0.3">
      <c r="A1" s="542" t="s">
        <v>98</v>
      </c>
      <c r="B1" s="543"/>
      <c r="C1" s="543"/>
      <c r="D1" s="543"/>
      <c r="E1" s="543"/>
      <c r="F1" s="543"/>
      <c r="G1" s="543"/>
      <c r="H1" s="543"/>
      <c r="I1" s="544"/>
    </row>
    <row r="2" spans="1:9" ht="15.75" thickBot="1" x14ac:dyDescent="0.3">
      <c r="D2" s="26"/>
      <c r="E2" s="26"/>
    </row>
    <row r="3" spans="1:9" ht="17.25" x14ac:dyDescent="0.3">
      <c r="A3" s="545" t="s">
        <v>36</v>
      </c>
      <c r="B3" s="546"/>
      <c r="C3" s="546"/>
      <c r="D3" s="546"/>
      <c r="E3" s="546"/>
      <c r="F3" s="546"/>
      <c r="G3" s="546"/>
      <c r="H3" s="546"/>
      <c r="I3" s="547"/>
    </row>
    <row r="4" spans="1:9" ht="18" thickBot="1" x14ac:dyDescent="0.35">
      <c r="A4" s="548" t="s">
        <v>94</v>
      </c>
      <c r="B4" s="549"/>
      <c r="C4" s="549"/>
      <c r="D4" s="549"/>
      <c r="E4" s="549"/>
      <c r="F4" s="549"/>
      <c r="G4" s="549"/>
      <c r="H4" s="549"/>
      <c r="I4" s="550"/>
    </row>
    <row r="5" spans="1:9" x14ac:dyDescent="0.25">
      <c r="A5" s="26"/>
    </row>
    <row r="6" spans="1:9" x14ac:dyDescent="0.25">
      <c r="A6" s="74"/>
      <c r="B6" s="9" t="s">
        <v>7</v>
      </c>
      <c r="C6" s="28" t="s">
        <v>37</v>
      </c>
      <c r="D6" s="9" t="s">
        <v>7</v>
      </c>
      <c r="E6" s="55" t="s">
        <v>95</v>
      </c>
      <c r="F6" s="9" t="s">
        <v>7</v>
      </c>
      <c r="G6" s="180" t="s">
        <v>99</v>
      </c>
      <c r="H6" s="9" t="s">
        <v>7</v>
      </c>
      <c r="I6" s="186" t="s">
        <v>100</v>
      </c>
    </row>
    <row r="7" spans="1:9" x14ac:dyDescent="0.25">
      <c r="A7" s="74"/>
      <c r="B7" s="24" t="s">
        <v>41</v>
      </c>
      <c r="C7" s="10" t="s">
        <v>9</v>
      </c>
      <c r="D7" s="24" t="s">
        <v>39</v>
      </c>
      <c r="E7" s="10" t="s">
        <v>9</v>
      </c>
      <c r="F7" s="24" t="s">
        <v>92</v>
      </c>
      <c r="G7" s="10" t="s">
        <v>9</v>
      </c>
      <c r="H7" s="181" t="s">
        <v>97</v>
      </c>
      <c r="I7" s="10" t="s">
        <v>9</v>
      </c>
    </row>
    <row r="8" spans="1:9" x14ac:dyDescent="0.25">
      <c r="A8" s="75" t="s">
        <v>10</v>
      </c>
      <c r="B8" s="19"/>
      <c r="C8" s="76"/>
      <c r="D8" s="19"/>
      <c r="E8" s="76"/>
      <c r="F8" s="19"/>
      <c r="G8" s="76"/>
      <c r="H8" s="19"/>
      <c r="I8" s="76"/>
    </row>
    <row r="9" spans="1:9" x14ac:dyDescent="0.25">
      <c r="A9" s="11" t="s">
        <v>11</v>
      </c>
      <c r="B9" s="537">
        <v>-0.7</v>
      </c>
      <c r="C9" s="12">
        <f>SUM(N9+B9)</f>
        <v>-0.7</v>
      </c>
      <c r="D9" s="537">
        <v>-0.25</v>
      </c>
      <c r="E9" s="12">
        <v>12.81</v>
      </c>
      <c r="F9" s="537">
        <v>0</v>
      </c>
      <c r="G9" s="12">
        <f>+E9-(-$N$24)</f>
        <v>12.81</v>
      </c>
      <c r="H9" s="539">
        <v>-0.02</v>
      </c>
      <c r="I9" s="12">
        <f>+G9+($H$9)</f>
        <v>12.790000000000001</v>
      </c>
    </row>
    <row r="10" spans="1:9" x14ac:dyDescent="0.25">
      <c r="A10" s="77" t="s">
        <v>12</v>
      </c>
      <c r="B10" s="512"/>
      <c r="C10" s="78">
        <f>+N10+(B9)</f>
        <v>-0.7</v>
      </c>
      <c r="D10" s="512"/>
      <c r="E10" s="78">
        <v>12.81</v>
      </c>
      <c r="F10" s="512"/>
      <c r="G10" s="78">
        <f>+E10-(-$N$24)</f>
        <v>12.81</v>
      </c>
      <c r="H10" s="540"/>
      <c r="I10" s="78">
        <f>+G10+($H$9)</f>
        <v>12.790000000000001</v>
      </c>
    </row>
    <row r="11" spans="1:9" x14ac:dyDescent="0.25">
      <c r="A11" s="77" t="s">
        <v>13</v>
      </c>
      <c r="B11" s="512"/>
      <c r="C11" s="78">
        <f>+N11+(B9)</f>
        <v>-0.7</v>
      </c>
      <c r="D11" s="512"/>
      <c r="E11" s="78">
        <v>12.19</v>
      </c>
      <c r="F11" s="512"/>
      <c r="G11" s="78">
        <f>+E11-(-$N$24)</f>
        <v>12.19</v>
      </c>
      <c r="H11" s="540"/>
      <c r="I11" s="78">
        <f>+G11+($H$9)</f>
        <v>12.17</v>
      </c>
    </row>
    <row r="12" spans="1:9" x14ac:dyDescent="0.25">
      <c r="A12" s="59" t="s">
        <v>14</v>
      </c>
      <c r="B12" s="538"/>
      <c r="C12" s="27">
        <f>+N12+(B9)</f>
        <v>-0.7</v>
      </c>
      <c r="D12" s="538"/>
      <c r="E12" s="56">
        <v>11.68</v>
      </c>
      <c r="F12" s="538"/>
      <c r="G12" s="177">
        <f>+E12-(-$N$24)</f>
        <v>11.68</v>
      </c>
      <c r="H12" s="541"/>
      <c r="I12" s="185">
        <f>+G12+($H$9)</f>
        <v>11.66</v>
      </c>
    </row>
    <row r="13" spans="1:9" x14ac:dyDescent="0.25">
      <c r="A13" s="79" t="s">
        <v>50</v>
      </c>
      <c r="B13" s="47"/>
      <c r="C13" s="80"/>
    </row>
    <row r="14" spans="1:9" x14ac:dyDescent="0.25">
      <c r="A14" s="83" t="s">
        <v>15</v>
      </c>
      <c r="B14" s="47"/>
      <c r="C14" s="80"/>
    </row>
    <row r="15" spans="1:9" x14ac:dyDescent="0.25">
      <c r="A15" s="26"/>
    </row>
    <row r="16" spans="1:9" x14ac:dyDescent="0.25">
      <c r="A16" s="74"/>
      <c r="B16" s="9" t="s">
        <v>7</v>
      </c>
      <c r="C16" s="28" t="s">
        <v>37</v>
      </c>
      <c r="D16" s="9" t="s">
        <v>7</v>
      </c>
      <c r="E16" s="55" t="s">
        <v>95</v>
      </c>
      <c r="F16" s="9" t="s">
        <v>7</v>
      </c>
      <c r="G16" s="180" t="s">
        <v>96</v>
      </c>
      <c r="H16" s="9" t="s">
        <v>7</v>
      </c>
      <c r="I16" s="186" t="s">
        <v>100</v>
      </c>
    </row>
    <row r="17" spans="1:9" x14ac:dyDescent="0.25">
      <c r="A17" s="74"/>
      <c r="B17" s="24" t="s">
        <v>41</v>
      </c>
      <c r="C17" s="10" t="s">
        <v>42</v>
      </c>
      <c r="D17" s="24" t="s">
        <v>39</v>
      </c>
      <c r="E17" s="10" t="s">
        <v>9</v>
      </c>
      <c r="F17" s="24" t="s">
        <v>92</v>
      </c>
      <c r="G17" s="10" t="s">
        <v>9</v>
      </c>
      <c r="H17" s="181" t="s">
        <v>97</v>
      </c>
      <c r="I17" s="10" t="s">
        <v>9</v>
      </c>
    </row>
    <row r="18" spans="1:9" x14ac:dyDescent="0.25">
      <c r="A18" s="86" t="s">
        <v>17</v>
      </c>
      <c r="B18" s="87"/>
      <c r="C18" s="76"/>
      <c r="D18" s="87"/>
      <c r="E18" s="76"/>
      <c r="F18" s="87"/>
      <c r="G18" s="76"/>
      <c r="H18" s="87"/>
      <c r="I18" s="76"/>
    </row>
    <row r="19" spans="1:9" x14ac:dyDescent="0.25">
      <c r="A19" s="77" t="s">
        <v>12</v>
      </c>
      <c r="B19" s="534" t="s">
        <v>45</v>
      </c>
      <c r="C19" s="78">
        <f>+N19-0.7</f>
        <v>-0.7</v>
      </c>
      <c r="D19" s="537">
        <v>-0.25</v>
      </c>
      <c r="E19" s="78">
        <v>15</v>
      </c>
      <c r="F19" s="537">
        <v>0</v>
      </c>
      <c r="G19" s="78">
        <v>15</v>
      </c>
      <c r="H19" s="539">
        <v>-0.02</v>
      </c>
      <c r="I19" s="78">
        <f>+G19+($H$9)</f>
        <v>14.98</v>
      </c>
    </row>
    <row r="20" spans="1:9" x14ac:dyDescent="0.25">
      <c r="A20" s="77" t="s">
        <v>13</v>
      </c>
      <c r="B20" s="535"/>
      <c r="C20" s="78">
        <f>+N20-0.7</f>
        <v>-0.7</v>
      </c>
      <c r="D20" s="512"/>
      <c r="E20" s="78">
        <v>13.81</v>
      </c>
      <c r="F20" s="512"/>
      <c r="G20" s="78">
        <v>13.81</v>
      </c>
      <c r="H20" s="540"/>
      <c r="I20" s="78">
        <f>+G20+($H$9)</f>
        <v>13.790000000000001</v>
      </c>
    </row>
    <row r="21" spans="1:9" x14ac:dyDescent="0.25">
      <c r="A21" s="59" t="s">
        <v>14</v>
      </c>
      <c r="B21" s="536"/>
      <c r="C21" s="60">
        <f>+N21-0.7</f>
        <v>-0.7</v>
      </c>
      <c r="D21" s="538"/>
      <c r="E21" s="56">
        <v>12.71</v>
      </c>
      <c r="F21" s="538"/>
      <c r="G21" s="177">
        <v>12.71</v>
      </c>
      <c r="H21" s="541"/>
      <c r="I21" s="185">
        <f>+G21+($H$9)</f>
        <v>12.690000000000001</v>
      </c>
    </row>
    <row r="22" spans="1:9" x14ac:dyDescent="0.25">
      <c r="A22" s="80"/>
      <c r="C22" s="80"/>
    </row>
    <row r="23" spans="1:9" x14ac:dyDescent="0.25">
      <c r="A23" s="16" t="s">
        <v>18</v>
      </c>
      <c r="B23" s="9" t="s">
        <v>7</v>
      </c>
      <c r="C23" s="28" t="s">
        <v>37</v>
      </c>
      <c r="D23" s="9" t="s">
        <v>7</v>
      </c>
      <c r="E23" s="55" t="s">
        <v>95</v>
      </c>
      <c r="F23" s="9" t="s">
        <v>7</v>
      </c>
      <c r="G23" s="180" t="s">
        <v>96</v>
      </c>
      <c r="H23" s="9" t="s">
        <v>7</v>
      </c>
      <c r="I23" s="186" t="s">
        <v>100</v>
      </c>
    </row>
    <row r="24" spans="1:9" x14ac:dyDescent="0.25">
      <c r="A24" s="17" t="s">
        <v>19</v>
      </c>
      <c r="B24" s="24" t="s">
        <v>41</v>
      </c>
      <c r="C24" s="10" t="s">
        <v>9</v>
      </c>
      <c r="D24" s="24" t="s">
        <v>39</v>
      </c>
      <c r="E24" s="10" t="s">
        <v>9</v>
      </c>
      <c r="F24" s="24" t="s">
        <v>92</v>
      </c>
      <c r="G24" s="10" t="s">
        <v>9</v>
      </c>
      <c r="H24" s="181" t="s">
        <v>97</v>
      </c>
      <c r="I24" s="10" t="s">
        <v>9</v>
      </c>
    </row>
    <row r="25" spans="1:9" x14ac:dyDescent="0.25">
      <c r="A25" s="18" t="s">
        <v>20</v>
      </c>
      <c r="B25" s="19"/>
      <c r="C25" s="19"/>
      <c r="D25" s="19"/>
      <c r="E25" s="19"/>
      <c r="F25" s="19"/>
      <c r="G25" s="19"/>
      <c r="H25" s="19"/>
      <c r="I25" s="19"/>
    </row>
    <row r="26" spans="1:9" x14ac:dyDescent="0.25">
      <c r="A26" s="77" t="s">
        <v>21</v>
      </c>
      <c r="B26" s="182">
        <v>-0.7</v>
      </c>
      <c r="C26" s="29">
        <f>+N26+(B26)</f>
        <v>-0.7</v>
      </c>
      <c r="D26" s="182">
        <v>-0.25</v>
      </c>
      <c r="E26" s="57">
        <v>37.520000000000003</v>
      </c>
      <c r="F26" s="182">
        <v>0</v>
      </c>
      <c r="G26" s="178">
        <f>+E26-(-F26)</f>
        <v>37.520000000000003</v>
      </c>
      <c r="H26" s="183">
        <v>-0.02</v>
      </c>
      <c r="I26" s="185">
        <f>+G26+($H$9)</f>
        <v>37.5</v>
      </c>
    </row>
    <row r="27" spans="1:9" x14ac:dyDescent="0.25">
      <c r="A27" s="79" t="s">
        <v>22</v>
      </c>
      <c r="C27" s="47"/>
    </row>
    <row r="28" spans="1:9" x14ac:dyDescent="0.25">
      <c r="A28" s="26"/>
    </row>
    <row r="29" spans="1:9" x14ac:dyDescent="0.25">
      <c r="A29" s="68" t="s">
        <v>23</v>
      </c>
      <c r="B29" s="9" t="s">
        <v>7</v>
      </c>
      <c r="C29" s="28" t="s">
        <v>37</v>
      </c>
      <c r="D29" s="9" t="s">
        <v>7</v>
      </c>
      <c r="E29" s="55" t="s">
        <v>95</v>
      </c>
      <c r="F29" s="9" t="s">
        <v>7</v>
      </c>
      <c r="G29" s="180" t="s">
        <v>96</v>
      </c>
      <c r="H29" s="9" t="s">
        <v>7</v>
      </c>
      <c r="I29" s="186" t="s">
        <v>100</v>
      </c>
    </row>
    <row r="30" spans="1:9" x14ac:dyDescent="0.25">
      <c r="A30" s="69"/>
      <c r="B30" s="24" t="s">
        <v>41</v>
      </c>
      <c r="C30" s="10" t="s">
        <v>9</v>
      </c>
      <c r="D30" s="24" t="s">
        <v>39</v>
      </c>
      <c r="E30" s="10" t="s">
        <v>9</v>
      </c>
      <c r="F30" s="24" t="s">
        <v>92</v>
      </c>
      <c r="G30" s="10" t="s">
        <v>9</v>
      </c>
      <c r="H30" s="181" t="s">
        <v>97</v>
      </c>
      <c r="I30" s="10" t="s">
        <v>9</v>
      </c>
    </row>
    <row r="31" spans="1:9" x14ac:dyDescent="0.25">
      <c r="A31" s="89" t="s">
        <v>24</v>
      </c>
      <c r="B31" s="182">
        <v>-0.7</v>
      </c>
      <c r="C31" s="30">
        <f>+N31+(B31)</f>
        <v>-0.7</v>
      </c>
      <c r="D31" s="182">
        <v>-0.25</v>
      </c>
      <c r="E31" s="58">
        <v>39.78</v>
      </c>
      <c r="F31" s="182">
        <v>0</v>
      </c>
      <c r="G31" s="179">
        <f>+E31-(-F31)</f>
        <v>39.78</v>
      </c>
      <c r="H31" s="183">
        <v>-0.02</v>
      </c>
      <c r="I31" s="185">
        <f>+G31+($H$9)</f>
        <v>39.76</v>
      </c>
    </row>
    <row r="32" spans="1:9" x14ac:dyDescent="0.25">
      <c r="A32" s="79" t="s">
        <v>22</v>
      </c>
      <c r="B32" s="79"/>
    </row>
    <row r="33" spans="1:1" x14ac:dyDescent="0.25">
      <c r="A33" s="26"/>
    </row>
  </sheetData>
  <mergeCells count="11">
    <mergeCell ref="B19:B21"/>
    <mergeCell ref="D19:D21"/>
    <mergeCell ref="F19:F21"/>
    <mergeCell ref="H19:H21"/>
    <mergeCell ref="A1:I1"/>
    <mergeCell ref="A3:I3"/>
    <mergeCell ref="A4:I4"/>
    <mergeCell ref="B9:B12"/>
    <mergeCell ref="D9:D12"/>
    <mergeCell ref="F9:F12"/>
    <mergeCell ref="H9:H12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8273-F595-4ECC-B754-949836CB2C77}">
  <sheetPr codeName="Hoja5">
    <pageSetUpPr fitToPage="1"/>
  </sheetPr>
  <dimension ref="B1:P44"/>
  <sheetViews>
    <sheetView topLeftCell="D1" workbookViewId="0">
      <selection activeCell="J11" sqref="J11"/>
    </sheetView>
  </sheetViews>
  <sheetFormatPr baseColWidth="10" defaultRowHeight="15" x14ac:dyDescent="0.25"/>
  <cols>
    <col min="1" max="1" width="4.5703125" customWidth="1"/>
    <col min="2" max="2" width="29" customWidth="1"/>
    <col min="3" max="3" width="15.7109375" customWidth="1"/>
    <col min="4" max="4" width="8.85546875" customWidth="1"/>
    <col min="7" max="7" width="15.5703125" customWidth="1"/>
    <col min="9" max="9" width="28.42578125" customWidth="1"/>
    <col min="10" max="10" width="16.42578125" customWidth="1"/>
    <col min="11" max="11" width="8.140625" customWidth="1"/>
    <col min="14" max="14" width="5" customWidth="1"/>
    <col min="15" max="15" width="10.85546875" customWidth="1"/>
  </cols>
  <sheetData>
    <row r="1" spans="2:16" x14ac:dyDescent="0.25">
      <c r="B1" s="48" t="s">
        <v>87</v>
      </c>
      <c r="I1" s="48" t="s">
        <v>90</v>
      </c>
    </row>
    <row r="2" spans="2:16" ht="15.75" thickBot="1" x14ac:dyDescent="0.3"/>
    <row r="3" spans="2:16" x14ac:dyDescent="0.25">
      <c r="B3" s="557" t="s">
        <v>73</v>
      </c>
      <c r="C3" s="558"/>
      <c r="D3" s="558"/>
      <c r="E3" s="558"/>
      <c r="F3" s="558"/>
      <c r="G3" s="559"/>
      <c r="I3" s="557" t="s">
        <v>88</v>
      </c>
      <c r="J3" s="558"/>
      <c r="K3" s="558"/>
      <c r="L3" s="558"/>
      <c r="M3" s="558"/>
      <c r="N3" s="558"/>
      <c r="O3" s="558"/>
      <c r="P3" s="559"/>
    </row>
    <row r="4" spans="2:16" ht="15.75" thickBot="1" x14ac:dyDescent="0.3">
      <c r="B4" s="560" t="s">
        <v>74</v>
      </c>
      <c r="C4" s="561"/>
      <c r="D4" s="561"/>
      <c r="E4" s="561"/>
      <c r="F4" s="561"/>
      <c r="G4" s="562"/>
      <c r="I4" s="563" t="s">
        <v>75</v>
      </c>
      <c r="J4" s="564"/>
      <c r="K4" s="564"/>
      <c r="L4" s="564"/>
      <c r="M4" s="564"/>
      <c r="N4" s="564"/>
      <c r="O4" s="564"/>
      <c r="P4" s="565"/>
    </row>
    <row r="5" spans="2:16" ht="15.75" thickBot="1" x14ac:dyDescent="0.3"/>
    <row r="6" spans="2:16" ht="26.25" thickBot="1" x14ac:dyDescent="0.3">
      <c r="B6" s="92" t="s">
        <v>51</v>
      </c>
      <c r="C6" s="93" t="s">
        <v>89</v>
      </c>
      <c r="E6" s="94" t="s">
        <v>52</v>
      </c>
      <c r="F6" s="95" t="s">
        <v>53</v>
      </c>
      <c r="G6" s="118"/>
      <c r="I6" s="92" t="s">
        <v>51</v>
      </c>
      <c r="J6" s="93" t="s">
        <v>78</v>
      </c>
      <c r="L6" s="94" t="s">
        <v>52</v>
      </c>
      <c r="M6" s="95" t="s">
        <v>53</v>
      </c>
      <c r="N6" s="118"/>
      <c r="O6" s="148" t="s">
        <v>76</v>
      </c>
      <c r="P6" s="149" t="s">
        <v>77</v>
      </c>
    </row>
    <row r="7" spans="2:16" x14ac:dyDescent="0.25">
      <c r="B7" s="96" t="s">
        <v>54</v>
      </c>
      <c r="C7" s="97">
        <v>13.06</v>
      </c>
      <c r="D7" s="32"/>
      <c r="E7" s="98">
        <v>27066</v>
      </c>
      <c r="F7" s="99">
        <v>54124</v>
      </c>
      <c r="G7" s="100"/>
      <c r="H7" s="141"/>
      <c r="I7" s="96" t="s">
        <v>54</v>
      </c>
      <c r="J7" s="97">
        <v>12.81</v>
      </c>
      <c r="K7" s="32"/>
      <c r="L7" s="98">
        <v>26767</v>
      </c>
      <c r="M7" s="99">
        <v>53138</v>
      </c>
      <c r="N7" s="100"/>
      <c r="O7" s="150">
        <f>+J7-C7</f>
        <v>-0.25</v>
      </c>
      <c r="P7" s="151">
        <f>(+J7/C7-1)*100</f>
        <v>-1.9142419601837712</v>
      </c>
    </row>
    <row r="8" spans="2:16" x14ac:dyDescent="0.25">
      <c r="B8" s="101" t="s">
        <v>55</v>
      </c>
      <c r="C8" s="102">
        <v>13.06</v>
      </c>
      <c r="D8" s="32"/>
      <c r="E8" s="103">
        <v>27068</v>
      </c>
      <c r="F8" s="104">
        <v>54134</v>
      </c>
      <c r="G8" s="100"/>
      <c r="H8" s="141"/>
      <c r="I8" s="101" t="s">
        <v>55</v>
      </c>
      <c r="J8" s="102">
        <v>12.81</v>
      </c>
      <c r="K8" s="32"/>
      <c r="L8" s="103">
        <v>26769</v>
      </c>
      <c r="M8" s="104">
        <v>53148</v>
      </c>
      <c r="N8" s="100"/>
      <c r="O8" s="150">
        <f>+J8-C8</f>
        <v>-0.25</v>
      </c>
      <c r="P8" s="151">
        <f>(+J8/C8-1)*100</f>
        <v>-1.9142419601837712</v>
      </c>
    </row>
    <row r="9" spans="2:16" x14ac:dyDescent="0.25">
      <c r="B9" s="105" t="s">
        <v>13</v>
      </c>
      <c r="C9" s="106">
        <v>12.44</v>
      </c>
      <c r="D9" s="32"/>
      <c r="E9" s="103">
        <v>29988</v>
      </c>
      <c r="F9" s="107">
        <v>76651</v>
      </c>
      <c r="G9" s="100"/>
      <c r="H9" s="141"/>
      <c r="I9" s="105" t="s">
        <v>13</v>
      </c>
      <c r="J9" s="106">
        <v>12.19</v>
      </c>
      <c r="K9" s="32"/>
      <c r="L9" s="103">
        <v>29604</v>
      </c>
      <c r="M9" s="107">
        <v>75127</v>
      </c>
      <c r="N9" s="100"/>
      <c r="O9" s="150">
        <f>+J9-C9</f>
        <v>-0.25</v>
      </c>
      <c r="P9" s="151">
        <f>(+J9/C9-1)*100</f>
        <v>-2.0096463022508004</v>
      </c>
    </row>
    <row r="10" spans="2:16" ht="15.75" thickBot="1" x14ac:dyDescent="0.3">
      <c r="B10" s="108" t="s">
        <v>56</v>
      </c>
      <c r="C10" s="109">
        <v>11.93</v>
      </c>
      <c r="D10" s="32"/>
      <c r="E10" s="110">
        <v>28947</v>
      </c>
      <c r="F10" s="111">
        <v>74553</v>
      </c>
      <c r="G10" s="112"/>
      <c r="H10" s="141"/>
      <c r="I10" s="108" t="s">
        <v>56</v>
      </c>
      <c r="J10" s="109">
        <v>11.68</v>
      </c>
      <c r="K10" s="32"/>
      <c r="L10" s="110">
        <v>27033</v>
      </c>
      <c r="M10" s="111">
        <v>66743</v>
      </c>
      <c r="N10" s="112"/>
      <c r="O10" s="152">
        <f>+J10-C10</f>
        <v>-0.25</v>
      </c>
      <c r="P10" s="153">
        <f>(+J10/C10-1)*100</f>
        <v>-2.0955574182732639</v>
      </c>
    </row>
    <row r="11" spans="2:16" x14ac:dyDescent="0.25">
      <c r="B11" s="50" t="s">
        <v>57</v>
      </c>
      <c r="C11" s="113"/>
      <c r="D11" s="32"/>
      <c r="E11" s="114">
        <v>29560</v>
      </c>
      <c r="F11" s="115">
        <v>77053</v>
      </c>
      <c r="G11" s="116"/>
      <c r="H11" s="141"/>
      <c r="I11" s="50" t="s">
        <v>57</v>
      </c>
      <c r="J11" s="113"/>
      <c r="K11" s="32"/>
      <c r="L11" s="114">
        <v>27646</v>
      </c>
      <c r="M11" s="115">
        <v>69243</v>
      </c>
      <c r="N11" s="116"/>
    </row>
    <row r="12" spans="2:16" ht="15.75" thickBot="1" x14ac:dyDescent="0.3">
      <c r="B12" s="172" t="s">
        <v>58</v>
      </c>
      <c r="C12" s="117"/>
      <c r="D12" s="566"/>
      <c r="E12" s="567" t="s">
        <v>59</v>
      </c>
      <c r="F12" s="568"/>
      <c r="G12" s="566"/>
      <c r="H12" s="141"/>
      <c r="I12" s="170" t="s">
        <v>58</v>
      </c>
      <c r="J12" s="117"/>
      <c r="K12" s="566"/>
      <c r="L12" s="567" t="s">
        <v>59</v>
      </c>
      <c r="M12" s="568"/>
      <c r="N12" s="566"/>
    </row>
    <row r="13" spans="2:16" ht="15.75" thickBot="1" x14ac:dyDescent="0.3">
      <c r="D13" s="566"/>
      <c r="G13" s="566"/>
      <c r="H13" s="141"/>
      <c r="K13" s="566"/>
      <c r="N13" s="566"/>
    </row>
    <row r="14" spans="2:16" ht="26.25" thickBot="1" x14ac:dyDescent="0.3">
      <c r="B14" s="119" t="s">
        <v>60</v>
      </c>
      <c r="C14" s="93" t="s">
        <v>89</v>
      </c>
      <c r="D14" s="566"/>
      <c r="E14" s="94" t="s">
        <v>52</v>
      </c>
      <c r="F14" s="95" t="s">
        <v>53</v>
      </c>
      <c r="G14" s="566"/>
      <c r="H14" s="141"/>
      <c r="I14" s="119" t="s">
        <v>60</v>
      </c>
      <c r="J14" s="154" t="s">
        <v>78</v>
      </c>
      <c r="K14" s="566"/>
      <c r="L14" s="94" t="s">
        <v>52</v>
      </c>
      <c r="M14" s="95" t="s">
        <v>53</v>
      </c>
      <c r="N14" s="566"/>
      <c r="O14" s="148" t="s">
        <v>76</v>
      </c>
      <c r="P14" s="149" t="s">
        <v>77</v>
      </c>
    </row>
    <row r="15" spans="2:16" x14ac:dyDescent="0.25">
      <c r="B15" s="120" t="s">
        <v>55</v>
      </c>
      <c r="C15" s="121">
        <v>15.25</v>
      </c>
      <c r="D15" s="100"/>
      <c r="E15" s="98">
        <v>16203</v>
      </c>
      <c r="F15" s="99">
        <v>29730</v>
      </c>
      <c r="G15" s="100"/>
      <c r="H15" s="156"/>
      <c r="I15" s="120" t="s">
        <v>55</v>
      </c>
      <c r="J15" s="121">
        <v>15</v>
      </c>
      <c r="K15" s="100"/>
      <c r="L15" s="98">
        <v>16513</v>
      </c>
      <c r="M15" s="99">
        <v>31394</v>
      </c>
      <c r="N15" s="100"/>
      <c r="O15" s="155">
        <f>+J15-C15</f>
        <v>-0.25</v>
      </c>
      <c r="P15" s="151">
        <f>(+J15/C15-1)*100</f>
        <v>-1.6393442622950838</v>
      </c>
    </row>
    <row r="16" spans="2:16" x14ac:dyDescent="0.25">
      <c r="B16" s="105" t="s">
        <v>13</v>
      </c>
      <c r="C16" s="122">
        <v>14.06</v>
      </c>
      <c r="D16" s="100"/>
      <c r="E16" s="103">
        <v>19180</v>
      </c>
      <c r="F16" s="104">
        <v>51407</v>
      </c>
      <c r="G16" s="100"/>
      <c r="H16" s="156"/>
      <c r="I16" s="105" t="s">
        <v>13</v>
      </c>
      <c r="J16" s="122">
        <v>13.81</v>
      </c>
      <c r="K16" s="100"/>
      <c r="L16" s="103">
        <v>19366</v>
      </c>
      <c r="M16" s="104">
        <v>52533</v>
      </c>
      <c r="N16" s="100"/>
      <c r="O16" s="155">
        <f>+J16-C16</f>
        <v>-0.25</v>
      </c>
      <c r="P16" s="151">
        <f>(+J16/C16-1)*100</f>
        <v>-1.7780938833570459</v>
      </c>
    </row>
    <row r="17" spans="2:16" ht="15.75" thickBot="1" x14ac:dyDescent="0.3">
      <c r="B17" s="108" t="s">
        <v>56</v>
      </c>
      <c r="C17" s="123">
        <v>12.96</v>
      </c>
      <c r="D17" s="112"/>
      <c r="E17" s="110">
        <v>17523</v>
      </c>
      <c r="F17" s="111">
        <v>42153</v>
      </c>
      <c r="G17" s="112"/>
      <c r="H17" s="156"/>
      <c r="I17" s="108" t="s">
        <v>56</v>
      </c>
      <c r="J17" s="123">
        <v>12.71</v>
      </c>
      <c r="K17" s="112"/>
      <c r="L17" s="110">
        <v>17691</v>
      </c>
      <c r="M17" s="111">
        <v>43190</v>
      </c>
      <c r="N17" s="112"/>
      <c r="O17" s="157">
        <f>+J17-C17</f>
        <v>-0.25</v>
      </c>
      <c r="P17" s="153">
        <f>(+J17/C17-1)*100</f>
        <v>-1.9290123456790154</v>
      </c>
    </row>
    <row r="18" spans="2:16" x14ac:dyDescent="0.25">
      <c r="B18" s="170" t="s">
        <v>61</v>
      </c>
      <c r="G18" s="124"/>
      <c r="H18" s="141"/>
      <c r="I18" s="172" t="s">
        <v>61</v>
      </c>
      <c r="N18" s="124"/>
    </row>
    <row r="19" spans="2:16" ht="15.75" thickBot="1" x14ac:dyDescent="0.3">
      <c r="C19" s="124"/>
      <c r="D19" s="124"/>
      <c r="E19" s="26"/>
      <c r="F19" s="124"/>
      <c r="G19" s="566"/>
      <c r="H19" s="141"/>
      <c r="J19" s="124"/>
      <c r="K19" s="124"/>
      <c r="L19" s="26"/>
      <c r="M19" s="124"/>
      <c r="N19" s="566"/>
    </row>
    <row r="20" spans="2:16" ht="27" thickBot="1" x14ac:dyDescent="0.3">
      <c r="B20" s="164" t="s">
        <v>62</v>
      </c>
      <c r="C20" s="93" t="s">
        <v>89</v>
      </c>
      <c r="D20" s="118"/>
      <c r="E20" s="126" t="s">
        <v>52</v>
      </c>
      <c r="F20" s="127" t="s">
        <v>53</v>
      </c>
      <c r="G20" s="566"/>
      <c r="H20" s="141"/>
      <c r="I20" s="125" t="s">
        <v>62</v>
      </c>
      <c r="J20" s="154" t="s">
        <v>78</v>
      </c>
      <c r="K20" s="118"/>
      <c r="L20" s="126" t="s">
        <v>52</v>
      </c>
      <c r="M20" s="127" t="s">
        <v>53</v>
      </c>
      <c r="N20" s="566"/>
      <c r="O20" s="158" t="s">
        <v>76</v>
      </c>
      <c r="P20" s="159" t="s">
        <v>77</v>
      </c>
    </row>
    <row r="21" spans="2:16" x14ac:dyDescent="0.25">
      <c r="B21" s="128" t="s">
        <v>63</v>
      </c>
      <c r="C21" s="129">
        <v>37.770000000000003</v>
      </c>
      <c r="D21" s="551"/>
      <c r="E21" s="552">
        <v>24360</v>
      </c>
      <c r="F21" s="554">
        <v>104759</v>
      </c>
      <c r="G21" s="556"/>
      <c r="H21" s="141"/>
      <c r="I21" s="128" t="s">
        <v>63</v>
      </c>
      <c r="J21" s="129">
        <v>37.520000000000003</v>
      </c>
      <c r="K21" s="551"/>
      <c r="L21" s="552">
        <v>24735</v>
      </c>
      <c r="M21" s="554">
        <v>107625</v>
      </c>
      <c r="N21" s="556"/>
      <c r="O21" s="160">
        <f>+J21-C21</f>
        <v>-0.25</v>
      </c>
      <c r="P21" s="151">
        <f>(+J21/C21-1)*100</f>
        <v>-0.66190097961345007</v>
      </c>
    </row>
    <row r="22" spans="2:16" ht="15.75" thickBot="1" x14ac:dyDescent="0.3">
      <c r="B22" s="130" t="s">
        <v>64</v>
      </c>
      <c r="C22" s="131">
        <v>13.06</v>
      </c>
      <c r="D22" s="551"/>
      <c r="E22" s="553"/>
      <c r="F22" s="555"/>
      <c r="G22" s="556"/>
      <c r="H22" s="141"/>
      <c r="I22" s="130" t="s">
        <v>64</v>
      </c>
      <c r="J22" s="131">
        <v>12.81</v>
      </c>
      <c r="K22" s="551"/>
      <c r="L22" s="553"/>
      <c r="M22" s="555"/>
      <c r="N22" s="556"/>
      <c r="O22" s="161">
        <f>+J22-C22</f>
        <v>-0.25</v>
      </c>
      <c r="P22" s="153">
        <f>(+J22/C22-1)*100</f>
        <v>-1.9142419601837712</v>
      </c>
    </row>
    <row r="23" spans="2:16" x14ac:dyDescent="0.25">
      <c r="B23" s="50" t="s">
        <v>57</v>
      </c>
      <c r="C23" s="116"/>
      <c r="D23" s="116"/>
      <c r="E23" s="26"/>
      <c r="F23" s="116"/>
      <c r="G23" s="116"/>
      <c r="H23" s="141"/>
      <c r="I23" s="50" t="s">
        <v>57</v>
      </c>
      <c r="J23" s="116"/>
      <c r="K23" s="116"/>
      <c r="L23" s="26"/>
      <c r="M23" s="116"/>
      <c r="N23" s="116"/>
    </row>
    <row r="24" spans="2:16" x14ac:dyDescent="0.25">
      <c r="B24" s="170" t="s">
        <v>58</v>
      </c>
      <c r="C24" s="116"/>
      <c r="D24" s="116"/>
      <c r="E24" s="26"/>
      <c r="F24" s="116"/>
      <c r="G24" s="116"/>
      <c r="H24" s="141"/>
      <c r="I24" s="172" t="s">
        <v>58</v>
      </c>
      <c r="J24" s="116"/>
      <c r="K24" s="116"/>
      <c r="L24" s="26"/>
      <c r="M24" s="116"/>
      <c r="N24" s="116"/>
    </row>
    <row r="25" spans="2:16" ht="15.75" thickBot="1" x14ac:dyDescent="0.3">
      <c r="C25" s="116"/>
      <c r="D25" s="116"/>
      <c r="E25" s="26"/>
      <c r="F25" s="116"/>
      <c r="G25" s="116"/>
      <c r="H25" s="141"/>
      <c r="J25" s="116"/>
      <c r="K25" s="116"/>
      <c r="L25" s="26"/>
      <c r="M25" s="116"/>
      <c r="N25" s="116"/>
    </row>
    <row r="26" spans="2:16" ht="26.25" thickBot="1" x14ac:dyDescent="0.3">
      <c r="B26" s="132" t="s">
        <v>23</v>
      </c>
      <c r="C26" s="93" t="s">
        <v>89</v>
      </c>
      <c r="D26" s="118"/>
      <c r="E26" s="126" t="s">
        <v>52</v>
      </c>
      <c r="F26" s="127" t="s">
        <v>53</v>
      </c>
      <c r="G26" s="118"/>
      <c r="H26" s="141"/>
      <c r="I26" s="132" t="s">
        <v>23</v>
      </c>
      <c r="J26" s="93" t="s">
        <v>78</v>
      </c>
      <c r="K26" s="118"/>
      <c r="L26" s="126" t="s">
        <v>52</v>
      </c>
      <c r="M26" s="127" t="s">
        <v>53</v>
      </c>
      <c r="N26" s="118"/>
      <c r="O26" s="158" t="s">
        <v>76</v>
      </c>
      <c r="P26" s="159" t="s">
        <v>77</v>
      </c>
    </row>
    <row r="27" spans="2:16" ht="15.75" thickBot="1" x14ac:dyDescent="0.3">
      <c r="B27" s="133" t="s">
        <v>24</v>
      </c>
      <c r="C27" s="162">
        <v>40.03</v>
      </c>
      <c r="D27" s="134"/>
      <c r="E27" s="135">
        <v>15853</v>
      </c>
      <c r="F27" s="136">
        <v>26591</v>
      </c>
      <c r="G27" s="134"/>
      <c r="H27" s="141"/>
      <c r="I27" s="133" t="s">
        <v>24</v>
      </c>
      <c r="J27" s="147">
        <v>39.78</v>
      </c>
      <c r="K27" s="134"/>
      <c r="L27" s="135">
        <v>16737</v>
      </c>
      <c r="M27" s="136">
        <v>31134</v>
      </c>
      <c r="N27" s="134"/>
      <c r="O27" s="161">
        <f>+J27-C27</f>
        <v>-0.25</v>
      </c>
      <c r="P27" s="153">
        <f>(+J27/C27-1)*100</f>
        <v>-0.62453160129902763</v>
      </c>
    </row>
    <row r="28" spans="2:16" x14ac:dyDescent="0.25">
      <c r="B28" s="25" t="s">
        <v>57</v>
      </c>
      <c r="C28" s="26"/>
      <c r="D28" s="26"/>
      <c r="E28" s="26"/>
      <c r="F28" s="26"/>
      <c r="G28" s="26"/>
      <c r="H28" s="141"/>
      <c r="I28" s="20" t="s">
        <v>57</v>
      </c>
      <c r="J28" s="26"/>
      <c r="K28" s="26"/>
      <c r="L28" s="26"/>
      <c r="M28" s="26"/>
      <c r="N28" s="26"/>
    </row>
    <row r="29" spans="2:16" x14ac:dyDescent="0.25">
      <c r="B29" s="170" t="s">
        <v>58</v>
      </c>
      <c r="C29" s="26"/>
      <c r="D29" s="26"/>
      <c r="E29" s="26"/>
      <c r="F29" s="26"/>
      <c r="G29" s="26"/>
      <c r="H29" s="141"/>
      <c r="I29" s="49" t="s">
        <v>58</v>
      </c>
      <c r="J29" s="26"/>
      <c r="K29" s="26"/>
      <c r="L29" s="26"/>
      <c r="M29" s="26"/>
      <c r="N29" s="26"/>
    </row>
    <row r="30" spans="2:16" ht="15.75" thickBot="1" x14ac:dyDescent="0.3">
      <c r="C30" s="26"/>
      <c r="D30" s="26"/>
      <c r="E30" s="26"/>
      <c r="F30" s="26"/>
      <c r="G30" s="26"/>
      <c r="H30" s="141"/>
      <c r="J30" s="26"/>
      <c r="K30" s="26"/>
      <c r="L30" s="26"/>
      <c r="M30" s="26"/>
      <c r="N30" s="26"/>
    </row>
    <row r="31" spans="2:16" ht="26.25" thickBot="1" x14ac:dyDescent="0.3">
      <c r="B31" s="137" t="s">
        <v>65</v>
      </c>
      <c r="C31" s="93" t="s">
        <v>89</v>
      </c>
      <c r="D31" s="118"/>
      <c r="E31" s="126" t="s">
        <v>52</v>
      </c>
      <c r="F31" s="127" t="s">
        <v>53</v>
      </c>
      <c r="H31" s="141"/>
      <c r="I31" s="137" t="s">
        <v>65</v>
      </c>
      <c r="J31" s="163" t="s">
        <v>79</v>
      </c>
      <c r="K31" s="118"/>
      <c r="L31" s="126" t="s">
        <v>52</v>
      </c>
      <c r="M31" s="127" t="s">
        <v>53</v>
      </c>
      <c r="O31" s="158" t="s">
        <v>76</v>
      </c>
      <c r="P31" s="159" t="s">
        <v>77</v>
      </c>
    </row>
    <row r="32" spans="2:16" ht="15.75" thickBot="1" x14ac:dyDescent="0.3">
      <c r="B32" s="138">
        <v>13500</v>
      </c>
      <c r="C32" s="109">
        <v>13.42</v>
      </c>
      <c r="D32" s="139"/>
      <c r="E32" s="110">
        <v>20806</v>
      </c>
      <c r="F32" s="140">
        <v>58253</v>
      </c>
      <c r="H32" s="141"/>
      <c r="I32" s="138">
        <v>13500</v>
      </c>
      <c r="J32" s="109">
        <v>13.17</v>
      </c>
      <c r="K32" s="139"/>
      <c r="L32" s="110">
        <v>20896</v>
      </c>
      <c r="M32" s="140">
        <v>58772</v>
      </c>
      <c r="O32" s="161">
        <f>+J32-C32</f>
        <v>-0.25</v>
      </c>
      <c r="P32" s="153">
        <f>(+J32/C32-1)*100</f>
        <v>-1.8628912071535053</v>
      </c>
    </row>
    <row r="33" spans="2:13" x14ac:dyDescent="0.25">
      <c r="B33" s="141" t="s">
        <v>66</v>
      </c>
      <c r="H33" s="141"/>
      <c r="I33" s="141" t="s">
        <v>66</v>
      </c>
    </row>
    <row r="34" spans="2:13" x14ac:dyDescent="0.25">
      <c r="B34" s="49" t="s">
        <v>58</v>
      </c>
      <c r="H34" s="141"/>
      <c r="I34" s="49" t="s">
        <v>58</v>
      </c>
    </row>
    <row r="35" spans="2:13" ht="15.75" thickBot="1" x14ac:dyDescent="0.3">
      <c r="H35" s="141"/>
    </row>
    <row r="36" spans="2:13" ht="26.25" thickBot="1" x14ac:dyDescent="0.3">
      <c r="B36" s="169" t="s">
        <v>67</v>
      </c>
      <c r="C36" s="142" t="s">
        <v>68</v>
      </c>
      <c r="I36" s="164" t="s">
        <v>80</v>
      </c>
      <c r="J36" s="154" t="s">
        <v>78</v>
      </c>
      <c r="K36" s="118"/>
      <c r="L36" s="126" t="s">
        <v>52</v>
      </c>
      <c r="M36" s="127" t="s">
        <v>53</v>
      </c>
    </row>
    <row r="37" spans="2:13" ht="39" x14ac:dyDescent="0.25">
      <c r="B37" s="143" t="s">
        <v>69</v>
      </c>
      <c r="C37" s="144" t="s">
        <v>70</v>
      </c>
      <c r="I37" s="171" t="s">
        <v>63</v>
      </c>
      <c r="J37" s="129">
        <v>37.520000000000003</v>
      </c>
      <c r="K37" s="551"/>
      <c r="L37" s="552">
        <v>18432</v>
      </c>
      <c r="M37" s="554">
        <v>79237</v>
      </c>
    </row>
    <row r="38" spans="2:13" ht="18" customHeight="1" thickBot="1" x14ac:dyDescent="0.3">
      <c r="B38" s="145" t="s">
        <v>71</v>
      </c>
      <c r="C38" s="146" t="s">
        <v>72</v>
      </c>
      <c r="I38" s="130" t="s">
        <v>81</v>
      </c>
      <c r="J38" s="131">
        <v>15</v>
      </c>
      <c r="K38" s="551"/>
      <c r="L38" s="553"/>
      <c r="M38" s="555"/>
    </row>
    <row r="39" spans="2:13" x14ac:dyDescent="0.25">
      <c r="I39" s="50" t="s">
        <v>82</v>
      </c>
      <c r="J39" s="116"/>
      <c r="K39" s="116"/>
      <c r="L39" s="26"/>
      <c r="M39" s="116"/>
    </row>
    <row r="40" spans="2:13" x14ac:dyDescent="0.25">
      <c r="I40" s="50" t="s">
        <v>83</v>
      </c>
      <c r="J40" s="116"/>
      <c r="K40" s="116"/>
      <c r="L40" s="26"/>
      <c r="M40" s="116"/>
    </row>
    <row r="41" spans="2:13" ht="15.75" thickBot="1" x14ac:dyDescent="0.3"/>
    <row r="42" spans="2:13" ht="39" x14ac:dyDescent="0.25">
      <c r="I42" s="165" t="s">
        <v>84</v>
      </c>
      <c r="J42" s="166" t="s">
        <v>91</v>
      </c>
    </row>
    <row r="43" spans="2:13" ht="39" x14ac:dyDescent="0.25">
      <c r="I43" s="167" t="s">
        <v>85</v>
      </c>
      <c r="J43" s="168" t="s">
        <v>86</v>
      </c>
    </row>
    <row r="44" spans="2:13" ht="15.75" thickBot="1" x14ac:dyDescent="0.3">
      <c r="I44" s="145" t="s">
        <v>71</v>
      </c>
      <c r="J44" s="146" t="s">
        <v>72</v>
      </c>
    </row>
  </sheetData>
  <mergeCells count="23">
    <mergeCell ref="B3:G3"/>
    <mergeCell ref="I3:P3"/>
    <mergeCell ref="B4:G4"/>
    <mergeCell ref="I4:P4"/>
    <mergeCell ref="N21:N22"/>
    <mergeCell ref="D21:D22"/>
    <mergeCell ref="E21:E22"/>
    <mergeCell ref="K12:K14"/>
    <mergeCell ref="L12:M12"/>
    <mergeCell ref="N12:N14"/>
    <mergeCell ref="G19:G20"/>
    <mergeCell ref="N19:N20"/>
    <mergeCell ref="D12:D14"/>
    <mergeCell ref="E12:F12"/>
    <mergeCell ref="G12:G14"/>
    <mergeCell ref="K37:K38"/>
    <mergeCell ref="L37:L38"/>
    <mergeCell ref="M37:M38"/>
    <mergeCell ref="F21:F22"/>
    <mergeCell ref="G21:G22"/>
    <mergeCell ref="K21:K22"/>
    <mergeCell ref="L21:L22"/>
    <mergeCell ref="M21:M22"/>
  </mergeCells>
  <conditionalFormatting sqref="E26:F26">
    <cfRule type="duplicateValues" dxfId="3" priority="4"/>
  </conditionalFormatting>
  <conditionalFormatting sqref="E31:F31">
    <cfRule type="duplicateValues" dxfId="2" priority="3"/>
  </conditionalFormatting>
  <conditionalFormatting sqref="L26:M26">
    <cfRule type="duplicateValues" dxfId="1" priority="2"/>
  </conditionalFormatting>
  <conditionalFormatting sqref="L31:M31">
    <cfRule type="duplicateValues" dxfId="0" priority="1"/>
  </conditionalFormatting>
  <printOptions horizontalCentered="1"/>
  <pageMargins left="0.51181102362204722" right="0.51181102362204722" top="0.55118110236220474" bottom="0.55118110236220474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Precios promedio y consumos</vt:lpstr>
      <vt:lpstr>Formula-Ajuste Bunker</vt:lpstr>
      <vt:lpstr>ITINERARIO MOQUEGUA</vt:lpstr>
      <vt:lpstr>NUEVAS TARIFAS</vt:lpstr>
      <vt:lpstr>TCE - PL</vt:lpstr>
      <vt:lpstr>'Formula-Ajuste Bunker'!Área_de_impresión</vt:lpstr>
      <vt:lpstr>'ITINERARIO MOQUEGUA'!Área_de_impresión</vt:lpstr>
      <vt:lpstr>'NUEVAS TARIFAS'!Área_de_impresión</vt:lpstr>
      <vt:lpstr>'Precios promedio y consumos'!Área_de_impresión</vt:lpstr>
      <vt:lpstr>'TCE - PL'!Área_de_impresión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Elena Castro</cp:lastModifiedBy>
  <cp:lastPrinted>2026-07-01T16:24:31Z</cp:lastPrinted>
  <dcterms:created xsi:type="dcterms:W3CDTF">2018-09-11T13:23:29Z</dcterms:created>
  <dcterms:modified xsi:type="dcterms:W3CDTF">2026-07-01T16:34:19Z</dcterms:modified>
</cp:coreProperties>
</file>
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ACTURACION 2026\"/>
    </mc:Choice>
  </mc:AlternateContent>
  <xr:revisionPtr revIDLastSave="0" documentId="8_{D5C3751C-6C09-48FB-93BF-467F000F757D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FACTURACION  MOQUEGUA" sheetId="15" r:id="rId1"/>
    <sheet name="FACTURACION TABLONES" sheetId="31" r:id="rId2"/>
    <sheet name="FACTURACION OTRAS NAVES " sheetId="25" r:id="rId3"/>
  </sheets>
  <definedNames>
    <definedName name="_xlnm.Print_Area" localSheetId="0">'FACTURACION  MOQUEGUA'!$A$1:$P$90</definedName>
    <definedName name="_xlnm.Print_Area" localSheetId="2">'FACTURACION OTRAS NAVES '!$O$9:$S$51</definedName>
    <definedName name="_xlnm.Print_Area" localSheetId="1">'FACTURACION TABLONES'!$A$1:$O$84</definedName>
  </definedNames>
  <calcPr calcId="191029"/>
</workbook>
</file>

<file path=xl/calcChain.xml><?xml version="1.0" encoding="utf-8"?>
<calcChain xmlns="http://schemas.openxmlformats.org/spreadsheetml/2006/main">
  <c r="F33" i="25" l="1"/>
  <c r="D33" i="25"/>
  <c r="L79" i="15" l="1"/>
  <c r="E69" i="15"/>
  <c r="N15" i="15"/>
  <c r="F28" i="25"/>
  <c r="O11" i="31" l="1"/>
  <c r="O9" i="31"/>
  <c r="E61" i="31"/>
  <c r="P13" i="15"/>
  <c r="P11" i="15"/>
  <c r="P9" i="15"/>
  <c r="P7" i="15"/>
  <c r="P15" i="15" s="1"/>
  <c r="E50" i="31"/>
  <c r="G65" i="15"/>
  <c r="O7" i="31"/>
  <c r="O50" i="31"/>
  <c r="M50" i="31"/>
  <c r="F52" i="15" l="1"/>
  <c r="G59" i="31" l="1"/>
  <c r="G57" i="31"/>
  <c r="G62" i="15"/>
  <c r="G64" i="15"/>
  <c r="G69" i="15" l="1"/>
  <c r="E59" i="15"/>
  <c r="G56" i="15" l="1"/>
  <c r="F23" i="25" l="1"/>
  <c r="E43" i="31" l="1"/>
  <c r="O35" i="31" l="1"/>
  <c r="E47" i="15"/>
  <c r="G50" i="15"/>
  <c r="L77" i="15" l="1"/>
  <c r="G55" i="31"/>
  <c r="G53" i="31"/>
  <c r="G48" i="31"/>
  <c r="G54" i="15"/>
  <c r="G52" i="15"/>
  <c r="G61" i="31" l="1"/>
  <c r="G59" i="15"/>
  <c r="K69" i="31"/>
  <c r="G37" i="31"/>
  <c r="E34" i="31" l="1"/>
  <c r="E24" i="31"/>
  <c r="G46" i="31"/>
  <c r="G41" i="31"/>
  <c r="G39" i="31"/>
  <c r="E39" i="15"/>
  <c r="G44" i="15"/>
  <c r="G42" i="15"/>
  <c r="G50" i="31" l="1"/>
  <c r="G43" i="31"/>
  <c r="G47" i="15"/>
  <c r="E24" i="15" l="1"/>
  <c r="G27" i="15"/>
  <c r="G18" i="31"/>
  <c r="G32" i="31"/>
  <c r="G30" i="31"/>
  <c r="G27" i="31"/>
  <c r="G36" i="15"/>
  <c r="G32" i="15"/>
  <c r="G31" i="15"/>
  <c r="G22" i="15"/>
  <c r="G23" i="15"/>
  <c r="G20" i="15"/>
  <c r="G18" i="15"/>
  <c r="G34" i="31" l="1"/>
  <c r="G39" i="15"/>
  <c r="G24" i="15"/>
  <c r="E13" i="15" l="1"/>
  <c r="G20" i="31" l="1"/>
  <c r="G16" i="31"/>
  <c r="G24" i="31" l="1"/>
  <c r="G9" i="31"/>
  <c r="E13" i="31" l="1"/>
  <c r="G11" i="31"/>
  <c r="G7" i="31"/>
  <c r="G7" i="15"/>
  <c r="G13" i="15" l="1"/>
  <c r="G13" i="31"/>
  <c r="O44" i="31" l="1"/>
  <c r="M44" i="31"/>
  <c r="O34" i="31"/>
  <c r="M34" i="31"/>
  <c r="O13" i="31"/>
  <c r="M13" i="31"/>
  <c r="N62" i="31"/>
  <c r="M61" i="31"/>
  <c r="N69" i="15"/>
  <c r="M62" i="31" l="1"/>
  <c r="O61" i="31"/>
  <c r="N60" i="15" l="1"/>
  <c r="P60" i="15" l="1"/>
  <c r="N47" i="15" l="1"/>
  <c r="N38" i="15"/>
  <c r="P47" i="15" l="1"/>
  <c r="P38" i="15" l="1"/>
  <c r="M35" i="31"/>
  <c r="N24" i="15" l="1"/>
  <c r="P24" i="15" l="1"/>
  <c r="O24" i="31" l="1"/>
  <c r="M24" i="31"/>
  <c r="C80" i="31" l="1"/>
  <c r="K79" i="31" l="1"/>
  <c r="D80" i="31"/>
  <c r="C74" i="31"/>
  <c r="C77" i="31"/>
  <c r="C71" i="31"/>
  <c r="D77" i="31"/>
  <c r="D71" i="31"/>
  <c r="D76" i="31"/>
  <c r="C76" i="31"/>
  <c r="D75" i="31"/>
  <c r="C75" i="31"/>
  <c r="D74" i="31" l="1"/>
  <c r="P69" i="15" l="1"/>
  <c r="F9" i="25" l="1"/>
  <c r="D9" i="25"/>
  <c r="F31" i="25" l="1"/>
  <c r="M26" i="25" l="1"/>
  <c r="K26" i="25"/>
  <c r="K31" i="25"/>
  <c r="M31" i="25"/>
  <c r="K21" i="25" l="1"/>
  <c r="M21" i="25" l="1"/>
  <c r="K13" i="25" l="1"/>
  <c r="M13" i="25" l="1"/>
  <c r="D26" i="25"/>
  <c r="C44" i="25" l="1"/>
  <c r="D31" i="25"/>
  <c r="C45" i="25" s="1"/>
  <c r="C54" i="25" l="1"/>
  <c r="F26" i="25"/>
  <c r="D45" i="25" l="1"/>
  <c r="C49" i="25" l="1"/>
  <c r="M9" i="25"/>
  <c r="K9" i="25"/>
  <c r="C46" i="25" l="1"/>
  <c r="D46" i="25"/>
  <c r="K52" i="25" l="1"/>
  <c r="C50" i="25" l="1"/>
  <c r="D41" i="25"/>
  <c r="C41" i="25"/>
  <c r="D40" i="25"/>
  <c r="C40" i="25"/>
  <c r="D13" i="25"/>
  <c r="D47" i="25"/>
  <c r="D51" i="25"/>
  <c r="C51" i="25"/>
  <c r="F21" i="25"/>
  <c r="D21" i="25"/>
  <c r="M17" i="25"/>
  <c r="M33" i="25" s="1"/>
  <c r="K17" i="25"/>
  <c r="F17" i="25"/>
  <c r="D42" i="25" s="1"/>
  <c r="D17" i="25"/>
  <c r="C42" i="25" s="1"/>
  <c r="D39" i="25"/>
  <c r="C39" i="25"/>
  <c r="D49" i="25" l="1"/>
  <c r="C48" i="25"/>
  <c r="D48" i="25"/>
  <c r="C47" i="25"/>
  <c r="K33" i="25"/>
  <c r="C43" i="25"/>
  <c r="D43" i="25"/>
  <c r="F13" i="25"/>
  <c r="L87" i="15" l="1"/>
  <c r="D82" i="15" l="1"/>
  <c r="C82" i="15" l="1"/>
  <c r="D44" i="25" l="1"/>
  <c r="D54" i="25" s="1"/>
  <c r="D50" i="25" l="1"/>
  <c r="K54" i="25" l="1"/>
  <c r="C77" i="15" l="1"/>
  <c r="D77" i="15"/>
  <c r="C88" i="15" l="1"/>
  <c r="D88" i="15"/>
  <c r="C78" i="15" l="1"/>
  <c r="D78" i="15"/>
  <c r="C79" i="15" l="1"/>
  <c r="D79" i="15" l="1"/>
  <c r="C81" i="15" l="1"/>
  <c r="D81" i="15"/>
  <c r="C86" i="15" l="1"/>
  <c r="D86" i="15"/>
  <c r="C87" i="15"/>
  <c r="D87" i="15"/>
  <c r="D69" i="31" l="1"/>
  <c r="C69" i="31"/>
  <c r="E72" i="15" l="1"/>
  <c r="C80" i="15"/>
  <c r="G72" i="15"/>
  <c r="D80" i="15"/>
  <c r="C83" i="15" l="1"/>
  <c r="D83" i="15"/>
  <c r="C84" i="15" l="1"/>
  <c r="D84" i="15"/>
  <c r="C85" i="15" l="1"/>
  <c r="C90" i="15" s="1"/>
  <c r="N72" i="15"/>
  <c r="D85" i="15"/>
  <c r="D90" i="15" s="1"/>
  <c r="P72" i="15"/>
  <c r="M90" i="15" l="1"/>
  <c r="C78" i="31"/>
  <c r="D78" i="31"/>
  <c r="C79" i="31" l="1"/>
  <c r="M64" i="31"/>
  <c r="D79" i="31"/>
  <c r="O64" i="31"/>
  <c r="C70" i="31" l="1"/>
  <c r="D70" i="31" l="1"/>
  <c r="C72" i="31" l="1"/>
  <c r="D72" i="31"/>
  <c r="E64" i="31" l="1"/>
  <c r="C73" i="31"/>
  <c r="C83" i="31" s="1"/>
  <c r="G64" i="31" l="1"/>
  <c r="D73" i="31"/>
  <c r="D83" i="31" s="1"/>
  <c r="L83" i="31" s="1"/>
</calcChain>
</file>

<file path=xl/sharedStrings.xml><?xml version="1.0" encoding="utf-8"?>
<sst xmlns="http://schemas.openxmlformats.org/spreadsheetml/2006/main" count="440" uniqueCount="188">
  <si>
    <t>FECHA B/L</t>
  </si>
  <si>
    <t>VOY. No.</t>
  </si>
  <si>
    <t>PUERTO</t>
  </si>
  <si>
    <t>CANTIDAD TM</t>
  </si>
  <si>
    <t>FLETE</t>
  </si>
  <si>
    <t>DESCARGA</t>
  </si>
  <si>
    <t>EMBARQUE HRS.</t>
  </si>
  <si>
    <t>DESCARGA HRS.</t>
  </si>
  <si>
    <t xml:space="preserve">ENERO </t>
  </si>
  <si>
    <t>FEBRERO</t>
  </si>
  <si>
    <t>MARZO</t>
  </si>
  <si>
    <t>ABRIL</t>
  </si>
  <si>
    <t>MAYO</t>
  </si>
  <si>
    <t>N° Factura</t>
  </si>
  <si>
    <t>JUNIO</t>
  </si>
  <si>
    <t>JULIO</t>
  </si>
  <si>
    <t>AGOSTO</t>
  </si>
  <si>
    <t>SEPTIEMBRE</t>
  </si>
  <si>
    <t>OCTUBRE</t>
  </si>
  <si>
    <t>NOVIEMBRE</t>
  </si>
  <si>
    <t>DICIEMBRE</t>
  </si>
  <si>
    <t>DEMORAS SPCC</t>
  </si>
  <si>
    <t>Enero</t>
  </si>
  <si>
    <t>Febrero</t>
  </si>
  <si>
    <t>Mejillones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</si>
  <si>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</si>
  <si>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</si>
  <si>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</si>
  <si>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</si>
  <si>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</si>
  <si>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</si>
  <si>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</si>
  <si>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</si>
  <si>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</si>
  <si>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</si>
  <si>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Matarani</t>
  </si>
  <si>
    <t>Callao</t>
  </si>
  <si>
    <t>FACTURACIÓN            (sin IGV)</t>
  </si>
  <si>
    <t>FACTURACIÓN (sin IGV)</t>
  </si>
  <si>
    <t>Lumpsum</t>
  </si>
  <si>
    <t>Muellaje Callao</t>
  </si>
  <si>
    <t>Demoras</t>
  </si>
  <si>
    <t>Facturación</t>
  </si>
  <si>
    <t>BUQUE</t>
  </si>
  <si>
    <t>Moquegua</t>
  </si>
  <si>
    <t>DEMORAS</t>
  </si>
  <si>
    <t>SETIEMBRE</t>
  </si>
  <si>
    <t xml:space="preserve">FEBRERO </t>
  </si>
  <si>
    <t xml:space="preserve">AGOSTO </t>
  </si>
  <si>
    <t>FACTURACIÓN   (sin IGV)</t>
  </si>
  <si>
    <t xml:space="preserve">MAYO </t>
  </si>
  <si>
    <t xml:space="preserve">JULIO </t>
  </si>
  <si>
    <t xml:space="preserve">OCTUBRE </t>
  </si>
  <si>
    <t xml:space="preserve">NOVIEMBRE </t>
  </si>
  <si>
    <t>BUQUE - VOY. No.</t>
  </si>
  <si>
    <t>FACTURACIÓN               (sin IGV)</t>
  </si>
  <si>
    <t>Muellaje</t>
  </si>
  <si>
    <t>Mejillones TERQUIM</t>
  </si>
  <si>
    <t>Tablones</t>
  </si>
  <si>
    <t>PRIMER SEMESTRE 2026</t>
  </si>
  <si>
    <t>FACTURADO  ENERO 2026</t>
  </si>
  <si>
    <t>FACTURADO  FEBRERO 2026</t>
  </si>
  <si>
    <t>FACTURADO  MARZO 2026</t>
  </si>
  <si>
    <t>FACTURADO  ABRIL  2026</t>
  </si>
  <si>
    <t>FACTURADO  MAYO  2026</t>
  </si>
  <si>
    <t>FACTURADO  JUNIO 2026</t>
  </si>
  <si>
    <t>FACTURADO  1ER. SEMESTRE 2026</t>
  </si>
  <si>
    <t>TOTAL FACTURACIÓN 2026</t>
  </si>
  <si>
    <t>SEGUNDO SEMESTRE 2026</t>
  </si>
  <si>
    <t>FACTURADO  JULIO  2026</t>
  </si>
  <si>
    <t>FACTURADO  AGOSTO  2026</t>
  </si>
  <si>
    <t>FACTURADO  SETIEMBRE  2026</t>
  </si>
  <si>
    <t>FACTURADO  OCTUBRE 2026</t>
  </si>
  <si>
    <t>FACTURADO NOVIEMBRE 2026</t>
  </si>
  <si>
    <t>FACTURADO  2DO. SEMESTRE 2026</t>
  </si>
  <si>
    <t xml:space="preserve">FACTURACIÓN  B/T MOQUEGUA  2026 - ÁCIDO SULFÚRICO </t>
  </si>
  <si>
    <t>FACTURADO  DICIEMBRE  2026</t>
  </si>
  <si>
    <t>TOTAL DEMORAS 2026</t>
  </si>
  <si>
    <t>TOTAL FACTURACIÓN Y DEMORAS 2026</t>
  </si>
  <si>
    <t>FACTURACIÓN  B/T TABLONES - 2026</t>
  </si>
  <si>
    <t>FACTURADO FEBRERO 2026</t>
  </si>
  <si>
    <t>FACTURACIÓN 2026</t>
  </si>
  <si>
    <t>FACTURADO  SETIEMBRE 2026</t>
  </si>
  <si>
    <t>FACTURADO  OCTUBRE  2026</t>
  </si>
  <si>
    <t>FACTURADO  NOVIEMBRE  2026</t>
  </si>
  <si>
    <t>761</t>
  </si>
  <si>
    <t>762</t>
  </si>
  <si>
    <t>038</t>
  </si>
  <si>
    <t>San Juan de Marcona</t>
  </si>
  <si>
    <t>039</t>
  </si>
  <si>
    <t>040</t>
  </si>
  <si>
    <t>763</t>
  </si>
  <si>
    <t>764</t>
  </si>
  <si>
    <t>041</t>
  </si>
  <si>
    <t>042</t>
  </si>
  <si>
    <t>043</t>
  </si>
  <si>
    <t>12/01/2026</t>
  </si>
  <si>
    <t>13/01/2026</t>
  </si>
  <si>
    <t>Matarani NEXA</t>
  </si>
  <si>
    <t>Muellaje Matarani</t>
  </si>
  <si>
    <t>20/01/2026</t>
  </si>
  <si>
    <t>Nexa Callao</t>
  </si>
  <si>
    <t>29/01/2026</t>
  </si>
  <si>
    <t>NEXA</t>
  </si>
  <si>
    <t>07/02/2026</t>
  </si>
  <si>
    <t>764-A</t>
  </si>
  <si>
    <t>09/02/2026</t>
  </si>
  <si>
    <t>044</t>
  </si>
  <si>
    <t>12/02/2026</t>
  </si>
  <si>
    <t>15/02/2026</t>
  </si>
  <si>
    <t>18/02/2026</t>
  </si>
  <si>
    <t>765</t>
  </si>
  <si>
    <t>Mejillones TPM y Terquim</t>
  </si>
  <si>
    <t>Muellaje Terquim</t>
  </si>
  <si>
    <t>Muellaje TPM</t>
  </si>
  <si>
    <t>Lumpsum terminal</t>
  </si>
  <si>
    <t>766</t>
  </si>
  <si>
    <t>767</t>
  </si>
  <si>
    <t>768</t>
  </si>
  <si>
    <t>Muellaje TERQUIM</t>
  </si>
  <si>
    <t>045</t>
  </si>
  <si>
    <t>046</t>
  </si>
  <si>
    <t>047</t>
  </si>
  <si>
    <t>Reintegro por 2 y 3 ingreso</t>
  </si>
  <si>
    <t>21/02/2026</t>
  </si>
  <si>
    <t xml:space="preserve">San Juan de Marcona </t>
  </si>
  <si>
    <t>3/03/2026</t>
  </si>
  <si>
    <t>05/03/2026</t>
  </si>
  <si>
    <t>769</t>
  </si>
  <si>
    <t>770</t>
  </si>
  <si>
    <t>771</t>
  </si>
  <si>
    <t>048</t>
  </si>
  <si>
    <t>049</t>
  </si>
  <si>
    <t>050</t>
  </si>
  <si>
    <t>13/03/2026</t>
  </si>
  <si>
    <t>17/03/2026</t>
  </si>
  <si>
    <t>20/03/2026</t>
  </si>
  <si>
    <t>25/03/2026</t>
  </si>
  <si>
    <t>SPCC Y NEXA V.763</t>
  </si>
  <si>
    <t>31/03/2026</t>
  </si>
  <si>
    <t>SPCC Y NEXA V.044</t>
  </si>
  <si>
    <t>04/04/2026</t>
  </si>
  <si>
    <t>07/04/2026</t>
  </si>
  <si>
    <t>772</t>
  </si>
  <si>
    <t>773</t>
  </si>
  <si>
    <t>774</t>
  </si>
  <si>
    <t>051</t>
  </si>
  <si>
    <t>052</t>
  </si>
  <si>
    <t>053</t>
  </si>
  <si>
    <t>18/04/2026</t>
  </si>
  <si>
    <t>22/04/2026</t>
  </si>
  <si>
    <t>MEJILLONES SPCC</t>
  </si>
  <si>
    <t>29/04/2026</t>
  </si>
  <si>
    <t>HUEMUL V. 105</t>
  </si>
  <si>
    <t>ULTRANAV</t>
  </si>
  <si>
    <t>5/05/2026</t>
  </si>
  <si>
    <t>07/05/2026</t>
  </si>
  <si>
    <t>xx/06/2026</t>
  </si>
  <si>
    <t>775</t>
  </si>
  <si>
    <t>776</t>
  </si>
  <si>
    <t>777</t>
  </si>
  <si>
    <t>054</t>
  </si>
  <si>
    <t>055</t>
  </si>
  <si>
    <t>13/05/2026</t>
  </si>
  <si>
    <t>15/05/2026</t>
  </si>
  <si>
    <t>ex Moquegua V.744 NEXA</t>
  </si>
  <si>
    <t>Huemul V.105</t>
  </si>
  <si>
    <t>SPCC Y NEXA V.774</t>
  </si>
  <si>
    <t>19/05/2026</t>
  </si>
  <si>
    <t>25/05/2026</t>
  </si>
  <si>
    <t>26/05/2026</t>
  </si>
  <si>
    <t>056</t>
  </si>
  <si>
    <t>2/06/2026</t>
  </si>
  <si>
    <t>SPCC</t>
  </si>
  <si>
    <t>778</t>
  </si>
  <si>
    <t>xx/07/2026</t>
  </si>
  <si>
    <t>779</t>
  </si>
  <si>
    <t>780</t>
  </si>
  <si>
    <t>057</t>
  </si>
  <si>
    <t>058</t>
  </si>
  <si>
    <t>ex Moquegua V.777 NEXA</t>
  </si>
  <si>
    <t>781</t>
  </si>
  <si>
    <t>CONCON TRADER</t>
  </si>
  <si>
    <t>12/06/2026</t>
  </si>
  <si>
    <t>14/06/2026</t>
  </si>
  <si>
    <t>Junio Concon Trader V.166</t>
  </si>
  <si>
    <t xml:space="preserve">Mayo HUEMUL V.105 </t>
  </si>
  <si>
    <t xml:space="preserve">FACTURACIÓN  OTRAS NAVES 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</si>
</sst>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"/>
    <numFmt numFmtId="165" formatCode="[$$-409]#,##0.00"/>
    <numFmt numFmtId="166" formatCode="[$$-540A]#,##0.00"/>
    <numFmt numFmtId="167" formatCode="[$$-540A]#,##0.000"/>
    <numFmt numFmtId="168" formatCode="[$$-409]#,##0.000"/>
    <numFmt numFmtId="171" formatCode="#,##0.0"/>
    <numFmt numFmtId="172" formatCode="[$$-409]#,##0.0"/>
    <numFmt numFmtId="173" formatCode="[$$-540A]#,##0.0"/>
    <numFmt numFmtId="175" formatCode="[$$-540A]#,##0"/>
  </numFmts>
  <fonts count="7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entury Gothic"/>
      <family val="2"/>
    </font>
    <font>
      <b/>
      <sz val="9"/>
      <color theme="1"/>
      <name val="Century Gothic"/>
      <family val="2"/>
    </font>
    <font>
      <b/>
      <i/>
      <sz val="9"/>
      <color rgb="FFFF0000"/>
      <name val="Century Gothic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10"/>
      <color theme="1"/>
      <name val="Century Gothic"/>
      <family val="2"/>
    </font>
    <font>
      <b/>
      <i/>
      <sz val="10"/>
      <color rgb="FFFF0000"/>
      <name val="Century Gothic"/>
      <family val="2"/>
    </font>
    <font>
      <i/>
      <sz val="10"/>
      <color rgb="FFFF0000"/>
      <name val="Century Gothic"/>
      <family val="2"/>
    </font>
    <font>
      <b/>
      <i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entury Gothic"/>
      <family val="2"/>
    </font>
    <font>
      <b/>
      <i/>
      <sz val="9"/>
      <name val="Century Gothic"/>
      <family val="2"/>
    </font>
    <font>
      <sz val="9"/>
      <color rgb="FF0070C0"/>
      <name val="Century Gothic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entury Gothic"/>
      <family val="2"/>
    </font>
    <font>
      <i/>
      <sz val="10"/>
      <name val="Century Gothic"/>
      <family val="2"/>
    </font>
    <font>
      <b/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b/>
      <u/>
      <sz val="10"/>
      <color theme="1"/>
      <name val="Calibri"/>
      <family val="2"/>
      <scheme val="minor"/>
    </font>
    <font>
      <b/>
      <i/>
      <sz val="8"/>
      <name val="Century Gothic"/>
      <family val="2"/>
    </font>
    <font>
      <b/>
      <i/>
      <sz val="10"/>
      <name val="Century Gothic"/>
      <family val="2"/>
    </font>
    <font>
      <sz val="9.5"/>
      <name val="Century Gothic"/>
      <family val="2"/>
    </font>
    <font>
      <b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theme="9" tint="-0.249977111117893"/>
      <name val="Century Gothic"/>
      <family val="2"/>
    </font>
    <font>
      <sz val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9" tint="-0.249977111117893"/>
      <name val="Century Gothic"/>
      <family val="2"/>
    </font>
    <font>
      <b/>
      <i/>
      <sz val="10"/>
      <color theme="9" tint="-0.249977111117893"/>
      <name val="Century Gothic"/>
      <family val="2"/>
    </font>
    <font>
      <b/>
      <sz val="9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sz val="9"/>
      <color theme="9" tint="-0.249977111117893"/>
      <name val="Century Gothic"/>
      <family val="2"/>
    </font>
    <font>
      <b/>
      <sz val="10"/>
      <color rgb="FFFF0000"/>
      <name val="Century Gothic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.5"/>
      <color rgb="FFFF0000"/>
      <name val="Century Gothic"/>
      <family val="2"/>
    </font>
    <font>
      <b/>
      <sz val="12"/>
      <color rgb="FFFF0000"/>
      <name val="Calibri"/>
      <family val="2"/>
      <scheme val="minor"/>
    </font>
    <font>
      <b/>
      <i/>
      <sz val="9"/>
      <color rgb="FFED0000"/>
      <name val="Century Gothic"/>
      <family val="2"/>
    </font>
    <font>
      <b/>
      <i/>
      <u/>
      <sz val="10"/>
      <color rgb="FFFF0000"/>
      <name val="Calibri"/>
      <family val="2"/>
      <scheme val="minor"/>
    </font>
    <font>
      <b/>
      <sz val="9"/>
      <color rgb="FFED0000"/>
      <name val="Century Gothic"/>
      <family val="2"/>
    </font>
    <font>
      <b/>
      <sz val="8"/>
      <color theme="1"/>
      <name val="Century Gothic"/>
      <family val="2"/>
    </font>
    <font>
      <sz val="9.5"/>
      <color theme="1"/>
      <name val="Century Gothic"/>
      <family val="2"/>
    </font>
    <font>
      <b/>
      <sz val="9.5"/>
      <color rgb="FFFF0000"/>
      <name val="Century Gothic"/>
      <family val="2"/>
    </font>
    <font>
      <b/>
      <i/>
      <sz val="9"/>
      <color rgb="FFED0000"/>
      <name val="Calibri"/>
      <family val="2"/>
      <scheme val="minor"/>
    </font>
    <font>
      <b/>
      <i/>
      <sz val="9"/>
      <color rgb="FFE40000"/>
      <name val="Century Gothic"/>
      <family val="2"/>
    </font>
    <font>
      <i/>
      <sz val="9"/>
      <color rgb="FFED0000"/>
      <name val="Century Gothic"/>
      <family val="2"/>
    </font>
    <font>
      <b/>
      <i/>
      <sz val="10"/>
      <color rgb="FFE4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759">
    <xf numFmtId="0" fontId="0" fillId="0" borderId="0" xfId="0"/>
    <xf numFmtId="165" fontId="3" fillId="0" borderId="0" xfId="1" applyNumberFormat="1" applyFont="1" applyAlignment="1">
      <alignment horizontal="center"/>
    </xf>
    <xf numFmtId="0" fontId="11" fillId="0" borderId="0" xfId="0" applyFont="1"/>
    <xf numFmtId="0" fontId="8" fillId="0" borderId="0" xfId="1" applyFont="1" applyAlignment="1">
      <alignment horizontal="center" vertical="center"/>
    </xf>
    <xf numFmtId="2" fontId="7" fillId="0" borderId="0" xfId="1" applyNumberFormat="1" applyFont="1"/>
    <xf numFmtId="1" fontId="7" fillId="0" borderId="3" xfId="1" applyNumberFormat="1" applyFont="1" applyBorder="1" applyAlignment="1">
      <alignment horizontal="center"/>
    </xf>
    <xf numFmtId="165" fontId="7" fillId="0" borderId="0" xfId="1" applyNumberFormat="1" applyFont="1" applyAlignment="1">
      <alignment horizontal="center"/>
    </xf>
    <xf numFmtId="1" fontId="11" fillId="0" borderId="0" xfId="0" applyNumberFormat="1" applyFont="1"/>
    <xf numFmtId="1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164" fontId="7" fillId="0" borderId="0" xfId="1" applyNumberFormat="1" applyFont="1"/>
    <xf numFmtId="165" fontId="7" fillId="0" borderId="0" xfId="1" applyNumberFormat="1" applyFont="1"/>
    <xf numFmtId="164" fontId="11" fillId="0" borderId="0" xfId="0" applyNumberFormat="1" applyFont="1"/>
    <xf numFmtId="2" fontId="7" fillId="2" borderId="0" xfId="1" applyNumberFormat="1" applyFont="1" applyFill="1"/>
    <xf numFmtId="0" fontId="11" fillId="2" borderId="0" xfId="0" applyFont="1" applyFill="1"/>
    <xf numFmtId="14" fontId="8" fillId="0" borderId="0" xfId="1" applyNumberFormat="1" applyFont="1" applyAlignment="1">
      <alignment horizontal="center"/>
    </xf>
    <xf numFmtId="1" fontId="7" fillId="2" borderId="0" xfId="1" applyNumberFormat="1" applyFont="1" applyFill="1" applyAlignment="1">
      <alignment horizontal="center"/>
    </xf>
    <xf numFmtId="1" fontId="12" fillId="0" borderId="0" xfId="0" applyNumberFormat="1" applyFont="1"/>
    <xf numFmtId="0" fontId="4" fillId="0" borderId="0" xfId="1" applyFont="1" applyAlignment="1">
      <alignment horizontal="center" vertical="center"/>
    </xf>
    <xf numFmtId="0" fontId="13" fillId="0" borderId="0" xfId="0" applyFont="1"/>
    <xf numFmtId="165" fontId="11" fillId="0" borderId="0" xfId="0" applyNumberFormat="1" applyFont="1"/>
    <xf numFmtId="164" fontId="14" fillId="0" borderId="0" xfId="1" applyNumberFormat="1" applyFont="1"/>
    <xf numFmtId="165" fontId="8" fillId="0" borderId="0" xfId="1" applyNumberFormat="1" applyFont="1"/>
    <xf numFmtId="165" fontId="7" fillId="2" borderId="0" xfId="1" applyNumberFormat="1" applyFont="1" applyFill="1" applyAlignment="1">
      <alignment horizontal="center"/>
    </xf>
    <xf numFmtId="0" fontId="12" fillId="2" borderId="0" xfId="0" applyFont="1" applyFill="1"/>
    <xf numFmtId="165" fontId="7" fillId="2" borderId="0" xfId="0" applyNumberFormat="1" applyFont="1" applyFill="1"/>
    <xf numFmtId="164" fontId="15" fillId="2" borderId="0" xfId="0" applyNumberFormat="1" applyFont="1" applyFill="1"/>
    <xf numFmtId="165" fontId="8" fillId="2" borderId="0" xfId="0" applyNumberFormat="1" applyFont="1" applyFill="1"/>
    <xf numFmtId="16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" fontId="4" fillId="3" borderId="22" xfId="1" applyNumberFormat="1" applyFont="1" applyFill="1" applyBorder="1" applyAlignment="1">
      <alignment horizontal="center" vertical="center" wrapText="1"/>
    </xf>
    <xf numFmtId="1" fontId="12" fillId="3" borderId="15" xfId="0" applyNumberFormat="1" applyFont="1" applyFill="1" applyBorder="1"/>
    <xf numFmtId="0" fontId="5" fillId="2" borderId="0" xfId="1" applyFont="1" applyFill="1" applyAlignment="1">
      <alignment horizontal="center" vertical="center"/>
    </xf>
    <xf numFmtId="164" fontId="2" fillId="0" borderId="0" xfId="1" applyNumberFormat="1" applyFont="1"/>
    <xf numFmtId="165" fontId="8" fillId="0" borderId="0" xfId="1" applyNumberFormat="1" applyFont="1" applyAlignment="1">
      <alignment horizontal="center"/>
    </xf>
    <xf numFmtId="14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/>
    <xf numFmtId="165" fontId="3" fillId="2" borderId="0" xfId="1" applyNumberFormat="1" applyFont="1" applyFill="1" applyAlignment="1">
      <alignment horizontal="center"/>
    </xf>
    <xf numFmtId="167" fontId="11" fillId="2" borderId="0" xfId="0" applyNumberFormat="1" applyFont="1" applyFill="1"/>
    <xf numFmtId="164" fontId="9" fillId="0" borderId="0" xfId="1" applyNumberFormat="1" applyFont="1"/>
    <xf numFmtId="166" fontId="11" fillId="2" borderId="0" xfId="0" applyNumberFormat="1" applyFont="1" applyFill="1"/>
    <xf numFmtId="166" fontId="11" fillId="0" borderId="0" xfId="0" applyNumberFormat="1" applyFont="1"/>
    <xf numFmtId="1" fontId="8" fillId="3" borderId="16" xfId="1" applyNumberFormat="1" applyFont="1" applyFill="1" applyBorder="1" applyAlignment="1">
      <alignment horizontal="center" vertical="center" wrapText="1"/>
    </xf>
    <xf numFmtId="165" fontId="11" fillId="2" borderId="0" xfId="0" applyNumberFormat="1" applyFont="1" applyFill="1"/>
    <xf numFmtId="166" fontId="13" fillId="2" borderId="0" xfId="0" applyNumberFormat="1" applyFont="1" applyFill="1"/>
    <xf numFmtId="165" fontId="12" fillId="2" borderId="0" xfId="0" applyNumberFormat="1" applyFont="1" applyFill="1"/>
    <xf numFmtId="165" fontId="14" fillId="2" borderId="0" xfId="0" applyNumberFormat="1" applyFont="1" applyFill="1"/>
    <xf numFmtId="165" fontId="7" fillId="2" borderId="31" xfId="1" applyNumberFormat="1" applyFont="1" applyFill="1" applyBorder="1" applyAlignment="1">
      <alignment horizontal="center"/>
    </xf>
    <xf numFmtId="0" fontId="8" fillId="3" borderId="39" xfId="1" applyFont="1" applyFill="1" applyBorder="1" applyAlignment="1">
      <alignment horizontal="center" vertical="center"/>
    </xf>
    <xf numFmtId="14" fontId="7" fillId="2" borderId="20" xfId="1" quotePrefix="1" applyNumberFormat="1" applyFont="1" applyFill="1" applyBorder="1" applyAlignment="1">
      <alignment horizontal="center"/>
    </xf>
    <xf numFmtId="165" fontId="16" fillId="0" borderId="0" xfId="1" applyNumberFormat="1" applyFont="1" applyAlignment="1">
      <alignment horizontal="center"/>
    </xf>
    <xf numFmtId="165" fontId="16" fillId="0" borderId="0" xfId="1" applyNumberFormat="1" applyFont="1"/>
    <xf numFmtId="165" fontId="21" fillId="2" borderId="0" xfId="0" applyNumberFormat="1" applyFont="1" applyFill="1"/>
    <xf numFmtId="164" fontId="16" fillId="0" borderId="0" xfId="1" applyNumberFormat="1" applyFont="1"/>
    <xf numFmtId="0" fontId="10" fillId="3" borderId="15" xfId="0" applyFont="1" applyFill="1" applyBorder="1" applyAlignment="1">
      <alignment horizontal="center"/>
    </xf>
    <xf numFmtId="17" fontId="10" fillId="3" borderId="2" xfId="0" applyNumberFormat="1" applyFont="1" applyFill="1" applyBorder="1" applyAlignment="1">
      <alignment horizontal="center" vertical="center"/>
    </xf>
    <xf numFmtId="17" fontId="10" fillId="3" borderId="1" xfId="0" applyNumberFormat="1" applyFont="1" applyFill="1" applyBorder="1" applyAlignment="1">
      <alignment horizontal="center" vertical="center"/>
    </xf>
    <xf numFmtId="0" fontId="14" fillId="2" borderId="0" xfId="1" quotePrefix="1" applyFont="1" applyFill="1" applyAlignment="1">
      <alignment horizontal="center"/>
    </xf>
    <xf numFmtId="14" fontId="7" fillId="2" borderId="0" xfId="1" quotePrefix="1" applyNumberFormat="1" applyFont="1" applyFill="1" applyAlignment="1">
      <alignment horizontal="center"/>
    </xf>
    <xf numFmtId="0" fontId="7" fillId="2" borderId="0" xfId="1" quotePrefix="1" applyFont="1" applyFill="1" applyAlignment="1">
      <alignment horizontal="center"/>
    </xf>
    <xf numFmtId="14" fontId="9" fillId="2" borderId="0" xfId="1" quotePrefix="1" applyNumberFormat="1" applyFont="1" applyFill="1" applyAlignment="1">
      <alignment horizontal="center"/>
    </xf>
    <xf numFmtId="0" fontId="16" fillId="0" borderId="0" xfId="1" applyFont="1" applyAlignment="1">
      <alignment horizontal="center"/>
    </xf>
    <xf numFmtId="17" fontId="10" fillId="3" borderId="28" xfId="0" applyNumberFormat="1" applyFont="1" applyFill="1" applyBorder="1" applyAlignment="1">
      <alignment horizontal="center" vertical="center"/>
    </xf>
    <xf numFmtId="0" fontId="12" fillId="3" borderId="15" xfId="0" applyFont="1" applyFill="1" applyBorder="1"/>
    <xf numFmtId="0" fontId="10" fillId="3" borderId="5" xfId="0" applyFont="1" applyFill="1" applyBorder="1" applyAlignment="1">
      <alignment horizontal="center"/>
    </xf>
    <xf numFmtId="17" fontId="10" fillId="3" borderId="6" xfId="0" applyNumberFormat="1" applyFont="1" applyFill="1" applyBorder="1"/>
    <xf numFmtId="17" fontId="10" fillId="3" borderId="8" xfId="0" applyNumberFormat="1" applyFont="1" applyFill="1" applyBorder="1"/>
    <xf numFmtId="17" fontId="10" fillId="3" borderId="11" xfId="0" applyNumberFormat="1" applyFont="1" applyFill="1" applyBorder="1"/>
    <xf numFmtId="165" fontId="24" fillId="0" borderId="0" xfId="1" applyNumberFormat="1" applyFont="1" applyAlignment="1">
      <alignment horizontal="center"/>
    </xf>
    <xf numFmtId="0" fontId="8" fillId="3" borderId="36" xfId="1" applyFont="1" applyFill="1" applyBorder="1" applyAlignment="1">
      <alignment horizontal="center" vertical="center"/>
    </xf>
    <xf numFmtId="164" fontId="8" fillId="0" borderId="5" xfId="1" applyNumberFormat="1" applyFont="1" applyBorder="1"/>
    <xf numFmtId="165" fontId="8" fillId="0" borderId="5" xfId="1" applyNumberFormat="1" applyFont="1" applyBorder="1"/>
    <xf numFmtId="164" fontId="20" fillId="0" borderId="14" xfId="1" applyNumberFormat="1" applyFont="1" applyBorder="1"/>
    <xf numFmtId="165" fontId="20" fillId="0" borderId="14" xfId="1" applyNumberFormat="1" applyFont="1" applyBorder="1" applyAlignment="1">
      <alignment horizontal="right"/>
    </xf>
    <xf numFmtId="164" fontId="11" fillId="2" borderId="0" xfId="0" applyNumberFormat="1" applyFont="1" applyFill="1"/>
    <xf numFmtId="166" fontId="2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25" fillId="0" borderId="0" xfId="0" applyFont="1"/>
    <xf numFmtId="0" fontId="18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165" fontId="22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4" fontId="11" fillId="2" borderId="0" xfId="0" applyNumberFormat="1" applyFont="1" applyFill="1"/>
    <xf numFmtId="0" fontId="25" fillId="2" borderId="0" xfId="0" applyFont="1" applyFill="1"/>
    <xf numFmtId="165" fontId="7" fillId="2" borderId="37" xfId="1" applyNumberFormat="1" applyFont="1" applyFill="1" applyBorder="1" applyAlignment="1">
      <alignment horizontal="center"/>
    </xf>
    <xf numFmtId="14" fontId="7" fillId="2" borderId="19" xfId="1" quotePrefix="1" applyNumberFormat="1" applyFont="1" applyFill="1" applyBorder="1" applyAlignment="1">
      <alignment horizontal="center"/>
    </xf>
    <xf numFmtId="14" fontId="7" fillId="2" borderId="40" xfId="1" quotePrefix="1" applyNumberFormat="1" applyFont="1" applyFill="1" applyBorder="1" applyAlignment="1">
      <alignment horizontal="center"/>
    </xf>
    <xf numFmtId="165" fontId="7" fillId="2" borderId="29" xfId="1" applyNumberFormat="1" applyFont="1" applyFill="1" applyBorder="1" applyAlignment="1">
      <alignment horizontal="center"/>
    </xf>
    <xf numFmtId="14" fontId="9" fillId="2" borderId="40" xfId="1" quotePrefix="1" applyNumberFormat="1" applyFont="1" applyFill="1" applyBorder="1" applyAlignment="1">
      <alignment horizontal="center"/>
    </xf>
    <xf numFmtId="14" fontId="9" fillId="2" borderId="20" xfId="1" quotePrefix="1" applyNumberFormat="1" applyFont="1" applyFill="1" applyBorder="1" applyAlignment="1">
      <alignment horizontal="center"/>
    </xf>
    <xf numFmtId="165" fontId="9" fillId="0" borderId="0" xfId="1" applyNumberFormat="1" applyFont="1" applyAlignment="1">
      <alignment horizontal="center"/>
    </xf>
    <xf numFmtId="168" fontId="11" fillId="0" borderId="0" xfId="0" applyNumberFormat="1" applyFont="1"/>
    <xf numFmtId="164" fontId="0" fillId="0" borderId="0" xfId="0" applyNumberFormat="1"/>
    <xf numFmtId="0" fontId="7" fillId="2" borderId="31" xfId="1" applyFont="1" applyFill="1" applyBorder="1" applyAlignment="1">
      <alignment horizontal="center"/>
    </xf>
    <xf numFmtId="164" fontId="7" fillId="2" borderId="31" xfId="1" applyNumberFormat="1" applyFont="1" applyFill="1" applyBorder="1"/>
    <xf numFmtId="165" fontId="7" fillId="2" borderId="33" xfId="1" applyNumberFormat="1" applyFont="1" applyFill="1" applyBorder="1"/>
    <xf numFmtId="0" fontId="7" fillId="2" borderId="37" xfId="1" applyFont="1" applyFill="1" applyBorder="1" applyAlignment="1">
      <alignment horizontal="center"/>
    </xf>
    <xf numFmtId="164" fontId="7" fillId="2" borderId="37" xfId="1" applyNumberFormat="1" applyFont="1" applyFill="1" applyBorder="1"/>
    <xf numFmtId="165" fontId="7" fillId="2" borderId="32" xfId="1" applyNumberFormat="1" applyFont="1" applyFill="1" applyBorder="1"/>
    <xf numFmtId="165" fontId="22" fillId="0" borderId="7" xfId="0" applyNumberFormat="1" applyFont="1" applyBorder="1" applyAlignment="1">
      <alignment horizontal="right" vertical="center"/>
    </xf>
    <xf numFmtId="165" fontId="22" fillId="0" borderId="9" xfId="0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165" fontId="3" fillId="0" borderId="12" xfId="0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164" fontId="3" fillId="0" borderId="4" xfId="1" applyNumberFormat="1" applyFont="1" applyBorder="1" applyAlignment="1">
      <alignment horizontal="right" vertical="center"/>
    </xf>
    <xf numFmtId="0" fontId="7" fillId="2" borderId="29" xfId="1" applyFont="1" applyFill="1" applyBorder="1" applyAlignment="1">
      <alignment horizontal="center"/>
    </xf>
    <xf numFmtId="0" fontId="16" fillId="0" borderId="0" xfId="1" applyFont="1" applyAlignment="1">
      <alignment horizontal="left" vertical="center"/>
    </xf>
    <xf numFmtId="164" fontId="7" fillId="2" borderId="29" xfId="1" applyNumberFormat="1" applyFont="1" applyFill="1" applyBorder="1"/>
    <xf numFmtId="165" fontId="7" fillId="2" borderId="41" xfId="1" applyNumberFormat="1" applyFont="1" applyFill="1" applyBorder="1"/>
    <xf numFmtId="164" fontId="16" fillId="0" borderId="0" xfId="1" applyNumberFormat="1" applyFont="1" applyAlignment="1">
      <alignment horizontal="left" vertical="center"/>
    </xf>
    <xf numFmtId="165" fontId="7" fillId="2" borderId="36" xfId="1" applyNumberFormat="1" applyFont="1" applyFill="1" applyBorder="1" applyAlignment="1">
      <alignment horizontal="center"/>
    </xf>
    <xf numFmtId="0" fontId="7" fillId="2" borderId="36" xfId="1" applyFont="1" applyFill="1" applyBorder="1" applyAlignment="1">
      <alignment horizontal="center"/>
    </xf>
    <xf numFmtId="165" fontId="7" fillId="2" borderId="43" xfId="1" applyNumberFormat="1" applyFont="1" applyFill="1" applyBorder="1"/>
    <xf numFmtId="0" fontId="0" fillId="2" borderId="0" xfId="0" applyFill="1"/>
    <xf numFmtId="4" fontId="8" fillId="0" borderId="5" xfId="1" applyNumberFormat="1" applyFont="1" applyBorder="1"/>
    <xf numFmtId="164" fontId="7" fillId="2" borderId="38" xfId="1" applyNumberFormat="1" applyFont="1" applyFill="1" applyBorder="1"/>
    <xf numFmtId="165" fontId="7" fillId="2" borderId="38" xfId="1" applyNumberFormat="1" applyFont="1" applyFill="1" applyBorder="1" applyAlignment="1">
      <alignment horizontal="center"/>
    </xf>
    <xf numFmtId="165" fontId="7" fillId="2" borderId="34" xfId="1" applyNumberFormat="1" applyFont="1" applyFill="1" applyBorder="1"/>
    <xf numFmtId="0" fontId="8" fillId="0" borderId="0" xfId="1" applyFont="1" applyAlignment="1">
      <alignment horizontal="center"/>
    </xf>
    <xf numFmtId="0" fontId="7" fillId="0" borderId="0" xfId="1" applyFont="1"/>
    <xf numFmtId="0" fontId="8" fillId="2" borderId="0" xfId="1" applyFont="1" applyFill="1" applyAlignment="1">
      <alignment horizontal="center" vertical="center"/>
    </xf>
    <xf numFmtId="14" fontId="8" fillId="2" borderId="0" xfId="1" applyNumberFormat="1" applyFont="1" applyFill="1" applyAlignment="1">
      <alignment horizontal="center"/>
    </xf>
    <xf numFmtId="164" fontId="8" fillId="0" borderId="0" xfId="1" applyNumberFormat="1" applyFont="1"/>
    <xf numFmtId="14" fontId="7" fillId="0" borderId="0" xfId="1" quotePrefix="1" applyNumberFormat="1" applyFont="1" applyAlignment="1">
      <alignment horizontal="center"/>
    </xf>
    <xf numFmtId="0" fontId="7" fillId="0" borderId="0" xfId="1" quotePrefix="1" applyFont="1" applyAlignment="1">
      <alignment horizontal="center"/>
    </xf>
    <xf numFmtId="0" fontId="7" fillId="2" borderId="2" xfId="1" quotePrefix="1" applyFont="1" applyFill="1" applyBorder="1" applyAlignment="1">
      <alignment horizontal="center"/>
    </xf>
    <xf numFmtId="0" fontId="32" fillId="0" borderId="0" xfId="0" applyFont="1"/>
    <xf numFmtId="164" fontId="7" fillId="2" borderId="2" xfId="1" applyNumberFormat="1" applyFont="1" applyFill="1" applyBorder="1"/>
    <xf numFmtId="165" fontId="7" fillId="2" borderId="53" xfId="1" applyNumberFormat="1" applyFont="1" applyFill="1" applyBorder="1" applyAlignment="1">
      <alignment horizontal="center"/>
    </xf>
    <xf numFmtId="165" fontId="7" fillId="2" borderId="2" xfId="1" applyNumberFormat="1" applyFont="1" applyFill="1" applyBorder="1"/>
    <xf numFmtId="165" fontId="7" fillId="2" borderId="4" xfId="1" applyNumberFormat="1" applyFont="1" applyFill="1" applyBorder="1"/>
    <xf numFmtId="0" fontId="33" fillId="0" borderId="0" xfId="0" applyFont="1"/>
    <xf numFmtId="165" fontId="21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165" fontId="30" fillId="0" borderId="0" xfId="1" applyNumberFormat="1" applyFont="1" applyAlignment="1">
      <alignment horizontal="center"/>
    </xf>
    <xf numFmtId="165" fontId="14" fillId="0" borderId="0" xfId="1" applyNumberFormat="1" applyFont="1" applyAlignment="1">
      <alignment horizontal="center"/>
    </xf>
    <xf numFmtId="4" fontId="15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8" fillId="2" borderId="0" xfId="1" applyNumberFormat="1" applyFont="1" applyFill="1"/>
    <xf numFmtId="165" fontId="8" fillId="2" borderId="0" xfId="1" applyNumberFormat="1" applyFont="1" applyFill="1"/>
    <xf numFmtId="164" fontId="31" fillId="2" borderId="4" xfId="1" applyNumberFormat="1" applyFont="1" applyFill="1" applyBorder="1"/>
    <xf numFmtId="165" fontId="7" fillId="2" borderId="52" xfId="1" applyNumberFormat="1" applyFont="1" applyFill="1" applyBorder="1" applyAlignment="1">
      <alignment horizontal="center"/>
    </xf>
    <xf numFmtId="0" fontId="8" fillId="6" borderId="13" xfId="1" applyFont="1" applyFill="1" applyBorder="1" applyAlignment="1">
      <alignment horizontal="center" vertical="center"/>
    </xf>
    <xf numFmtId="14" fontId="7" fillId="2" borderId="6" xfId="1" quotePrefix="1" applyNumberFormat="1" applyFont="1" applyFill="1" applyBorder="1" applyAlignment="1">
      <alignment horizontal="center"/>
    </xf>
    <xf numFmtId="0" fontId="7" fillId="2" borderId="53" xfId="1" applyFont="1" applyFill="1" applyBorder="1" applyAlignment="1">
      <alignment horizontal="center"/>
    </xf>
    <xf numFmtId="0" fontId="11" fillId="2" borderId="11" xfId="0" applyFont="1" applyFill="1" applyBorder="1"/>
    <xf numFmtId="0" fontId="11" fillId="2" borderId="4" xfId="0" applyFont="1" applyFill="1" applyBorder="1"/>
    <xf numFmtId="0" fontId="7" fillId="2" borderId="52" xfId="1" applyFont="1" applyFill="1" applyBorder="1" applyAlignment="1">
      <alignment horizontal="center"/>
    </xf>
    <xf numFmtId="171" fontId="8" fillId="0" borderId="5" xfId="1" applyNumberFormat="1" applyFont="1" applyBorder="1"/>
    <xf numFmtId="172" fontId="8" fillId="0" borderId="5" xfId="1" applyNumberFormat="1" applyFont="1" applyBorder="1"/>
    <xf numFmtId="171" fontId="7" fillId="0" borderId="0" xfId="1" applyNumberFormat="1" applyFont="1" applyAlignment="1">
      <alignment horizontal="center"/>
    </xf>
    <xf numFmtId="165" fontId="2" fillId="0" borderId="14" xfId="1" applyNumberFormat="1" applyFont="1" applyBorder="1"/>
    <xf numFmtId="164" fontId="2" fillId="0" borderId="5" xfId="1" applyNumberFormat="1" applyFont="1" applyBorder="1"/>
    <xf numFmtId="165" fontId="34" fillId="6" borderId="17" xfId="0" applyNumberFormat="1" applyFont="1" applyFill="1" applyBorder="1" applyAlignment="1">
      <alignment horizontal="center" vertical="center"/>
    </xf>
    <xf numFmtId="0" fontId="8" fillId="6" borderId="22" xfId="1" applyFont="1" applyFill="1" applyBorder="1" applyAlignment="1">
      <alignment horizontal="center" vertical="center"/>
    </xf>
    <xf numFmtId="0" fontId="8" fillId="6" borderId="27" xfId="1" applyFont="1" applyFill="1" applyBorder="1" applyAlignment="1">
      <alignment horizontal="center" vertical="center"/>
    </xf>
    <xf numFmtId="172" fontId="8" fillId="0" borderId="14" xfId="1" applyNumberFormat="1" applyFont="1" applyBorder="1"/>
    <xf numFmtId="4" fontId="20" fillId="0" borderId="14" xfId="1" applyNumberFormat="1" applyFont="1" applyBorder="1" applyAlignment="1">
      <alignment horizontal="right"/>
    </xf>
    <xf numFmtId="165" fontId="29" fillId="0" borderId="2" xfId="0" applyNumberFormat="1" applyFont="1" applyBorder="1" applyAlignment="1">
      <alignment horizontal="right" vertical="center"/>
    </xf>
    <xf numFmtId="0" fontId="17" fillId="6" borderId="24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1" fillId="0" borderId="4" xfId="0" applyFont="1" applyBorder="1"/>
    <xf numFmtId="0" fontId="3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2" fillId="2" borderId="1" xfId="0" applyFont="1" applyFill="1" applyBorder="1"/>
    <xf numFmtId="0" fontId="22" fillId="0" borderId="1" xfId="0" applyFont="1" applyBorder="1"/>
    <xf numFmtId="165" fontId="22" fillId="0" borderId="1" xfId="0" applyNumberFormat="1" applyFont="1" applyBorder="1"/>
    <xf numFmtId="0" fontId="22" fillId="0" borderId="4" xfId="0" applyFont="1" applyBorder="1"/>
    <xf numFmtId="0" fontId="22" fillId="2" borderId="1" xfId="0" applyFont="1" applyFill="1" applyBorder="1" applyAlignment="1">
      <alignment horizontal="left" vertical="center"/>
    </xf>
    <xf numFmtId="0" fontId="36" fillId="2" borderId="1" xfId="0" applyFont="1" applyFill="1" applyBorder="1"/>
    <xf numFmtId="0" fontId="36" fillId="0" borderId="1" xfId="0" applyFont="1" applyBorder="1"/>
    <xf numFmtId="165" fontId="36" fillId="0" borderId="1" xfId="0" applyNumberFormat="1" applyFont="1" applyBorder="1"/>
    <xf numFmtId="0" fontId="36" fillId="0" borderId="4" xfId="0" applyFont="1" applyBorder="1"/>
    <xf numFmtId="165" fontId="20" fillId="0" borderId="14" xfId="0" applyNumberFormat="1" applyFont="1" applyBorder="1" applyAlignment="1">
      <alignment horizontal="right" vertical="center"/>
    </xf>
    <xf numFmtId="17" fontId="34" fillId="6" borderId="18" xfId="0" applyNumberFormat="1" applyFont="1" applyFill="1" applyBorder="1" applyAlignment="1">
      <alignment horizontal="left"/>
    </xf>
    <xf numFmtId="0" fontId="36" fillId="6" borderId="7" xfId="0" applyFont="1" applyFill="1" applyBorder="1"/>
    <xf numFmtId="0" fontId="36" fillId="6" borderId="9" xfId="0" applyFont="1" applyFill="1" applyBorder="1"/>
    <xf numFmtId="0" fontId="22" fillId="0" borderId="0" xfId="0" applyFont="1"/>
    <xf numFmtId="17" fontId="22" fillId="6" borderId="6" xfId="0" applyNumberFormat="1" applyFont="1" applyFill="1" applyBorder="1"/>
    <xf numFmtId="17" fontId="22" fillId="6" borderId="8" xfId="0" applyNumberFormat="1" applyFont="1" applyFill="1" applyBorder="1"/>
    <xf numFmtId="17" fontId="22" fillId="6" borderId="11" xfId="0" applyNumberFormat="1" applyFont="1" applyFill="1" applyBorder="1"/>
    <xf numFmtId="17" fontId="34" fillId="6" borderId="17" xfId="0" applyNumberFormat="1" applyFont="1" applyFill="1" applyBorder="1" applyAlignment="1">
      <alignment horizontal="left"/>
    </xf>
    <xf numFmtId="164" fontId="0" fillId="0" borderId="1" xfId="0" applyNumberFormat="1" applyBorder="1"/>
    <xf numFmtId="164" fontId="11" fillId="0" borderId="1" xfId="0" applyNumberFormat="1" applyFont="1" applyBorder="1"/>
    <xf numFmtId="14" fontId="35" fillId="2" borderId="4" xfId="1" quotePrefix="1" applyNumberFormat="1" applyFont="1" applyFill="1" applyBorder="1" applyAlignment="1">
      <alignment horizontal="center"/>
    </xf>
    <xf numFmtId="0" fontId="2" fillId="2" borderId="4" xfId="1" quotePrefix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/>
    </xf>
    <xf numFmtId="164" fontId="3" fillId="2" borderId="4" xfId="1" applyNumberFormat="1" applyFont="1" applyFill="1" applyBorder="1"/>
    <xf numFmtId="165" fontId="3" fillId="2" borderId="12" xfId="1" applyNumberFormat="1" applyFont="1" applyFill="1" applyBorder="1"/>
    <xf numFmtId="165" fontId="3" fillId="2" borderId="4" xfId="1" applyNumberFormat="1" applyFont="1" applyFill="1" applyBorder="1" applyAlignment="1">
      <alignment horizontal="center"/>
    </xf>
    <xf numFmtId="4" fontId="37" fillId="6" borderId="24" xfId="0" applyNumberFormat="1" applyFont="1" applyFill="1" applyBorder="1" applyAlignment="1">
      <alignment horizontal="center" vertical="center"/>
    </xf>
    <xf numFmtId="171" fontId="8" fillId="0" borderId="0" xfId="1" applyNumberFormat="1" applyFont="1"/>
    <xf numFmtId="172" fontId="8" fillId="0" borderId="0" xfId="1" applyNumberFormat="1" applyFont="1"/>
    <xf numFmtId="165" fontId="8" fillId="2" borderId="0" xfId="1" applyNumberFormat="1" applyFont="1" applyFill="1" applyAlignment="1">
      <alignment horizontal="center"/>
    </xf>
    <xf numFmtId="0" fontId="11" fillId="0" borderId="31" xfId="0" applyFont="1" applyBorder="1"/>
    <xf numFmtId="0" fontId="11" fillId="0" borderId="20" xfId="0" applyFont="1" applyBorder="1"/>
    <xf numFmtId="0" fontId="7" fillId="2" borderId="38" xfId="1" applyFont="1" applyFill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166" fontId="20" fillId="2" borderId="17" xfId="0" applyNumberFormat="1" applyFont="1" applyFill="1" applyBorder="1" applyAlignment="1">
      <alignment horizontal="right" vertical="center"/>
    </xf>
    <xf numFmtId="14" fontId="39" fillId="2" borderId="21" xfId="1" quotePrefix="1" applyNumberFormat="1" applyFont="1" applyFill="1" applyBorder="1" applyAlignment="1">
      <alignment horizontal="center"/>
    </xf>
    <xf numFmtId="166" fontId="20" fillId="2" borderId="0" xfId="0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horizontal="right" vertical="center"/>
    </xf>
    <xf numFmtId="164" fontId="7" fillId="0" borderId="4" xfId="1" applyNumberFormat="1" applyFont="1" applyBorder="1" applyAlignment="1">
      <alignment horizontal="right" vertical="center"/>
    </xf>
    <xf numFmtId="165" fontId="7" fillId="0" borderId="12" xfId="0" applyNumberFormat="1" applyFont="1" applyBorder="1" applyAlignment="1">
      <alignment horizontal="right" vertical="center"/>
    </xf>
    <xf numFmtId="164" fontId="2" fillId="0" borderId="14" xfId="1" applyNumberFormat="1" applyFont="1" applyBorder="1" applyAlignment="1">
      <alignment horizontal="right" vertical="center"/>
    </xf>
    <xf numFmtId="17" fontId="36" fillId="3" borderId="6" xfId="0" applyNumberFormat="1" applyFont="1" applyFill="1" applyBorder="1"/>
    <xf numFmtId="17" fontId="36" fillId="3" borderId="53" xfId="0" applyNumberFormat="1" applyFont="1" applyFill="1" applyBorder="1"/>
    <xf numFmtId="17" fontId="36" fillId="3" borderId="8" xfId="0" applyNumberFormat="1" applyFont="1" applyFill="1" applyBorder="1"/>
    <xf numFmtId="17" fontId="36" fillId="3" borderId="54" xfId="0" applyNumberFormat="1" applyFont="1" applyFill="1" applyBorder="1"/>
    <xf numFmtId="17" fontId="36" fillId="3" borderId="55" xfId="0" applyNumberFormat="1" applyFont="1" applyFill="1" applyBorder="1"/>
    <xf numFmtId="17" fontId="36" fillId="3" borderId="11" xfId="0" applyNumberFormat="1" applyFont="1" applyFill="1" applyBorder="1"/>
    <xf numFmtId="17" fontId="36" fillId="3" borderId="52" xfId="0" applyNumberFormat="1" applyFont="1" applyFill="1" applyBorder="1"/>
    <xf numFmtId="166" fontId="3" fillId="2" borderId="0" xfId="0" applyNumberFormat="1" applyFont="1" applyFill="1" applyAlignment="1">
      <alignment horizontal="right"/>
    </xf>
    <xf numFmtId="173" fontId="3" fillId="2" borderId="0" xfId="0" applyNumberFormat="1" applyFont="1" applyFill="1" applyAlignment="1">
      <alignment horizontal="right"/>
    </xf>
    <xf numFmtId="166" fontId="3" fillId="0" borderId="0" xfId="0" applyNumberFormat="1" applyFont="1" applyAlignment="1">
      <alignment horizontal="right"/>
    </xf>
    <xf numFmtId="175" fontId="23" fillId="2" borderId="0" xfId="0" applyNumberFormat="1" applyFont="1" applyFill="1" applyAlignment="1">
      <alignment horizontal="right"/>
    </xf>
    <xf numFmtId="166" fontId="2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166" fontId="20" fillId="2" borderId="17" xfId="0" applyNumberFormat="1" applyFont="1" applyFill="1" applyBorder="1" applyAlignment="1">
      <alignment horizontal="right"/>
    </xf>
    <xf numFmtId="0" fontId="27" fillId="3" borderId="26" xfId="0" applyFont="1" applyFill="1" applyBorder="1" applyAlignment="1">
      <alignment horizontal="left" vertical="center"/>
    </xf>
    <xf numFmtId="0" fontId="27" fillId="3" borderId="17" xfId="0" applyFont="1" applyFill="1" applyBorder="1" applyAlignment="1">
      <alignment horizontal="left" vertical="center"/>
    </xf>
    <xf numFmtId="4" fontId="20" fillId="2" borderId="0" xfId="1" applyNumberFormat="1" applyFont="1" applyFill="1"/>
    <xf numFmtId="164" fontId="8" fillId="0" borderId="14" xfId="1" applyNumberFormat="1" applyFont="1" applyBorder="1"/>
    <xf numFmtId="14" fontId="39" fillId="2" borderId="20" xfId="1" quotePrefix="1" applyNumberFormat="1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14" fontId="7" fillId="2" borderId="31" xfId="1" quotePrefix="1" applyNumberFormat="1" applyFont="1" applyFill="1" applyBorder="1" applyAlignment="1">
      <alignment horizontal="center"/>
    </xf>
    <xf numFmtId="0" fontId="42" fillId="0" borderId="0" xfId="0" applyFont="1"/>
    <xf numFmtId="14" fontId="7" fillId="2" borderId="37" xfId="1" quotePrefix="1" applyNumberFormat="1" applyFont="1" applyFill="1" applyBorder="1" applyAlignment="1">
      <alignment horizontal="center"/>
    </xf>
    <xf numFmtId="166" fontId="41" fillId="2" borderId="10" xfId="0" applyNumberFormat="1" applyFont="1" applyFill="1" applyBorder="1"/>
    <xf numFmtId="166" fontId="41" fillId="2" borderId="2" xfId="0" applyNumberFormat="1" applyFont="1" applyFill="1" applyBorder="1"/>
    <xf numFmtId="14" fontId="7" fillId="2" borderId="29" xfId="1" quotePrefix="1" applyNumberFormat="1" applyFont="1" applyFill="1" applyBorder="1" applyAlignment="1">
      <alignment horizontal="center"/>
    </xf>
    <xf numFmtId="0" fontId="16" fillId="2" borderId="38" xfId="1" applyFont="1" applyFill="1" applyBorder="1" applyAlignment="1">
      <alignment horizontal="center"/>
    </xf>
    <xf numFmtId="165" fontId="16" fillId="2" borderId="38" xfId="1" applyNumberFormat="1" applyFont="1" applyFill="1" applyBorder="1" applyAlignment="1">
      <alignment horizontal="center"/>
    </xf>
    <xf numFmtId="165" fontId="16" fillId="2" borderId="34" xfId="1" applyNumberFormat="1" applyFont="1" applyFill="1" applyBorder="1"/>
    <xf numFmtId="14" fontId="35" fillId="2" borderId="2" xfId="1" quotePrefix="1" applyNumberFormat="1" applyFont="1" applyFill="1" applyBorder="1" applyAlignment="1">
      <alignment horizontal="center"/>
    </xf>
    <xf numFmtId="0" fontId="2" fillId="2" borderId="2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164" fontId="3" fillId="2" borderId="2" xfId="1" applyNumberFormat="1" applyFont="1" applyFill="1" applyBorder="1"/>
    <xf numFmtId="165" fontId="3" fillId="2" borderId="2" xfId="1" applyNumberFormat="1" applyFont="1" applyFill="1" applyBorder="1" applyAlignment="1">
      <alignment horizontal="center"/>
    </xf>
    <xf numFmtId="165" fontId="3" fillId="2" borderId="7" xfId="1" applyNumberFormat="1" applyFont="1" applyFill="1" applyBorder="1"/>
    <xf numFmtId="17" fontId="22" fillId="6" borderId="54" xfId="0" applyNumberFormat="1" applyFont="1" applyFill="1" applyBorder="1"/>
    <xf numFmtId="17" fontId="22" fillId="6" borderId="27" xfId="0" applyNumberFormat="1" applyFont="1" applyFill="1" applyBorder="1"/>
    <xf numFmtId="0" fontId="37" fillId="6" borderId="13" xfId="0" applyFont="1" applyFill="1" applyBorder="1" applyAlignment="1">
      <alignment horizontal="center" vertical="center"/>
    </xf>
    <xf numFmtId="171" fontId="8" fillId="2" borderId="0" xfId="1" applyNumberFormat="1" applyFont="1" applyFill="1"/>
    <xf numFmtId="171" fontId="7" fillId="2" borderId="0" xfId="1" applyNumberFormat="1" applyFont="1" applyFill="1" applyAlignment="1">
      <alignment horizontal="center"/>
    </xf>
    <xf numFmtId="172" fontId="8" fillId="2" borderId="0" xfId="1" applyNumberFormat="1" applyFont="1" applyFill="1"/>
    <xf numFmtId="164" fontId="2" fillId="2" borderId="14" xfId="1" applyNumberFormat="1" applyFont="1" applyFill="1" applyBorder="1" applyAlignment="1">
      <alignment horizontal="right" vertical="center"/>
    </xf>
    <xf numFmtId="0" fontId="19" fillId="3" borderId="18" xfId="0" applyFont="1" applyFill="1" applyBorder="1" applyAlignment="1">
      <alignment horizontal="left" vertical="center"/>
    </xf>
    <xf numFmtId="165" fontId="2" fillId="2" borderId="14" xfId="0" applyNumberFormat="1" applyFont="1" applyFill="1" applyBorder="1" applyAlignment="1">
      <alignment horizontal="right"/>
    </xf>
    <xf numFmtId="164" fontId="20" fillId="2" borderId="14" xfId="1" applyNumberFormat="1" applyFont="1" applyFill="1" applyBorder="1"/>
    <xf numFmtId="165" fontId="20" fillId="0" borderId="14" xfId="1" applyNumberFormat="1" applyFont="1" applyBorder="1"/>
    <xf numFmtId="0" fontId="8" fillId="6" borderId="15" xfId="1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right" vertical="center"/>
    </xf>
    <xf numFmtId="0" fontId="3" fillId="2" borderId="1" xfId="0" applyFont="1" applyFill="1" applyBorder="1"/>
    <xf numFmtId="0" fontId="7" fillId="2" borderId="0" xfId="1" applyFont="1" applyFill="1" applyAlignment="1">
      <alignment horizontal="center"/>
    </xf>
    <xf numFmtId="164" fontId="7" fillId="2" borderId="0" xfId="1" applyNumberFormat="1" applyFont="1" applyFill="1"/>
    <xf numFmtId="165" fontId="7" fillId="2" borderId="0" xfId="1" applyNumberFormat="1" applyFont="1" applyFill="1"/>
    <xf numFmtId="14" fontId="30" fillId="2" borderId="31" xfId="1" quotePrefix="1" applyNumberFormat="1" applyFont="1" applyFill="1" applyBorder="1" applyAlignment="1">
      <alignment horizontal="center"/>
    </xf>
    <xf numFmtId="14" fontId="30" fillId="2" borderId="38" xfId="1" quotePrefix="1" applyNumberFormat="1" applyFont="1" applyFill="1" applyBorder="1" applyAlignment="1">
      <alignment horizontal="center"/>
    </xf>
    <xf numFmtId="165" fontId="30" fillId="2" borderId="0" xfId="1" applyNumberFormat="1" applyFont="1" applyFill="1"/>
    <xf numFmtId="164" fontId="45" fillId="2" borderId="1" xfId="0" applyNumberFormat="1" applyFont="1" applyFill="1" applyBorder="1"/>
    <xf numFmtId="165" fontId="30" fillId="2" borderId="0" xfId="0" applyNumberFormat="1" applyFont="1" applyFill="1"/>
    <xf numFmtId="0" fontId="47" fillId="0" borderId="0" xfId="0" applyFont="1"/>
    <xf numFmtId="49" fontId="7" fillId="2" borderId="29" xfId="1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2" fillId="6" borderId="9" xfId="0" applyFont="1" applyFill="1" applyBorder="1"/>
    <xf numFmtId="165" fontId="3" fillId="2" borderId="9" xfId="0" applyNumberFormat="1" applyFont="1" applyFill="1" applyBorder="1" applyAlignment="1">
      <alignment horizontal="right"/>
    </xf>
    <xf numFmtId="49" fontId="7" fillId="2" borderId="37" xfId="1" quotePrefix="1" applyNumberFormat="1" applyFont="1" applyFill="1" applyBorder="1" applyAlignment="1">
      <alignment horizontal="center"/>
    </xf>
    <xf numFmtId="1" fontId="8" fillId="3" borderId="0" xfId="1" applyNumberFormat="1" applyFont="1" applyFill="1" applyAlignment="1">
      <alignment horizontal="center" vertical="center" wrapText="1"/>
    </xf>
    <xf numFmtId="49" fontId="7" fillId="2" borderId="31" xfId="1" quotePrefix="1" applyNumberFormat="1" applyFont="1" applyFill="1" applyBorder="1" applyAlignment="1">
      <alignment horizontal="center"/>
    </xf>
    <xf numFmtId="0" fontId="18" fillId="2" borderId="0" xfId="0" applyFont="1" applyFill="1"/>
    <xf numFmtId="164" fontId="18" fillId="0" borderId="0" xfId="0" applyNumberFormat="1" applyFont="1"/>
    <xf numFmtId="165" fontId="18" fillId="0" borderId="0" xfId="0" applyNumberFormat="1" applyFont="1"/>
    <xf numFmtId="0" fontId="2" fillId="0" borderId="0" xfId="1" applyFont="1" applyAlignment="1">
      <alignment horizontal="center" vertical="center"/>
    </xf>
    <xf numFmtId="4" fontId="21" fillId="0" borderId="6" xfId="1" applyNumberFormat="1" applyFont="1" applyBorder="1" applyAlignment="1">
      <alignment horizontal="right" vertical="center"/>
    </xf>
    <xf numFmtId="4" fontId="29" fillId="0" borderId="8" xfId="0" applyNumberFormat="1" applyFont="1" applyBorder="1" applyAlignment="1">
      <alignment horizontal="right" vertical="center"/>
    </xf>
    <xf numFmtId="4" fontId="21" fillId="0" borderId="8" xfId="0" applyNumberFormat="1" applyFont="1" applyBorder="1" applyAlignment="1">
      <alignment horizontal="right" vertical="center"/>
    </xf>
    <xf numFmtId="165" fontId="29" fillId="0" borderId="1" xfId="0" applyNumberFormat="1" applyFont="1" applyBorder="1" applyAlignment="1">
      <alignment horizontal="right" vertical="center"/>
    </xf>
    <xf numFmtId="165" fontId="21" fillId="0" borderId="1" xfId="0" applyNumberFormat="1" applyFont="1" applyBorder="1" applyAlignment="1">
      <alignment horizontal="right" vertical="center"/>
    </xf>
    <xf numFmtId="164" fontId="12" fillId="0" borderId="0" xfId="0" applyNumberFormat="1" applyFont="1"/>
    <xf numFmtId="0" fontId="12" fillId="0" borderId="0" xfId="0" applyFont="1"/>
    <xf numFmtId="165" fontId="12" fillId="0" borderId="0" xfId="0" applyNumberFormat="1" applyFont="1"/>
    <xf numFmtId="164" fontId="8" fillId="2" borderId="5" xfId="1" applyNumberFormat="1" applyFont="1" applyFill="1" applyBorder="1"/>
    <xf numFmtId="165" fontId="8" fillId="0" borderId="5" xfId="1" applyNumberFormat="1" applyFont="1" applyBorder="1" applyAlignment="1">
      <alignment horizontal="right"/>
    </xf>
    <xf numFmtId="0" fontId="44" fillId="7" borderId="2" xfId="1" quotePrefix="1" applyFont="1" applyFill="1" applyBorder="1" applyAlignment="1">
      <alignment horizontal="center"/>
    </xf>
    <xf numFmtId="0" fontId="48" fillId="7" borderId="2" xfId="1" applyFont="1" applyFill="1" applyBorder="1" applyAlignment="1">
      <alignment horizontal="center"/>
    </xf>
    <xf numFmtId="164" fontId="49" fillId="7" borderId="2" xfId="1" applyNumberFormat="1" applyFont="1" applyFill="1" applyBorder="1" applyAlignment="1">
      <alignment horizontal="right" vertical="center"/>
    </xf>
    <xf numFmtId="165" fontId="44" fillId="7" borderId="2" xfId="1" applyNumberFormat="1" applyFont="1" applyFill="1" applyBorder="1" applyAlignment="1">
      <alignment horizontal="center" vertical="center"/>
    </xf>
    <xf numFmtId="165" fontId="49" fillId="7" borderId="1" xfId="1" applyNumberFormat="1" applyFont="1" applyFill="1" applyBorder="1" applyAlignment="1">
      <alignment horizontal="right" vertical="center"/>
    </xf>
    <xf numFmtId="165" fontId="40" fillId="2" borderId="14" xfId="1" applyNumberFormat="1" applyFont="1" applyFill="1" applyBorder="1" applyAlignment="1">
      <alignment horizontal="right" vertical="center"/>
    </xf>
    <xf numFmtId="165" fontId="49" fillId="7" borderId="4" xfId="1" applyNumberFormat="1" applyFont="1" applyFill="1" applyBorder="1" applyAlignment="1">
      <alignment horizontal="right" vertical="center"/>
    </xf>
    <xf numFmtId="14" fontId="44" fillId="7" borderId="1" xfId="1" quotePrefix="1" applyNumberFormat="1" applyFont="1" applyFill="1" applyBorder="1" applyAlignment="1">
      <alignment horizontal="center"/>
    </xf>
    <xf numFmtId="0" fontId="44" fillId="7" borderId="1" xfId="1" quotePrefix="1" applyFont="1" applyFill="1" applyBorder="1" applyAlignment="1">
      <alignment horizontal="center"/>
    </xf>
    <xf numFmtId="0" fontId="48" fillId="7" borderId="1" xfId="1" applyFont="1" applyFill="1" applyBorder="1" applyAlignment="1">
      <alignment horizontal="center"/>
    </xf>
    <xf numFmtId="164" fontId="44" fillId="7" borderId="1" xfId="1" applyNumberFormat="1" applyFont="1" applyFill="1" applyBorder="1" applyAlignment="1">
      <alignment horizontal="right" vertical="center"/>
    </xf>
    <xf numFmtId="165" fontId="44" fillId="7" borderId="1" xfId="1" applyNumberFormat="1" applyFont="1" applyFill="1" applyBorder="1" applyAlignment="1">
      <alignment horizontal="center" vertical="center"/>
    </xf>
    <xf numFmtId="14" fontId="39" fillId="2" borderId="0" xfId="1" quotePrefix="1" applyNumberFormat="1" applyFont="1" applyFill="1" applyAlignment="1">
      <alignment horizontal="center"/>
    </xf>
    <xf numFmtId="14" fontId="30" fillId="2" borderId="0" xfId="1" quotePrefix="1" applyNumberFormat="1" applyFont="1" applyFill="1" applyAlignment="1">
      <alignment horizontal="center"/>
    </xf>
    <xf numFmtId="14" fontId="48" fillId="7" borderId="6" xfId="1" quotePrefix="1" applyNumberFormat="1" applyFont="1" applyFill="1" applyBorder="1" applyAlignment="1">
      <alignment horizontal="center"/>
    </xf>
    <xf numFmtId="164" fontId="44" fillId="7" borderId="2" xfId="1" applyNumberFormat="1" applyFont="1" applyFill="1" applyBorder="1" applyAlignment="1">
      <alignment horizontal="right" vertical="center"/>
    </xf>
    <xf numFmtId="165" fontId="44" fillId="7" borderId="7" xfId="1" applyNumberFormat="1" applyFont="1" applyFill="1" applyBorder="1" applyAlignment="1">
      <alignment horizontal="right" vertical="center"/>
    </xf>
    <xf numFmtId="4" fontId="20" fillId="0" borderId="18" xfId="0" applyNumberFormat="1" applyFont="1" applyBorder="1" applyAlignment="1">
      <alignment horizontal="right" vertical="center"/>
    </xf>
    <xf numFmtId="0" fontId="16" fillId="2" borderId="0" xfId="1" applyFont="1" applyFill="1" applyAlignment="1">
      <alignment horizontal="center"/>
    </xf>
    <xf numFmtId="14" fontId="53" fillId="7" borderId="6" xfId="1" quotePrefix="1" applyNumberFormat="1" applyFont="1" applyFill="1" applyBorder="1" applyAlignment="1">
      <alignment horizontal="center"/>
    </xf>
    <xf numFmtId="14" fontId="54" fillId="0" borderId="0" xfId="1" applyNumberFormat="1" applyFont="1" applyAlignment="1">
      <alignment horizontal="center"/>
    </xf>
    <xf numFmtId="14" fontId="44" fillId="7" borderId="4" xfId="1" quotePrefix="1" applyNumberFormat="1" applyFont="1" applyFill="1" applyBorder="1" applyAlignment="1">
      <alignment horizontal="center"/>
    </xf>
    <xf numFmtId="0" fontId="44" fillId="7" borderId="4" xfId="1" quotePrefix="1" applyFont="1" applyFill="1" applyBorder="1" applyAlignment="1">
      <alignment horizontal="center"/>
    </xf>
    <xf numFmtId="0" fontId="48" fillId="7" borderId="4" xfId="1" applyFont="1" applyFill="1" applyBorder="1" applyAlignment="1">
      <alignment horizontal="center"/>
    </xf>
    <xf numFmtId="164" fontId="44" fillId="7" borderId="4" xfId="1" applyNumberFormat="1" applyFont="1" applyFill="1" applyBorder="1" applyAlignment="1">
      <alignment horizontal="right" vertical="center"/>
    </xf>
    <xf numFmtId="165" fontId="44" fillId="7" borderId="4" xfId="1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165" fontId="52" fillId="2" borderId="0" xfId="0" applyNumberFormat="1" applyFont="1" applyFill="1"/>
    <xf numFmtId="0" fontId="12" fillId="2" borderId="0" xfId="0" applyFont="1" applyFill="1" applyAlignment="1">
      <alignment horizontal="right"/>
    </xf>
    <xf numFmtId="165" fontId="26" fillId="2" borderId="0" xfId="0" applyNumberFormat="1" applyFont="1" applyFill="1"/>
    <xf numFmtId="165" fontId="51" fillId="2" borderId="0" xfId="0" applyNumberFormat="1" applyFont="1" applyFill="1"/>
    <xf numFmtId="164" fontId="7" fillId="2" borderId="36" xfId="1" applyNumberFormat="1" applyFont="1" applyFill="1" applyBorder="1"/>
    <xf numFmtId="0" fontId="10" fillId="2" borderId="0" xfId="0" applyFont="1" applyFill="1"/>
    <xf numFmtId="0" fontId="12" fillId="2" borderId="0" xfId="0" applyFont="1" applyFill="1" applyAlignment="1">
      <alignment horizontal="left"/>
    </xf>
    <xf numFmtId="17" fontId="10" fillId="2" borderId="0" xfId="0" applyNumberFormat="1" applyFont="1" applyFill="1" applyAlignment="1">
      <alignment horizontal="center" vertical="center"/>
    </xf>
    <xf numFmtId="166" fontId="20" fillId="2" borderId="14" xfId="0" applyNumberFormat="1" applyFont="1" applyFill="1" applyBorder="1" applyAlignment="1">
      <alignment horizontal="right"/>
    </xf>
    <xf numFmtId="14" fontId="40" fillId="2" borderId="35" xfId="1" quotePrefix="1" applyNumberFormat="1" applyFont="1" applyFill="1" applyBorder="1" applyAlignment="1">
      <alignment horizontal="center"/>
    </xf>
    <xf numFmtId="14" fontId="40" fillId="2" borderId="36" xfId="1" quotePrefix="1" applyNumberFormat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164" fontId="16" fillId="2" borderId="36" xfId="1" applyNumberFormat="1" applyFont="1" applyFill="1" applyBorder="1"/>
    <xf numFmtId="165" fontId="7" fillId="2" borderId="43" xfId="1" applyNumberFormat="1" applyFont="1" applyFill="1" applyBorder="1" applyAlignment="1">
      <alignment horizontal="center"/>
    </xf>
    <xf numFmtId="0" fontId="10" fillId="0" borderId="0" xfId="0" applyFont="1"/>
    <xf numFmtId="14" fontId="53" fillId="7" borderId="19" xfId="1" quotePrefix="1" applyNumberFormat="1" applyFont="1" applyFill="1" applyBorder="1" applyAlignment="1">
      <alignment horizontal="center"/>
    </xf>
    <xf numFmtId="14" fontId="44" fillId="7" borderId="20" xfId="1" quotePrefix="1" applyNumberFormat="1" applyFont="1" applyFill="1" applyBorder="1" applyAlignment="1">
      <alignment horizontal="center"/>
    </xf>
    <xf numFmtId="0" fontId="44" fillId="7" borderId="37" xfId="1" quotePrefix="1" applyFont="1" applyFill="1" applyBorder="1" applyAlignment="1">
      <alignment horizontal="center"/>
    </xf>
    <xf numFmtId="0" fontId="44" fillId="7" borderId="31" xfId="1" quotePrefix="1" applyFont="1" applyFill="1" applyBorder="1" applyAlignment="1">
      <alignment horizontal="center"/>
    </xf>
    <xf numFmtId="0" fontId="48" fillId="7" borderId="37" xfId="1" applyFont="1" applyFill="1" applyBorder="1" applyAlignment="1">
      <alignment horizontal="center"/>
    </xf>
    <xf numFmtId="0" fontId="48" fillId="7" borderId="31" xfId="1" applyFont="1" applyFill="1" applyBorder="1" applyAlignment="1">
      <alignment horizontal="center"/>
    </xf>
    <xf numFmtId="164" fontId="23" fillId="7" borderId="37" xfId="1" applyNumberFormat="1" applyFont="1" applyFill="1" applyBorder="1" applyAlignment="1">
      <alignment horizontal="right" vertical="center"/>
    </xf>
    <xf numFmtId="164" fontId="44" fillId="7" borderId="31" xfId="1" applyNumberFormat="1" applyFont="1" applyFill="1" applyBorder="1" applyAlignment="1">
      <alignment horizontal="right" vertical="center"/>
    </xf>
    <xf numFmtId="165" fontId="49" fillId="7" borderId="9" xfId="1" applyNumberFormat="1" applyFont="1" applyFill="1" applyBorder="1" applyAlignment="1">
      <alignment horizontal="right" vertical="center"/>
    </xf>
    <xf numFmtId="165" fontId="44" fillId="7" borderId="37" xfId="1" applyNumberFormat="1" applyFont="1" applyFill="1" applyBorder="1" applyAlignment="1">
      <alignment horizontal="center" vertical="center"/>
    </xf>
    <xf numFmtId="165" fontId="44" fillId="7" borderId="31" xfId="1" applyNumberFormat="1" applyFont="1" applyFill="1" applyBorder="1" applyAlignment="1">
      <alignment horizontal="center" vertical="center"/>
    </xf>
    <xf numFmtId="165" fontId="33" fillId="0" borderId="0" xfId="0" applyNumberFormat="1" applyFont="1"/>
    <xf numFmtId="0" fontId="0" fillId="0" borderId="35" xfId="0" applyBorder="1"/>
    <xf numFmtId="0" fontId="0" fillId="0" borderId="36" xfId="0" applyBorder="1"/>
    <xf numFmtId="0" fontId="0" fillId="0" borderId="43" xfId="0" applyBorder="1"/>
    <xf numFmtId="0" fontId="26" fillId="2" borderId="0" xfId="0" applyFont="1" applyFill="1"/>
    <xf numFmtId="166" fontId="60" fillId="2" borderId="10" xfId="0" applyNumberFormat="1" applyFont="1" applyFill="1" applyBorder="1"/>
    <xf numFmtId="0" fontId="45" fillId="2" borderId="0" xfId="0" applyFont="1" applyFill="1"/>
    <xf numFmtId="0" fontId="28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32" fillId="2" borderId="0" xfId="0" applyFont="1" applyFill="1" applyAlignment="1">
      <alignment horizontal="left"/>
    </xf>
    <xf numFmtId="165" fontId="55" fillId="2" borderId="0" xfId="0" applyNumberFormat="1" applyFont="1" applyFill="1"/>
    <xf numFmtId="165" fontId="55" fillId="2" borderId="0" xfId="0" applyNumberFormat="1" applyFont="1" applyFill="1" applyAlignment="1">
      <alignment horizontal="center"/>
    </xf>
    <xf numFmtId="0" fontId="55" fillId="2" borderId="0" xfId="0" applyFont="1" applyFill="1"/>
    <xf numFmtId="0" fontId="32" fillId="2" borderId="0" xfId="0" applyFont="1" applyFill="1"/>
    <xf numFmtId="165" fontId="56" fillId="2" borderId="0" xfId="0" applyNumberFormat="1" applyFont="1" applyFill="1"/>
    <xf numFmtId="165" fontId="56" fillId="2" borderId="0" xfId="0" applyNumberFormat="1" applyFont="1" applyFill="1" applyAlignment="1">
      <alignment horizontal="center"/>
    </xf>
    <xf numFmtId="0" fontId="58" fillId="2" borderId="0" xfId="0" applyFont="1" applyFill="1"/>
    <xf numFmtId="165" fontId="10" fillId="2" borderId="0" xfId="0" applyNumberFormat="1" applyFont="1" applyFill="1"/>
    <xf numFmtId="0" fontId="57" fillId="2" borderId="0" xfId="0" applyFont="1" applyFill="1"/>
    <xf numFmtId="0" fontId="59" fillId="2" borderId="0" xfId="0" applyFont="1" applyFill="1"/>
    <xf numFmtId="165" fontId="59" fillId="2" borderId="0" xfId="0" applyNumberFormat="1" applyFont="1" applyFill="1"/>
    <xf numFmtId="166" fontId="0" fillId="2" borderId="0" xfId="0" applyNumberFormat="1" applyFill="1"/>
    <xf numFmtId="166" fontId="0" fillId="2" borderId="0" xfId="0" applyNumberFormat="1" applyFill="1" applyAlignment="1">
      <alignment horizontal="center"/>
    </xf>
    <xf numFmtId="166" fontId="45" fillId="2" borderId="0" xfId="0" applyNumberFormat="1" applyFont="1" applyFill="1"/>
    <xf numFmtId="166" fontId="45" fillId="2" borderId="0" xfId="0" applyNumberFormat="1" applyFont="1" applyFill="1" applyAlignment="1">
      <alignment horizontal="center"/>
    </xf>
    <xf numFmtId="166" fontId="59" fillId="2" borderId="0" xfId="0" applyNumberFormat="1" applyFont="1" applyFill="1"/>
    <xf numFmtId="166" fontId="59" fillId="2" borderId="0" xfId="0" applyNumberFormat="1" applyFont="1" applyFill="1" applyAlignment="1">
      <alignment horizontal="center"/>
    </xf>
    <xf numFmtId="166" fontId="10" fillId="2" borderId="0" xfId="0" applyNumberFormat="1" applyFont="1" applyFill="1"/>
    <xf numFmtId="165" fontId="0" fillId="2" borderId="0" xfId="0" applyNumberFormat="1" applyFill="1"/>
    <xf numFmtId="14" fontId="8" fillId="2" borderId="19" xfId="1" applyNumberFormat="1" applyFont="1" applyFill="1" applyBorder="1" applyAlignment="1">
      <alignment horizontal="center"/>
    </xf>
    <xf numFmtId="14" fontId="8" fillId="2" borderId="37" xfId="1" applyNumberFormat="1" applyFont="1" applyFill="1" applyBorder="1" applyAlignment="1">
      <alignment horizontal="center"/>
    </xf>
    <xf numFmtId="171" fontId="8" fillId="0" borderId="37" xfId="1" applyNumberFormat="1" applyFont="1" applyBorder="1"/>
    <xf numFmtId="165" fontId="7" fillId="0" borderId="37" xfId="1" applyNumberFormat="1" applyFont="1" applyBorder="1" applyAlignment="1">
      <alignment horizontal="center"/>
    </xf>
    <xf numFmtId="172" fontId="8" fillId="0" borderId="32" xfId="1" applyNumberFormat="1" applyFont="1" applyBorder="1"/>
    <xf numFmtId="14" fontId="8" fillId="2" borderId="21" xfId="1" quotePrefix="1" applyNumberFormat="1" applyFont="1" applyFill="1" applyBorder="1" applyAlignment="1">
      <alignment horizontal="center"/>
    </xf>
    <xf numFmtId="0" fontId="8" fillId="2" borderId="38" xfId="1" quotePrefix="1" applyFont="1" applyFill="1" applyBorder="1" applyAlignment="1">
      <alignment horizontal="center"/>
    </xf>
    <xf numFmtId="0" fontId="30" fillId="2" borderId="38" xfId="1" applyFont="1" applyFill="1" applyBorder="1" applyAlignment="1">
      <alignment horizontal="center"/>
    </xf>
    <xf numFmtId="164" fontId="8" fillId="2" borderId="38" xfId="1" applyNumberFormat="1" applyFont="1" applyFill="1" applyBorder="1"/>
    <xf numFmtId="165" fontId="8" fillId="2" borderId="38" xfId="1" applyNumberFormat="1" applyFont="1" applyFill="1" applyBorder="1" applyAlignment="1">
      <alignment horizontal="center"/>
    </xf>
    <xf numFmtId="165" fontId="8" fillId="2" borderId="34" xfId="1" applyNumberFormat="1" applyFont="1" applyFill="1" applyBorder="1"/>
    <xf numFmtId="4" fontId="21" fillId="0" borderId="27" xfId="0" applyNumberFormat="1" applyFont="1" applyBorder="1" applyAlignment="1">
      <alignment horizontal="right" vertical="center"/>
    </xf>
    <xf numFmtId="0" fontId="22" fillId="6" borderId="10" xfId="0" applyFont="1" applyFill="1" applyBorder="1"/>
    <xf numFmtId="0" fontId="22" fillId="6" borderId="12" xfId="0" applyFont="1" applyFill="1" applyBorder="1"/>
    <xf numFmtId="4" fontId="21" fillId="0" borderId="11" xfId="0" applyNumberFormat="1" applyFont="1" applyBorder="1" applyAlignment="1">
      <alignment horizontal="right" vertical="center"/>
    </xf>
    <xf numFmtId="165" fontId="21" fillId="0" borderId="4" xfId="0" applyNumberFormat="1" applyFont="1" applyBorder="1" applyAlignment="1">
      <alignment horizontal="right" vertical="center"/>
    </xf>
    <xf numFmtId="165" fontId="3" fillId="2" borderId="12" xfId="0" applyNumberFormat="1" applyFont="1" applyFill="1" applyBorder="1" applyAlignment="1">
      <alignment horizontal="right"/>
    </xf>
    <xf numFmtId="165" fontId="16" fillId="0" borderId="15" xfId="1" applyNumberFormat="1" applyFont="1" applyBorder="1" applyAlignment="1">
      <alignment horizontal="center"/>
    </xf>
    <xf numFmtId="0" fontId="11" fillId="0" borderId="21" xfId="0" applyFont="1" applyBorder="1"/>
    <xf numFmtId="0" fontId="11" fillId="0" borderId="38" xfId="0" applyFont="1" applyBorder="1"/>
    <xf numFmtId="14" fontId="7" fillId="2" borderId="38" xfId="1" quotePrefix="1" applyNumberFormat="1" applyFont="1" applyFill="1" applyBorder="1" applyAlignment="1">
      <alignment horizontal="center"/>
    </xf>
    <xf numFmtId="14" fontId="9" fillId="2" borderId="21" xfId="1" quotePrefix="1" applyNumberFormat="1" applyFont="1" applyFill="1" applyBorder="1" applyAlignment="1">
      <alignment horizontal="center"/>
    </xf>
    <xf numFmtId="49" fontId="7" fillId="2" borderId="38" xfId="1" quotePrefix="1" applyNumberFormat="1" applyFont="1" applyFill="1" applyBorder="1" applyAlignment="1">
      <alignment horizontal="center"/>
    </xf>
    <xf numFmtId="1" fontId="7" fillId="0" borderId="27" xfId="1" applyNumberFormat="1" applyFont="1" applyBorder="1" applyAlignment="1">
      <alignment horizontal="center"/>
    </xf>
    <xf numFmtId="0" fontId="61" fillId="2" borderId="0" xfId="0" applyFont="1" applyFill="1"/>
    <xf numFmtId="166" fontId="2" fillId="2" borderId="0" xfId="0" applyNumberFormat="1" applyFont="1" applyFill="1"/>
    <xf numFmtId="49" fontId="7" fillId="2" borderId="0" xfId="1" quotePrefix="1" applyNumberFormat="1" applyFont="1" applyFill="1" applyAlignment="1">
      <alignment horizontal="center"/>
    </xf>
    <xf numFmtId="0" fontId="52" fillId="0" borderId="0" xfId="0" applyFont="1" applyAlignment="1">
      <alignment horizontal="left"/>
    </xf>
    <xf numFmtId="1" fontId="7" fillId="0" borderId="16" xfId="1" applyNumberFormat="1" applyFont="1" applyBorder="1" applyAlignment="1">
      <alignment horizontal="center"/>
    </xf>
    <xf numFmtId="165" fontId="7" fillId="0" borderId="15" xfId="1" applyNumberFormat="1" applyFont="1" applyBorder="1" applyAlignment="1">
      <alignment horizontal="center"/>
    </xf>
    <xf numFmtId="0" fontId="11" fillId="0" borderId="33" xfId="0" applyFont="1" applyBorder="1"/>
    <xf numFmtId="164" fontId="3" fillId="2" borderId="1" xfId="1" applyNumberFormat="1" applyFont="1" applyFill="1" applyBorder="1" applyAlignment="1">
      <alignment horizontal="right" vertical="center"/>
    </xf>
    <xf numFmtId="165" fontId="3" fillId="2" borderId="9" xfId="0" applyNumberFormat="1" applyFont="1" applyFill="1" applyBorder="1" applyAlignment="1">
      <alignment horizontal="right" vertical="center"/>
    </xf>
    <xf numFmtId="0" fontId="43" fillId="0" borderId="0" xfId="0" applyFont="1"/>
    <xf numFmtId="164" fontId="9" fillId="2" borderId="31" xfId="1" applyNumberFormat="1" applyFont="1" applyFill="1" applyBorder="1"/>
    <xf numFmtId="14" fontId="7" fillId="2" borderId="21" xfId="1" quotePrefix="1" applyNumberFormat="1" applyFont="1" applyFill="1" applyBorder="1" applyAlignment="1">
      <alignment horizontal="center"/>
    </xf>
    <xf numFmtId="14" fontId="48" fillId="2" borderId="19" xfId="1" quotePrefix="1" applyNumberFormat="1" applyFont="1" applyFill="1" applyBorder="1" applyAlignment="1">
      <alignment horizontal="center"/>
    </xf>
    <xf numFmtId="0" fontId="44" fillId="2" borderId="37" xfId="1" quotePrefix="1" applyFont="1" applyFill="1" applyBorder="1" applyAlignment="1">
      <alignment horizontal="center"/>
    </xf>
    <xf numFmtId="0" fontId="48" fillId="2" borderId="37" xfId="1" applyFont="1" applyFill="1" applyBorder="1" applyAlignment="1">
      <alignment horizontal="center"/>
    </xf>
    <xf numFmtId="164" fontId="44" fillId="2" borderId="37" xfId="1" applyNumberFormat="1" applyFont="1" applyFill="1" applyBorder="1" applyAlignment="1">
      <alignment horizontal="right" vertical="center"/>
    </xf>
    <xf numFmtId="165" fontId="44" fillId="2" borderId="37" xfId="1" applyNumberFormat="1" applyFont="1" applyFill="1" applyBorder="1" applyAlignment="1">
      <alignment horizontal="center" vertical="center"/>
    </xf>
    <xf numFmtId="165" fontId="44" fillId="2" borderId="7" xfId="1" applyNumberFormat="1" applyFont="1" applyFill="1" applyBorder="1" applyAlignment="1">
      <alignment horizontal="right" vertical="center"/>
    </xf>
    <xf numFmtId="14" fontId="44" fillId="2" borderId="21" xfId="1" quotePrefix="1" applyNumberFormat="1" applyFont="1" applyFill="1" applyBorder="1" applyAlignment="1">
      <alignment horizontal="center"/>
    </xf>
    <xf numFmtId="0" fontId="44" fillId="2" borderId="38" xfId="1" quotePrefix="1" applyFont="1" applyFill="1" applyBorder="1" applyAlignment="1">
      <alignment horizontal="center"/>
    </xf>
    <xf numFmtId="0" fontId="48" fillId="2" borderId="38" xfId="1" applyFont="1" applyFill="1" applyBorder="1" applyAlignment="1">
      <alignment horizontal="center"/>
    </xf>
    <xf numFmtId="164" fontId="44" fillId="2" borderId="38" xfId="1" applyNumberFormat="1" applyFont="1" applyFill="1" applyBorder="1" applyAlignment="1">
      <alignment horizontal="right" vertical="center"/>
    </xf>
    <xf numFmtId="165" fontId="44" fillId="2" borderId="38" xfId="1" applyNumberFormat="1" applyFont="1" applyFill="1" applyBorder="1" applyAlignment="1">
      <alignment horizontal="center" vertical="center"/>
    </xf>
    <xf numFmtId="165" fontId="49" fillId="2" borderId="12" xfId="1" applyNumberFormat="1" applyFont="1" applyFill="1" applyBorder="1" applyAlignment="1">
      <alignment horizontal="right" vertical="center"/>
    </xf>
    <xf numFmtId="0" fontId="11" fillId="0" borderId="19" xfId="0" applyFont="1" applyBorder="1"/>
    <xf numFmtId="0" fontId="11" fillId="0" borderId="37" xfId="0" applyFont="1" applyBorder="1"/>
    <xf numFmtId="0" fontId="11" fillId="0" borderId="32" xfId="0" applyFont="1" applyBorder="1"/>
    <xf numFmtId="165" fontId="12" fillId="0" borderId="37" xfId="0" applyNumberFormat="1" applyFont="1" applyBorder="1"/>
    <xf numFmtId="0" fontId="12" fillId="0" borderId="37" xfId="0" applyFont="1" applyBorder="1"/>
    <xf numFmtId="165" fontId="12" fillId="0" borderId="32" xfId="0" applyNumberFormat="1" applyFont="1" applyBorder="1"/>
    <xf numFmtId="0" fontId="22" fillId="2" borderId="3" xfId="0" applyFont="1" applyFill="1" applyBorder="1" applyAlignment="1">
      <alignment horizontal="left" vertical="center"/>
    </xf>
    <xf numFmtId="4" fontId="15" fillId="2" borderId="3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right"/>
    </xf>
    <xf numFmtId="0" fontId="11" fillId="2" borderId="1" xfId="0" applyFont="1" applyFill="1" applyBorder="1"/>
    <xf numFmtId="164" fontId="9" fillId="2" borderId="38" xfId="1" applyNumberFormat="1" applyFont="1" applyFill="1" applyBorder="1"/>
    <xf numFmtId="4" fontId="12" fillId="0" borderId="0" xfId="0" applyNumberFormat="1" applyFont="1"/>
    <xf numFmtId="14" fontId="7" fillId="2" borderId="51" xfId="1" quotePrefix="1" applyNumberFormat="1" applyFont="1" applyFill="1" applyBorder="1" applyAlignment="1">
      <alignment horizontal="center"/>
    </xf>
    <xf numFmtId="49" fontId="7" fillId="2" borderId="51" xfId="1" quotePrefix="1" applyNumberFormat="1" applyFont="1" applyFill="1" applyBorder="1" applyAlignment="1">
      <alignment horizontal="center"/>
    </xf>
    <xf numFmtId="14" fontId="7" fillId="5" borderId="37" xfId="1" quotePrefix="1" applyNumberFormat="1" applyFont="1" applyFill="1" applyBorder="1" applyAlignment="1">
      <alignment horizontal="center"/>
    </xf>
    <xf numFmtId="0" fontId="7" fillId="5" borderId="37" xfId="1" applyFont="1" applyFill="1" applyBorder="1" applyAlignment="1">
      <alignment horizontal="center"/>
    </xf>
    <xf numFmtId="165" fontId="7" fillId="5" borderId="37" xfId="1" applyNumberFormat="1" applyFont="1" applyFill="1" applyBorder="1" applyAlignment="1">
      <alignment horizontal="center"/>
    </xf>
    <xf numFmtId="14" fontId="7" fillId="5" borderId="20" xfId="1" quotePrefix="1" applyNumberFormat="1" applyFont="1" applyFill="1" applyBorder="1" applyAlignment="1">
      <alignment horizontal="center"/>
    </xf>
    <xf numFmtId="14" fontId="7" fillId="5" borderId="31" xfId="1" quotePrefix="1" applyNumberFormat="1" applyFont="1" applyFill="1" applyBorder="1" applyAlignment="1">
      <alignment horizontal="center"/>
    </xf>
    <xf numFmtId="164" fontId="7" fillId="2" borderId="45" xfId="1" applyNumberFormat="1" applyFont="1" applyFill="1" applyBorder="1"/>
    <xf numFmtId="0" fontId="7" fillId="2" borderId="45" xfId="1" applyFont="1" applyFill="1" applyBorder="1" applyAlignment="1">
      <alignment horizontal="center"/>
    </xf>
    <xf numFmtId="165" fontId="7" fillId="2" borderId="45" xfId="1" applyNumberFormat="1" applyFont="1" applyFill="1" applyBorder="1" applyAlignment="1">
      <alignment horizontal="center"/>
    </xf>
    <xf numFmtId="165" fontId="7" fillId="2" borderId="46" xfId="1" applyNumberFormat="1" applyFont="1" applyFill="1" applyBorder="1"/>
    <xf numFmtId="0" fontId="63" fillId="0" borderId="0" xfId="0" applyFont="1"/>
    <xf numFmtId="165" fontId="8" fillId="0" borderId="0" xfId="1" applyNumberFormat="1" applyFont="1" applyAlignment="1">
      <alignment horizontal="center" vertical="center"/>
    </xf>
    <xf numFmtId="165" fontId="9" fillId="2" borderId="33" xfId="1" applyNumberFormat="1" applyFont="1" applyFill="1" applyBorder="1"/>
    <xf numFmtId="17" fontId="18" fillId="3" borderId="53" xfId="0" applyNumberFormat="1" applyFont="1" applyFill="1" applyBorder="1"/>
    <xf numFmtId="17" fontId="18" fillId="3" borderId="54" xfId="0" applyNumberFormat="1" applyFont="1" applyFill="1" applyBorder="1"/>
    <xf numFmtId="17" fontId="18" fillId="3" borderId="55" xfId="0" applyNumberFormat="1" applyFont="1" applyFill="1" applyBorder="1"/>
    <xf numFmtId="17" fontId="18" fillId="3" borderId="52" xfId="0" applyNumberFormat="1" applyFont="1" applyFill="1" applyBorder="1"/>
    <xf numFmtId="0" fontId="62" fillId="2" borderId="31" xfId="1" applyFont="1" applyFill="1" applyBorder="1" applyAlignment="1">
      <alignment horizontal="center"/>
    </xf>
    <xf numFmtId="164" fontId="62" fillId="2" borderId="31" xfId="1" applyNumberFormat="1" applyFont="1" applyFill="1" applyBorder="1"/>
    <xf numFmtId="165" fontId="62" fillId="2" borderId="31" xfId="1" applyNumberFormat="1" applyFont="1" applyFill="1" applyBorder="1" applyAlignment="1">
      <alignment horizontal="center"/>
    </xf>
    <xf numFmtId="165" fontId="62" fillId="2" borderId="33" xfId="1" applyNumberFormat="1" applyFont="1" applyFill="1" applyBorder="1"/>
    <xf numFmtId="14" fontId="8" fillId="2" borderId="31" xfId="1" quotePrefix="1" applyNumberFormat="1" applyFont="1" applyFill="1" applyBorder="1" applyAlignment="1">
      <alignment horizontal="center"/>
    </xf>
    <xf numFmtId="49" fontId="8" fillId="2" borderId="31" xfId="1" quotePrefix="1" applyNumberFormat="1" applyFont="1" applyFill="1" applyBorder="1" applyAlignment="1">
      <alignment horizontal="center"/>
    </xf>
    <xf numFmtId="14" fontId="30" fillId="2" borderId="21" xfId="1" quotePrefix="1" applyNumberFormat="1" applyFont="1" applyFill="1" applyBorder="1" applyAlignment="1">
      <alignment horizontal="center"/>
    </xf>
    <xf numFmtId="14" fontId="8" fillId="2" borderId="38" xfId="1" quotePrefix="1" applyNumberFormat="1" applyFont="1" applyFill="1" applyBorder="1" applyAlignment="1">
      <alignment horizontal="center"/>
    </xf>
    <xf numFmtId="49" fontId="8" fillId="2" borderId="38" xfId="1" quotePrefix="1" applyNumberFormat="1" applyFont="1" applyFill="1" applyBorder="1" applyAlignment="1">
      <alignment horizontal="center"/>
    </xf>
    <xf numFmtId="165" fontId="65" fillId="2" borderId="0" xfId="0" applyNumberFormat="1" applyFont="1" applyFill="1" applyAlignment="1">
      <alignment horizontal="center" vertical="center"/>
    </xf>
    <xf numFmtId="0" fontId="63" fillId="0" borderId="20" xfId="0" applyFont="1" applyBorder="1"/>
    <xf numFmtId="164" fontId="62" fillId="2" borderId="38" xfId="1" applyNumberFormat="1" applyFont="1" applyFill="1" applyBorder="1"/>
    <xf numFmtId="165" fontId="62" fillId="2" borderId="38" xfId="1" applyNumberFormat="1" applyFont="1" applyFill="1" applyBorder="1" applyAlignment="1">
      <alignment horizontal="center"/>
    </xf>
    <xf numFmtId="165" fontId="62" fillId="2" borderId="34" xfId="1" applyNumberFormat="1" applyFont="1" applyFill="1" applyBorder="1"/>
    <xf numFmtId="0" fontId="62" fillId="2" borderId="38" xfId="1" applyFont="1" applyFill="1" applyBorder="1" applyAlignment="1">
      <alignment horizontal="center"/>
    </xf>
    <xf numFmtId="165" fontId="66" fillId="0" borderId="9" xfId="0" applyNumberFormat="1" applyFont="1" applyBorder="1" applyAlignment="1">
      <alignment horizontal="right" vertical="center"/>
    </xf>
    <xf numFmtId="165" fontId="41" fillId="0" borderId="9" xfId="0" applyNumberFormat="1" applyFont="1" applyBorder="1" applyAlignment="1">
      <alignment horizontal="right" vertical="center"/>
    </xf>
    <xf numFmtId="165" fontId="41" fillId="2" borderId="9" xfId="0" applyNumberFormat="1" applyFont="1" applyFill="1" applyBorder="1" applyAlignment="1">
      <alignment horizontal="right" vertical="center"/>
    </xf>
    <xf numFmtId="165" fontId="67" fillId="2" borderId="9" xfId="0" applyNumberFormat="1" applyFont="1" applyFill="1" applyBorder="1" applyAlignment="1">
      <alignment horizontal="right" vertical="center"/>
    </xf>
    <xf numFmtId="0" fontId="68" fillId="0" borderId="0" xfId="0" applyFont="1"/>
    <xf numFmtId="14" fontId="9" fillId="2" borderId="49" xfId="1" quotePrefix="1" applyNumberFormat="1" applyFont="1" applyFill="1" applyBorder="1" applyAlignment="1">
      <alignment horizontal="center"/>
    </xf>
    <xf numFmtId="17" fontId="36" fillId="3" borderId="18" xfId="0" applyNumberFormat="1" applyFont="1" applyFill="1" applyBorder="1"/>
    <xf numFmtId="166" fontId="20" fillId="0" borderId="14" xfId="1" applyNumberFormat="1" applyFont="1" applyBorder="1"/>
    <xf numFmtId="164" fontId="62" fillId="2" borderId="29" xfId="1" applyNumberFormat="1" applyFont="1" applyFill="1" applyBorder="1"/>
    <xf numFmtId="165" fontId="62" fillId="2" borderId="29" xfId="1" applyNumberFormat="1" applyFont="1" applyFill="1" applyBorder="1" applyAlignment="1">
      <alignment horizontal="center"/>
    </xf>
    <xf numFmtId="0" fontId="62" fillId="2" borderId="29" xfId="1" applyFont="1" applyFill="1" applyBorder="1" applyAlignment="1">
      <alignment horizontal="center"/>
    </xf>
    <xf numFmtId="165" fontId="62" fillId="2" borderId="41" xfId="1" applyNumberFormat="1" applyFont="1" applyFill="1" applyBorder="1"/>
    <xf numFmtId="14" fontId="9" fillId="2" borderId="19" xfId="1" quotePrefix="1" applyNumberFormat="1" applyFont="1" applyFill="1" applyBorder="1" applyAlignment="1">
      <alignment horizontal="center"/>
    </xf>
    <xf numFmtId="164" fontId="8" fillId="0" borderId="43" xfId="1" applyNumberFormat="1" applyFont="1" applyBorder="1"/>
    <xf numFmtId="17" fontId="19" fillId="3" borderId="18" xfId="0" applyNumberFormat="1" applyFont="1" applyFill="1" applyBorder="1"/>
    <xf numFmtId="14" fontId="8" fillId="2" borderId="20" xfId="1" quotePrefix="1" applyNumberFormat="1" applyFont="1" applyFill="1" applyBorder="1" applyAlignment="1">
      <alignment horizontal="center"/>
    </xf>
    <xf numFmtId="0" fontId="8" fillId="2" borderId="31" xfId="1" applyFont="1" applyFill="1" applyBorder="1" applyAlignment="1">
      <alignment horizontal="center"/>
    </xf>
    <xf numFmtId="14" fontId="2" fillId="2" borderId="20" xfId="1" quotePrefix="1" applyNumberFormat="1" applyFont="1" applyFill="1" applyBorder="1" applyAlignment="1">
      <alignment horizontal="center"/>
    </xf>
    <xf numFmtId="14" fontId="2" fillId="2" borderId="31" xfId="1" quotePrefix="1" applyNumberFormat="1" applyFont="1" applyFill="1" applyBorder="1" applyAlignment="1">
      <alignment horizontal="center"/>
    </xf>
    <xf numFmtId="14" fontId="2" fillId="2" borderId="33" xfId="1" quotePrefix="1" applyNumberFormat="1" applyFont="1" applyFill="1" applyBorder="1" applyAlignment="1">
      <alignment horizontal="center"/>
    </xf>
    <xf numFmtId="0" fontId="11" fillId="2" borderId="21" xfId="0" applyFont="1" applyFill="1" applyBorder="1"/>
    <xf numFmtId="0" fontId="11" fillId="2" borderId="38" xfId="0" applyFont="1" applyFill="1" applyBorder="1"/>
    <xf numFmtId="164" fontId="8" fillId="2" borderId="31" xfId="1" applyNumberFormat="1" applyFont="1" applyFill="1" applyBorder="1"/>
    <xf numFmtId="165" fontId="8" fillId="2" borderId="31" xfId="1" applyNumberFormat="1" applyFont="1" applyFill="1" applyBorder="1" applyAlignment="1">
      <alignment horizontal="center"/>
    </xf>
    <xf numFmtId="0" fontId="11" fillId="2" borderId="31" xfId="0" applyFont="1" applyFill="1" applyBorder="1"/>
    <xf numFmtId="0" fontId="12" fillId="2" borderId="31" xfId="0" applyFont="1" applyFill="1" applyBorder="1"/>
    <xf numFmtId="165" fontId="8" fillId="2" borderId="33" xfId="1" applyNumberFormat="1" applyFont="1" applyFill="1" applyBorder="1"/>
    <xf numFmtId="0" fontId="11" fillId="2" borderId="20" xfId="0" applyFont="1" applyFill="1" applyBorder="1"/>
    <xf numFmtId="0" fontId="8" fillId="2" borderId="38" xfId="1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37" xfId="0" applyFont="1" applyFill="1" applyBorder="1"/>
    <xf numFmtId="0" fontId="11" fillId="2" borderId="32" xfId="0" applyFont="1" applyFill="1" applyBorder="1"/>
    <xf numFmtId="14" fontId="15" fillId="2" borderId="20" xfId="1" quotePrefix="1" applyNumberFormat="1" applyFont="1" applyFill="1" applyBorder="1" applyAlignment="1">
      <alignment horizontal="center"/>
    </xf>
    <xf numFmtId="14" fontId="15" fillId="2" borderId="31" xfId="1" quotePrefix="1" applyNumberFormat="1" applyFont="1" applyFill="1" applyBorder="1" applyAlignment="1">
      <alignment horizontal="center"/>
    </xf>
    <xf numFmtId="49" fontId="15" fillId="2" borderId="31" xfId="1" quotePrefix="1" applyNumberFormat="1" applyFont="1" applyFill="1" applyBorder="1" applyAlignment="1">
      <alignment horizontal="center"/>
    </xf>
    <xf numFmtId="0" fontId="15" fillId="2" borderId="31" xfId="1" applyFont="1" applyFill="1" applyBorder="1" applyAlignment="1">
      <alignment horizontal="center"/>
    </xf>
    <xf numFmtId="164" fontId="15" fillId="2" borderId="31" xfId="1" applyNumberFormat="1" applyFont="1" applyFill="1" applyBorder="1"/>
    <xf numFmtId="165" fontId="15" fillId="2" borderId="31" xfId="1" applyNumberFormat="1" applyFont="1" applyFill="1" applyBorder="1" applyAlignment="1">
      <alignment horizontal="center"/>
    </xf>
    <xf numFmtId="165" fontId="15" fillId="2" borderId="33" xfId="1" applyNumberFormat="1" applyFont="1" applyFill="1" applyBorder="1"/>
    <xf numFmtId="14" fontId="7" fillId="2" borderId="36" xfId="1" quotePrefix="1" applyNumberFormat="1" applyFont="1" applyFill="1" applyBorder="1" applyAlignment="1">
      <alignment horizontal="center"/>
    </xf>
    <xf numFmtId="49" fontId="7" fillId="2" borderId="36" xfId="1" quotePrefix="1" applyNumberFormat="1" applyFont="1" applyFill="1" applyBorder="1" applyAlignment="1">
      <alignment horizontal="center"/>
    </xf>
    <xf numFmtId="0" fontId="11" fillId="2" borderId="40" xfId="0" applyFont="1" applyFill="1" applyBorder="1"/>
    <xf numFmtId="0" fontId="11" fillId="2" borderId="29" xfId="0" applyFont="1" applyFill="1" applyBorder="1"/>
    <xf numFmtId="0" fontId="11" fillId="2" borderId="41" xfId="0" applyFont="1" applyFill="1" applyBorder="1"/>
    <xf numFmtId="14" fontId="9" fillId="4" borderId="40" xfId="1" quotePrefix="1" applyNumberFormat="1" applyFont="1" applyFill="1" applyBorder="1" applyAlignment="1">
      <alignment horizontal="center"/>
    </xf>
    <xf numFmtId="14" fontId="8" fillId="4" borderId="38" xfId="1" quotePrefix="1" applyNumberFormat="1" applyFont="1" applyFill="1" applyBorder="1" applyAlignment="1">
      <alignment horizontal="center"/>
    </xf>
    <xf numFmtId="14" fontId="7" fillId="4" borderId="37" xfId="1" quotePrefix="1" applyNumberFormat="1" applyFont="1" applyFill="1" applyBorder="1" applyAlignment="1">
      <alignment horizontal="center"/>
    </xf>
    <xf numFmtId="164" fontId="7" fillId="4" borderId="37" xfId="1" applyNumberFormat="1" applyFont="1" applyFill="1" applyBorder="1"/>
    <xf numFmtId="165" fontId="7" fillId="4" borderId="37" xfId="1" applyNumberFormat="1" applyFont="1" applyFill="1" applyBorder="1" applyAlignment="1">
      <alignment horizontal="center"/>
    </xf>
    <xf numFmtId="165" fontId="7" fillId="4" borderId="32" xfId="1" applyNumberFormat="1" applyFont="1" applyFill="1" applyBorder="1"/>
    <xf numFmtId="0" fontId="8" fillId="4" borderId="37" xfId="1" applyFont="1" applyFill="1" applyBorder="1" applyAlignment="1">
      <alignment horizontal="center"/>
    </xf>
    <xf numFmtId="49" fontId="8" fillId="4" borderId="37" xfId="1" quotePrefix="1" applyNumberFormat="1" applyFont="1" applyFill="1" applyBorder="1" applyAlignment="1">
      <alignment horizontal="center"/>
    </xf>
    <xf numFmtId="14" fontId="7" fillId="2" borderId="35" xfId="1" quotePrefix="1" applyNumberFormat="1" applyFont="1" applyFill="1" applyBorder="1" applyAlignment="1">
      <alignment horizontal="center"/>
    </xf>
    <xf numFmtId="14" fontId="8" fillId="4" borderId="37" xfId="1" quotePrefix="1" applyNumberFormat="1" applyFont="1" applyFill="1" applyBorder="1" applyAlignment="1">
      <alignment horizontal="center"/>
    </xf>
    <xf numFmtId="14" fontId="9" fillId="4" borderId="35" xfId="1" quotePrefix="1" applyNumberFormat="1" applyFont="1" applyFill="1" applyBorder="1" applyAlignment="1">
      <alignment horizontal="center"/>
    </xf>
    <xf numFmtId="49" fontId="7" fillId="4" borderId="38" xfId="1" quotePrefix="1" applyNumberFormat="1" applyFont="1" applyFill="1" applyBorder="1" applyAlignment="1">
      <alignment horizontal="center"/>
    </xf>
    <xf numFmtId="164" fontId="7" fillId="4" borderId="38" xfId="1" applyNumberFormat="1" applyFont="1" applyFill="1" applyBorder="1"/>
    <xf numFmtId="165" fontId="7" fillId="4" borderId="38" xfId="1" applyNumberFormat="1" applyFont="1" applyFill="1" applyBorder="1" applyAlignment="1">
      <alignment horizontal="center"/>
    </xf>
    <xf numFmtId="165" fontId="69" fillId="2" borderId="34" xfId="1" applyNumberFormat="1" applyFont="1" applyFill="1" applyBorder="1"/>
    <xf numFmtId="14" fontId="7" fillId="4" borderId="19" xfId="1" quotePrefix="1" applyNumberFormat="1" applyFont="1" applyFill="1" applyBorder="1" applyAlignment="1">
      <alignment horizontal="center"/>
    </xf>
    <xf numFmtId="14" fontId="2" fillId="2" borderId="21" xfId="1" quotePrefix="1" applyNumberFormat="1" applyFont="1" applyFill="1" applyBorder="1" applyAlignment="1">
      <alignment horizontal="center"/>
    </xf>
    <xf numFmtId="14" fontId="2" fillId="2" borderId="38" xfId="1" quotePrefix="1" applyNumberFormat="1" applyFont="1" applyFill="1" applyBorder="1" applyAlignment="1">
      <alignment horizontal="center"/>
    </xf>
    <xf numFmtId="14" fontId="2" fillId="2" borderId="34" xfId="1" quotePrefix="1" applyNumberFormat="1" applyFont="1" applyFill="1" applyBorder="1" applyAlignment="1">
      <alignment horizontal="center"/>
    </xf>
    <xf numFmtId="164" fontId="62" fillId="2" borderId="45" xfId="1" applyNumberFormat="1" applyFont="1" applyFill="1" applyBorder="1"/>
    <xf numFmtId="165" fontId="62" fillId="2" borderId="45" xfId="1" applyNumberFormat="1" applyFont="1" applyFill="1" applyBorder="1" applyAlignment="1">
      <alignment horizontal="center"/>
    </xf>
    <xf numFmtId="14" fontId="7" fillId="4" borderId="36" xfId="1" quotePrefix="1" applyNumberFormat="1" applyFont="1" applyFill="1" applyBorder="1" applyAlignment="1">
      <alignment horizontal="center"/>
    </xf>
    <xf numFmtId="49" fontId="7" fillId="4" borderId="36" xfId="1" quotePrefix="1" applyNumberFormat="1" applyFont="1" applyFill="1" applyBorder="1" applyAlignment="1">
      <alignment horizontal="center"/>
    </xf>
    <xf numFmtId="49" fontId="8" fillId="4" borderId="29" xfId="1" quotePrefix="1" applyNumberFormat="1" applyFont="1" applyFill="1" applyBorder="1" applyAlignment="1">
      <alignment horizontal="center"/>
    </xf>
    <xf numFmtId="165" fontId="32" fillId="0" borderId="0" xfId="0" applyNumberFormat="1" applyFont="1"/>
    <xf numFmtId="165" fontId="11" fillId="0" borderId="31" xfId="0" applyNumberFormat="1" applyFont="1" applyBorder="1"/>
    <xf numFmtId="165" fontId="11" fillId="0" borderId="37" xfId="0" applyNumberFormat="1" applyFont="1" applyBorder="1"/>
    <xf numFmtId="165" fontId="11" fillId="0" borderId="32" xfId="0" applyNumberFormat="1" applyFont="1" applyBorder="1"/>
    <xf numFmtId="165" fontId="11" fillId="0" borderId="33" xfId="0" applyNumberFormat="1" applyFont="1" applyBorder="1"/>
    <xf numFmtId="0" fontId="7" fillId="4" borderId="38" xfId="1" applyFont="1" applyFill="1" applyBorder="1" applyAlignment="1">
      <alignment horizontal="center"/>
    </xf>
    <xf numFmtId="165" fontId="7" fillId="4" borderId="34" xfId="1" applyNumberFormat="1" applyFont="1" applyFill="1" applyBorder="1"/>
    <xf numFmtId="49" fontId="7" fillId="4" borderId="37" xfId="1" quotePrefix="1" applyNumberFormat="1" applyFont="1" applyFill="1" applyBorder="1" applyAlignment="1">
      <alignment horizontal="center"/>
    </xf>
    <xf numFmtId="0" fontId="7" fillId="4" borderId="37" xfId="1" applyFont="1" applyFill="1" applyBorder="1" applyAlignment="1">
      <alignment horizontal="center"/>
    </xf>
    <xf numFmtId="0" fontId="7" fillId="4" borderId="29" xfId="1" applyFont="1" applyFill="1" applyBorder="1" applyAlignment="1">
      <alignment horizontal="center"/>
    </xf>
    <xf numFmtId="164" fontId="7" fillId="4" borderId="29" xfId="1" applyNumberFormat="1" applyFont="1" applyFill="1" applyBorder="1"/>
    <xf numFmtId="165" fontId="7" fillId="4" borderId="29" xfId="1" applyNumberFormat="1" applyFont="1" applyFill="1" applyBorder="1" applyAlignment="1">
      <alignment horizontal="center"/>
    </xf>
    <xf numFmtId="165" fontId="7" fillId="4" borderId="41" xfId="1" applyNumberFormat="1" applyFont="1" applyFill="1" applyBorder="1"/>
    <xf numFmtId="0" fontId="7" fillId="4" borderId="36" xfId="1" applyFont="1" applyFill="1" applyBorder="1" applyAlignment="1">
      <alignment horizontal="center"/>
    </xf>
    <xf numFmtId="164" fontId="7" fillId="4" borderId="36" xfId="1" applyNumberFormat="1" applyFont="1" applyFill="1" applyBorder="1"/>
    <xf numFmtId="165" fontId="7" fillId="4" borderId="36" xfId="1" applyNumberFormat="1" applyFont="1" applyFill="1" applyBorder="1" applyAlignment="1">
      <alignment horizontal="center"/>
    </xf>
    <xf numFmtId="165" fontId="7" fillId="4" borderId="43" xfId="1" applyNumberFormat="1" applyFont="1" applyFill="1" applyBorder="1"/>
    <xf numFmtId="0" fontId="63" fillId="0" borderId="19" xfId="0" applyFont="1" applyBorder="1"/>
    <xf numFmtId="165" fontId="7" fillId="5" borderId="32" xfId="1" applyNumberFormat="1" applyFont="1" applyFill="1" applyBorder="1"/>
    <xf numFmtId="14" fontId="7" fillId="5" borderId="19" xfId="1" quotePrefix="1" applyNumberFormat="1" applyFont="1" applyFill="1" applyBorder="1" applyAlignment="1">
      <alignment horizontal="center"/>
    </xf>
    <xf numFmtId="49" fontId="7" fillId="5" borderId="37" xfId="1" quotePrefix="1" applyNumberFormat="1" applyFont="1" applyFill="1" applyBorder="1" applyAlignment="1">
      <alignment horizontal="center"/>
    </xf>
    <xf numFmtId="164" fontId="7" fillId="5" borderId="37" xfId="1" applyNumberFormat="1" applyFont="1" applyFill="1" applyBorder="1"/>
    <xf numFmtId="49" fontId="7" fillId="5" borderId="29" xfId="1" quotePrefix="1" applyNumberFormat="1" applyFont="1" applyFill="1" applyBorder="1" applyAlignment="1">
      <alignment horizontal="center"/>
    </xf>
    <xf numFmtId="165" fontId="7" fillId="5" borderId="29" xfId="1" applyNumberFormat="1" applyFont="1" applyFill="1" applyBorder="1" applyAlignment="1">
      <alignment horizontal="center"/>
    </xf>
    <xf numFmtId="14" fontId="7" fillId="5" borderId="40" xfId="1" quotePrefix="1" applyNumberFormat="1" applyFont="1" applyFill="1" applyBorder="1" applyAlignment="1">
      <alignment horizontal="center"/>
    </xf>
    <xf numFmtId="0" fontId="42" fillId="8" borderId="0" xfId="0" applyFont="1" applyFill="1"/>
    <xf numFmtId="0" fontId="50" fillId="8" borderId="0" xfId="0" applyFont="1" applyFill="1"/>
    <xf numFmtId="14" fontId="8" fillId="4" borderId="29" xfId="1" quotePrefix="1" applyNumberFormat="1" applyFont="1" applyFill="1" applyBorder="1" applyAlignment="1">
      <alignment horizontal="center"/>
    </xf>
    <xf numFmtId="14" fontId="7" fillId="5" borderId="29" xfId="1" quotePrefix="1" applyNumberFormat="1" applyFont="1" applyFill="1" applyBorder="1" applyAlignment="1">
      <alignment horizontal="center"/>
    </xf>
    <xf numFmtId="0" fontId="7" fillId="5" borderId="29" xfId="1" applyFont="1" applyFill="1" applyBorder="1" applyAlignment="1">
      <alignment horizontal="center"/>
    </xf>
    <xf numFmtId="164" fontId="7" fillId="5" borderId="29" xfId="1" applyNumberFormat="1" applyFont="1" applyFill="1" applyBorder="1"/>
    <xf numFmtId="165" fontId="7" fillId="5" borderId="41" xfId="1" applyNumberFormat="1" applyFont="1" applyFill="1" applyBorder="1"/>
    <xf numFmtId="49" fontId="7" fillId="5" borderId="31" xfId="1" quotePrefix="1" applyNumberFormat="1" applyFont="1" applyFill="1" applyBorder="1" applyAlignment="1">
      <alignment horizontal="center"/>
    </xf>
    <xf numFmtId="14" fontId="20" fillId="2" borderId="0" xfId="1" applyNumberFormat="1" applyFont="1" applyFill="1" applyAlignment="1">
      <alignment horizontal="center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2" borderId="43" xfId="0" applyFont="1" applyFill="1" applyBorder="1"/>
    <xf numFmtId="14" fontId="7" fillId="2" borderId="45" xfId="1" quotePrefix="1" applyNumberFormat="1" applyFont="1" applyFill="1" applyBorder="1" applyAlignment="1">
      <alignment horizontal="center"/>
    </xf>
    <xf numFmtId="0" fontId="62" fillId="4" borderId="36" xfId="1" applyFont="1" applyFill="1" applyBorder="1" applyAlignment="1">
      <alignment horizontal="center"/>
    </xf>
    <xf numFmtId="164" fontId="62" fillId="4" borderId="36" xfId="1" applyNumberFormat="1" applyFont="1" applyFill="1" applyBorder="1"/>
    <xf numFmtId="165" fontId="62" fillId="4" borderId="36" xfId="1" applyNumberFormat="1" applyFont="1" applyFill="1" applyBorder="1" applyAlignment="1">
      <alignment horizontal="center"/>
    </xf>
    <xf numFmtId="165" fontId="62" fillId="4" borderId="43" xfId="1" applyNumberFormat="1" applyFont="1" applyFill="1" applyBorder="1"/>
    <xf numFmtId="0" fontId="62" fillId="2" borderId="51" xfId="1" applyFont="1" applyFill="1" applyBorder="1" applyAlignment="1">
      <alignment horizontal="center"/>
    </xf>
    <xf numFmtId="164" fontId="62" fillId="2" borderId="51" xfId="1" applyNumberFormat="1" applyFont="1" applyFill="1" applyBorder="1"/>
    <xf numFmtId="165" fontId="62" fillId="2" borderId="51" xfId="1" applyNumberFormat="1" applyFont="1" applyFill="1" applyBorder="1" applyAlignment="1">
      <alignment horizontal="center"/>
    </xf>
    <xf numFmtId="165" fontId="62" fillId="2" borderId="50" xfId="1" applyNumberFormat="1" applyFont="1" applyFill="1" applyBorder="1"/>
    <xf numFmtId="14" fontId="9" fillId="2" borderId="44" xfId="1" quotePrefix="1" applyNumberFormat="1" applyFont="1" applyFill="1" applyBorder="1" applyAlignment="1">
      <alignment horizontal="center"/>
    </xf>
    <xf numFmtId="49" fontId="7" fillId="2" borderId="45" xfId="1" quotePrefix="1" applyNumberFormat="1" applyFont="1" applyFill="1" applyBorder="1" applyAlignment="1">
      <alignment horizontal="center"/>
    </xf>
    <xf numFmtId="164" fontId="9" fillId="2" borderId="45" xfId="1" applyNumberFormat="1" applyFont="1" applyFill="1" applyBorder="1"/>
    <xf numFmtId="165" fontId="9" fillId="2" borderId="46" xfId="1" applyNumberFormat="1" applyFont="1" applyFill="1" applyBorder="1"/>
    <xf numFmtId="14" fontId="7" fillId="4" borderId="35" xfId="1" quotePrefix="1" applyNumberFormat="1" applyFont="1" applyFill="1" applyBorder="1" applyAlignment="1">
      <alignment horizontal="center"/>
    </xf>
    <xf numFmtId="14" fontId="7" fillId="4" borderId="20" xfId="1" quotePrefix="1" applyNumberFormat="1" applyFont="1" applyFill="1" applyBorder="1" applyAlignment="1">
      <alignment horizontal="center"/>
    </xf>
    <xf numFmtId="49" fontId="7" fillId="4" borderId="31" xfId="1" quotePrefix="1" applyNumberFormat="1" applyFont="1" applyFill="1" applyBorder="1" applyAlignment="1">
      <alignment horizontal="center"/>
    </xf>
    <xf numFmtId="0" fontId="62" fillId="4" borderId="31" xfId="1" applyFont="1" applyFill="1" applyBorder="1" applyAlignment="1">
      <alignment horizontal="center"/>
    </xf>
    <xf numFmtId="164" fontId="62" fillId="4" borderId="31" xfId="1" applyNumberFormat="1" applyFont="1" applyFill="1" applyBorder="1"/>
    <xf numFmtId="165" fontId="62" fillId="4" borderId="31" xfId="1" applyNumberFormat="1" applyFont="1" applyFill="1" applyBorder="1" applyAlignment="1">
      <alignment horizontal="center"/>
    </xf>
    <xf numFmtId="165" fontId="62" fillId="4" borderId="33" xfId="1" applyNumberFormat="1" applyFont="1" applyFill="1" applyBorder="1"/>
    <xf numFmtId="14" fontId="8" fillId="4" borderId="31" xfId="1" quotePrefix="1" applyNumberFormat="1" applyFont="1" applyFill="1" applyBorder="1" applyAlignment="1">
      <alignment horizontal="center"/>
    </xf>
    <xf numFmtId="164" fontId="70" fillId="2" borderId="31" xfId="1" applyNumberFormat="1" applyFont="1" applyFill="1" applyBorder="1"/>
    <xf numFmtId="165" fontId="70" fillId="2" borderId="31" xfId="1" applyNumberFormat="1" applyFont="1" applyFill="1" applyBorder="1" applyAlignment="1">
      <alignment horizontal="center"/>
    </xf>
    <xf numFmtId="165" fontId="22" fillId="2" borderId="9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30" fillId="8" borderId="1" xfId="0" applyNumberFormat="1" applyFont="1" applyFill="1" applyBorder="1" applyAlignment="1">
      <alignment horizontal="center" vertical="center"/>
    </xf>
    <xf numFmtId="165" fontId="3" fillId="8" borderId="9" xfId="0" applyNumberFormat="1" applyFont="1" applyFill="1" applyBorder="1" applyAlignment="1">
      <alignment horizontal="right"/>
    </xf>
    <xf numFmtId="17" fontId="36" fillId="6" borderId="27" xfId="0" applyNumberFormat="1" applyFont="1" applyFill="1" applyBorder="1"/>
    <xf numFmtId="4" fontId="20" fillId="0" borderId="8" xfId="0" applyNumberFormat="1" applyFont="1" applyBorder="1" applyAlignment="1">
      <alignment horizontal="right" vertical="center"/>
    </xf>
    <xf numFmtId="165" fontId="20" fillId="0" borderId="1" xfId="0" applyNumberFormat="1" applyFont="1" applyBorder="1" applyAlignment="1">
      <alignment horizontal="right" vertical="center"/>
    </xf>
    <xf numFmtId="14" fontId="9" fillId="4" borderId="19" xfId="1" quotePrefix="1" applyNumberFormat="1" applyFont="1" applyFill="1" applyBorder="1" applyAlignment="1">
      <alignment horizontal="center"/>
    </xf>
    <xf numFmtId="0" fontId="7" fillId="4" borderId="31" xfId="1" applyFont="1" applyFill="1" applyBorder="1" applyAlignment="1">
      <alignment horizontal="center"/>
    </xf>
    <xf numFmtId="164" fontId="7" fillId="4" borderId="31" xfId="1" applyNumberFormat="1" applyFont="1" applyFill="1" applyBorder="1"/>
    <xf numFmtId="165" fontId="7" fillId="4" borderId="31" xfId="1" applyNumberFormat="1" applyFont="1" applyFill="1" applyBorder="1" applyAlignment="1">
      <alignment horizontal="center"/>
    </xf>
    <xf numFmtId="165" fontId="7" fillId="4" borderId="33" xfId="1" applyNumberFormat="1" applyFont="1" applyFill="1" applyBorder="1"/>
    <xf numFmtId="14" fontId="9" fillId="2" borderId="35" xfId="1" quotePrefix="1" applyNumberFormat="1" applyFont="1" applyFill="1" applyBorder="1" applyAlignment="1">
      <alignment horizontal="center"/>
    </xf>
    <xf numFmtId="0" fontId="62" fillId="2" borderId="36" xfId="1" applyFont="1" applyFill="1" applyBorder="1" applyAlignment="1">
      <alignment horizontal="center"/>
    </xf>
    <xf numFmtId="164" fontId="62" fillId="2" borderId="36" xfId="1" applyNumberFormat="1" applyFont="1" applyFill="1" applyBorder="1"/>
    <xf numFmtId="165" fontId="62" fillId="2" borderId="36" xfId="1" applyNumberFormat="1" applyFont="1" applyFill="1" applyBorder="1" applyAlignment="1">
      <alignment horizontal="center"/>
    </xf>
    <xf numFmtId="165" fontId="62" fillId="2" borderId="43" xfId="1" applyNumberFormat="1" applyFont="1" applyFill="1" applyBorder="1"/>
    <xf numFmtId="164" fontId="70" fillId="2" borderId="38" xfId="1" applyNumberFormat="1" applyFont="1" applyFill="1" applyBorder="1"/>
    <xf numFmtId="165" fontId="70" fillId="2" borderId="38" xfId="1" applyNumberFormat="1" applyFont="1" applyFill="1" applyBorder="1" applyAlignment="1">
      <alignment horizontal="center"/>
    </xf>
    <xf numFmtId="165" fontId="64" fillId="0" borderId="0" xfId="0" applyNumberFormat="1" applyFont="1" applyAlignment="1">
      <alignment horizontal="right" vertical="center"/>
    </xf>
    <xf numFmtId="14" fontId="7" fillId="2" borderId="44" xfId="1" quotePrefix="1" applyNumberFormat="1" applyFont="1" applyFill="1" applyBorder="1" applyAlignment="1">
      <alignment horizontal="center"/>
    </xf>
    <xf numFmtId="0" fontId="62" fillId="2" borderId="45" xfId="1" applyFont="1" applyFill="1" applyBorder="1" applyAlignment="1">
      <alignment horizontal="center"/>
    </xf>
    <xf numFmtId="165" fontId="62" fillId="2" borderId="46" xfId="1" applyNumberFormat="1" applyFont="1" applyFill="1" applyBorder="1"/>
    <xf numFmtId="164" fontId="70" fillId="2" borderId="29" xfId="1" applyNumberFormat="1" applyFont="1" applyFill="1" applyBorder="1"/>
    <xf numFmtId="165" fontId="70" fillId="2" borderId="29" xfId="1" applyNumberFormat="1" applyFont="1" applyFill="1" applyBorder="1" applyAlignment="1">
      <alignment horizontal="center"/>
    </xf>
    <xf numFmtId="14" fontId="7" fillId="6" borderId="47" xfId="1" quotePrefix="1" applyNumberFormat="1" applyFont="1" applyFill="1" applyBorder="1" applyAlignment="1">
      <alignment horizontal="center"/>
    </xf>
    <xf numFmtId="14" fontId="7" fillId="6" borderId="56" xfId="1" quotePrefix="1" applyNumberFormat="1" applyFont="1" applyFill="1" applyBorder="1" applyAlignment="1">
      <alignment horizontal="center"/>
    </xf>
    <xf numFmtId="49" fontId="7" fillId="6" borderId="56" xfId="1" quotePrefix="1" applyNumberFormat="1" applyFont="1" applyFill="1" applyBorder="1" applyAlignment="1">
      <alignment horizontal="center"/>
    </xf>
    <xf numFmtId="0" fontId="7" fillId="6" borderId="56" xfId="1" applyFont="1" applyFill="1" applyBorder="1" applyAlignment="1">
      <alignment horizontal="center"/>
    </xf>
    <xf numFmtId="164" fontId="7" fillId="6" borderId="56" xfId="1" applyNumberFormat="1" applyFont="1" applyFill="1" applyBorder="1"/>
    <xf numFmtId="165" fontId="7" fillId="6" borderId="48" xfId="1" applyNumberFormat="1" applyFont="1" applyFill="1" applyBorder="1"/>
    <xf numFmtId="166" fontId="16" fillId="2" borderId="0" xfId="0" applyNumberFormat="1" applyFont="1" applyFill="1" applyAlignment="1">
      <alignment horizontal="left"/>
    </xf>
    <xf numFmtId="14" fontId="20" fillId="3" borderId="25" xfId="1" applyNumberFormat="1" applyFont="1" applyFill="1" applyBorder="1" applyAlignment="1">
      <alignment horizontal="center"/>
    </xf>
    <xf numFmtId="14" fontId="20" fillId="3" borderId="30" xfId="1" applyNumberFormat="1" applyFont="1" applyFill="1" applyBorder="1" applyAlignment="1">
      <alignment horizontal="center"/>
    </xf>
    <xf numFmtId="14" fontId="20" fillId="3" borderId="28" xfId="1" applyNumberFormat="1" applyFont="1" applyFill="1" applyBorder="1" applyAlignment="1">
      <alignment horizontal="center"/>
    </xf>
    <xf numFmtId="14" fontId="20" fillId="3" borderId="18" xfId="1" applyNumberFormat="1" applyFont="1" applyFill="1" applyBorder="1" applyAlignment="1">
      <alignment horizontal="right"/>
    </xf>
    <xf numFmtId="14" fontId="20" fillId="3" borderId="26" xfId="1" applyNumberFormat="1" applyFont="1" applyFill="1" applyBorder="1" applyAlignment="1">
      <alignment horizontal="right"/>
    </xf>
    <xf numFmtId="14" fontId="20" fillId="3" borderId="17" xfId="1" applyNumberFormat="1" applyFont="1" applyFill="1" applyBorder="1" applyAlignment="1">
      <alignment horizontal="right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2" fillId="3" borderId="37" xfId="1" applyNumberFormat="1" applyFont="1" applyFill="1" applyBorder="1" applyAlignment="1">
      <alignment horizontal="center" vertical="center" wrapText="1"/>
    </xf>
    <xf numFmtId="165" fontId="2" fillId="3" borderId="38" xfId="1" applyNumberFormat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26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3" borderId="39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164" fontId="8" fillId="3" borderId="37" xfId="1" applyNumberFormat="1" applyFont="1" applyFill="1" applyBorder="1" applyAlignment="1">
      <alignment horizontal="center" vertical="center" wrapText="1"/>
    </xf>
    <xf numFmtId="164" fontId="8" fillId="3" borderId="38" xfId="1" applyNumberFormat="1" applyFont="1" applyFill="1" applyBorder="1" applyAlignment="1">
      <alignment horizontal="center" vertical="center" wrapText="1"/>
    </xf>
    <xf numFmtId="164" fontId="2" fillId="3" borderId="37" xfId="1" applyNumberFormat="1" applyFont="1" applyFill="1" applyBorder="1" applyAlignment="1">
      <alignment horizontal="center" vertical="center" wrapText="1"/>
    </xf>
    <xf numFmtId="164" fontId="2" fillId="3" borderId="38" xfId="1" applyNumberFormat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14" fontId="2" fillId="3" borderId="25" xfId="1" applyNumberFormat="1" applyFont="1" applyFill="1" applyBorder="1" applyAlignment="1">
      <alignment horizontal="center"/>
    </xf>
    <xf numFmtId="14" fontId="2" fillId="3" borderId="30" xfId="1" applyNumberFormat="1" applyFont="1" applyFill="1" applyBorder="1" applyAlignment="1">
      <alignment horizontal="center"/>
    </xf>
    <xf numFmtId="14" fontId="2" fillId="3" borderId="28" xfId="1" applyNumberFormat="1" applyFont="1" applyFill="1" applyBorder="1" applyAlignment="1">
      <alignment horizontal="center"/>
    </xf>
    <xf numFmtId="165" fontId="8" fillId="2" borderId="0" xfId="1" applyNumberFormat="1" applyFont="1" applyFill="1" applyAlignment="1">
      <alignment horizontal="center" vertical="center" wrapText="1"/>
    </xf>
    <xf numFmtId="165" fontId="8" fillId="3" borderId="13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4" fontId="2" fillId="3" borderId="35" xfId="1" applyNumberFormat="1" applyFont="1" applyFill="1" applyBorder="1" applyAlignment="1">
      <alignment horizontal="center"/>
    </xf>
    <xf numFmtId="14" fontId="2" fillId="3" borderId="36" xfId="1" applyNumberFormat="1" applyFont="1" applyFill="1" applyBorder="1" applyAlignment="1">
      <alignment horizontal="center"/>
    </xf>
    <xf numFmtId="14" fontId="2" fillId="3" borderId="58" xfId="1" applyNumberFormat="1" applyFont="1" applyFill="1" applyBorder="1" applyAlignment="1">
      <alignment horizontal="center"/>
    </xf>
    <xf numFmtId="17" fontId="36" fillId="3" borderId="18" xfId="0" applyNumberFormat="1" applyFont="1" applyFill="1" applyBorder="1" applyAlignment="1">
      <alignment horizontal="left" wrapText="1"/>
    </xf>
    <xf numFmtId="17" fontId="36" fillId="3" borderId="17" xfId="0" applyNumberFormat="1" applyFont="1" applyFill="1" applyBorder="1" applyAlignment="1">
      <alignment horizontal="left" wrapText="1"/>
    </xf>
    <xf numFmtId="0" fontId="18" fillId="2" borderId="0" xfId="0" applyFont="1" applyFill="1" applyAlignment="1">
      <alignment horizontal="left"/>
    </xf>
    <xf numFmtId="1" fontId="17" fillId="2" borderId="0" xfId="0" applyNumberFormat="1" applyFont="1" applyFill="1" applyAlignment="1">
      <alignment horizontal="center"/>
    </xf>
    <xf numFmtId="164" fontId="8" fillId="3" borderId="13" xfId="1" applyNumberFormat="1" applyFont="1" applyFill="1" applyBorder="1" applyAlignment="1">
      <alignment horizontal="center" vertical="center" wrapText="1"/>
    </xf>
    <xf numFmtId="164" fontId="8" fillId="3" borderId="15" xfId="1" applyNumberFormat="1" applyFont="1" applyFill="1" applyBorder="1" applyAlignment="1">
      <alignment horizontal="center" vertical="center" wrapText="1"/>
    </xf>
    <xf numFmtId="0" fontId="18" fillId="3" borderId="47" xfId="0" applyFont="1" applyFill="1" applyBorder="1" applyAlignment="1">
      <alignment horizontal="left"/>
    </xf>
    <xf numFmtId="0" fontId="18" fillId="3" borderId="48" xfId="0" applyFont="1" applyFill="1" applyBorder="1" applyAlignment="1">
      <alignment horizontal="left"/>
    </xf>
    <xf numFmtId="1" fontId="8" fillId="3" borderId="22" xfId="1" applyNumberFormat="1" applyFont="1" applyFill="1" applyBorder="1" applyAlignment="1">
      <alignment horizontal="center" vertical="center" wrapText="1"/>
    </xf>
    <xf numFmtId="1" fontId="8" fillId="3" borderId="25" xfId="1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/>
    </xf>
    <xf numFmtId="0" fontId="10" fillId="3" borderId="17" xfId="0" applyFont="1" applyFill="1" applyBorder="1" applyAlignment="1">
      <alignment horizontal="left"/>
    </xf>
    <xf numFmtId="0" fontId="19" fillId="3" borderId="18" xfId="0" applyFont="1" applyFill="1" applyBorder="1" applyAlignment="1">
      <alignment horizontal="right" vertical="center"/>
    </xf>
    <xf numFmtId="0" fontId="19" fillId="3" borderId="26" xfId="0" applyFont="1" applyFill="1" applyBorder="1" applyAlignment="1">
      <alignment horizontal="right" vertical="center"/>
    </xf>
    <xf numFmtId="0" fontId="19" fillId="3" borderId="17" xfId="0" applyFont="1" applyFill="1" applyBorder="1" applyAlignment="1">
      <alignment horizontal="right" vertical="center"/>
    </xf>
    <xf numFmtId="164" fontId="2" fillId="3" borderId="13" xfId="1" applyNumberFormat="1" applyFont="1" applyFill="1" applyBorder="1" applyAlignment="1">
      <alignment horizontal="center" vertical="center" wrapText="1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6" borderId="22" xfId="1" applyFont="1" applyFill="1" applyBorder="1" applyAlignment="1">
      <alignment horizontal="center" vertical="center"/>
    </xf>
    <xf numFmtId="0" fontId="5" fillId="6" borderId="23" xfId="1" applyFont="1" applyFill="1" applyBorder="1" applyAlignment="1">
      <alignment horizontal="center" vertical="center"/>
    </xf>
    <xf numFmtId="0" fontId="5" fillId="6" borderId="24" xfId="1" applyFont="1" applyFill="1" applyBorder="1" applyAlignment="1">
      <alignment horizontal="center" vertical="center"/>
    </xf>
    <xf numFmtId="0" fontId="5" fillId="6" borderId="25" xfId="1" applyFont="1" applyFill="1" applyBorder="1" applyAlignment="1">
      <alignment horizontal="center" vertical="center"/>
    </xf>
    <xf numFmtId="0" fontId="5" fillId="6" borderId="30" xfId="1" applyFont="1" applyFill="1" applyBorder="1" applyAlignment="1">
      <alignment horizontal="center" vertical="center"/>
    </xf>
    <xf numFmtId="0" fontId="5" fillId="6" borderId="28" xfId="1" applyFont="1" applyFill="1" applyBorder="1" applyAlignment="1">
      <alignment horizontal="center" vertical="center"/>
    </xf>
    <xf numFmtId="0" fontId="4" fillId="6" borderId="18" xfId="1" applyFont="1" applyFill="1" applyBorder="1" applyAlignment="1">
      <alignment horizontal="center" vertical="center"/>
    </xf>
    <xf numFmtId="0" fontId="4" fillId="6" borderId="26" xfId="1" applyFont="1" applyFill="1" applyBorder="1" applyAlignment="1">
      <alignment horizontal="center" vertical="center"/>
    </xf>
    <xf numFmtId="0" fontId="4" fillId="6" borderId="17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horizontal="center" vertical="center"/>
    </xf>
    <xf numFmtId="0" fontId="8" fillId="6" borderId="15" xfId="1" applyFont="1" applyFill="1" applyBorder="1" applyAlignment="1">
      <alignment horizontal="center" vertical="center"/>
    </xf>
    <xf numFmtId="164" fontId="8" fillId="6" borderId="13" xfId="1" applyNumberFormat="1" applyFont="1" applyFill="1" applyBorder="1" applyAlignment="1">
      <alignment horizontal="center" vertical="center" wrapText="1"/>
    </xf>
    <xf numFmtId="164" fontId="8" fillId="6" borderId="15" xfId="1" applyNumberFormat="1" applyFont="1" applyFill="1" applyBorder="1" applyAlignment="1">
      <alignment horizontal="center" vertical="center" wrapText="1"/>
    </xf>
    <xf numFmtId="165" fontId="8" fillId="6" borderId="24" xfId="1" applyNumberFormat="1" applyFont="1" applyFill="1" applyBorder="1" applyAlignment="1">
      <alignment horizontal="center" vertical="center" wrapText="1"/>
    </xf>
    <xf numFmtId="165" fontId="8" fillId="6" borderId="57" xfId="1" applyNumberFormat="1" applyFont="1" applyFill="1" applyBorder="1" applyAlignment="1">
      <alignment horizontal="center" vertical="center" wrapText="1"/>
    </xf>
    <xf numFmtId="165" fontId="8" fillId="6" borderId="13" xfId="1" applyNumberFormat="1" applyFont="1" applyFill="1" applyBorder="1" applyAlignment="1">
      <alignment horizontal="center" vertical="center" wrapText="1"/>
    </xf>
    <xf numFmtId="165" fontId="8" fillId="6" borderId="15" xfId="1" applyNumberFormat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/>
    </xf>
    <xf numFmtId="164" fontId="8" fillId="6" borderId="3" xfId="1" applyNumberFormat="1" applyFont="1" applyFill="1" applyBorder="1" applyAlignment="1">
      <alignment horizontal="center" vertical="center" wrapText="1"/>
    </xf>
    <xf numFmtId="165" fontId="8" fillId="6" borderId="3" xfId="1" applyNumberFormat="1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4" fontId="8" fillId="6" borderId="47" xfId="1" applyNumberFormat="1" applyFont="1" applyFill="1" applyBorder="1" applyAlignment="1">
      <alignment horizontal="center"/>
    </xf>
    <xf numFmtId="14" fontId="8" fillId="6" borderId="56" xfId="1" applyNumberFormat="1" applyFont="1" applyFill="1" applyBorder="1" applyAlignment="1">
      <alignment horizontal="center"/>
    </xf>
    <xf numFmtId="14" fontId="8" fillId="6" borderId="48" xfId="1" applyNumberFormat="1" applyFont="1" applyFill="1" applyBorder="1" applyAlignment="1">
      <alignment horizontal="center"/>
    </xf>
    <xf numFmtId="14" fontId="2" fillId="6" borderId="35" xfId="1" applyNumberFormat="1" applyFont="1" applyFill="1" applyBorder="1" applyAlignment="1">
      <alignment horizontal="center"/>
    </xf>
    <xf numFmtId="14" fontId="2" fillId="6" borderId="36" xfId="1" applyNumberFormat="1" applyFont="1" applyFill="1" applyBorder="1" applyAlignment="1">
      <alignment horizontal="center"/>
    </xf>
    <xf numFmtId="14" fontId="2" fillId="6" borderId="43" xfId="1" applyNumberFormat="1" applyFont="1" applyFill="1" applyBorder="1" applyAlignment="1">
      <alignment horizontal="center"/>
    </xf>
    <xf numFmtId="14" fontId="8" fillId="6" borderId="35" xfId="1" applyNumberFormat="1" applyFont="1" applyFill="1" applyBorder="1" applyAlignment="1">
      <alignment horizontal="center"/>
    </xf>
    <xf numFmtId="14" fontId="8" fillId="6" borderId="36" xfId="1" applyNumberFormat="1" applyFont="1" applyFill="1" applyBorder="1" applyAlignment="1">
      <alignment horizontal="center"/>
    </xf>
    <xf numFmtId="14" fontId="8" fillId="6" borderId="43" xfId="1" applyNumberFormat="1" applyFont="1" applyFill="1" applyBorder="1" applyAlignment="1">
      <alignment horizontal="center"/>
    </xf>
    <xf numFmtId="14" fontId="8" fillId="6" borderId="25" xfId="1" applyNumberFormat="1" applyFont="1" applyFill="1" applyBorder="1" applyAlignment="1">
      <alignment horizontal="center"/>
    </xf>
    <xf numFmtId="14" fontId="8" fillId="6" borderId="30" xfId="1" applyNumberFormat="1" applyFont="1" applyFill="1" applyBorder="1" applyAlignment="1">
      <alignment horizontal="center"/>
    </xf>
    <xf numFmtId="14" fontId="8" fillId="6" borderId="28" xfId="1" applyNumberFormat="1" applyFont="1" applyFill="1" applyBorder="1" applyAlignment="1">
      <alignment horizontal="center"/>
    </xf>
    <xf numFmtId="0" fontId="19" fillId="6" borderId="18" xfId="0" applyFont="1" applyFill="1" applyBorder="1" applyAlignment="1">
      <alignment horizontal="left" vertical="center"/>
    </xf>
    <xf numFmtId="0" fontId="19" fillId="6" borderId="26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center"/>
    </xf>
    <xf numFmtId="14" fontId="20" fillId="6" borderId="18" xfId="1" applyNumberFormat="1" applyFont="1" applyFill="1" applyBorder="1" applyAlignment="1">
      <alignment horizontal="right"/>
    </xf>
    <xf numFmtId="14" fontId="20" fillId="6" borderId="26" xfId="1" applyNumberFormat="1" applyFont="1" applyFill="1" applyBorder="1" applyAlignment="1">
      <alignment horizontal="right"/>
    </xf>
    <xf numFmtId="14" fontId="20" fillId="6" borderId="17" xfId="1" applyNumberFormat="1" applyFont="1" applyFill="1" applyBorder="1" applyAlignment="1">
      <alignment horizontal="right"/>
    </xf>
    <xf numFmtId="164" fontId="20" fillId="6" borderId="13" xfId="1" applyNumberFormat="1" applyFont="1" applyFill="1" applyBorder="1" applyAlignment="1">
      <alignment horizontal="center" vertical="center" wrapText="1"/>
    </xf>
    <xf numFmtId="164" fontId="20" fillId="6" borderId="5" xfId="1" applyNumberFormat="1" applyFont="1" applyFill="1" applyBorder="1" applyAlignment="1">
      <alignment horizontal="center" vertical="center" wrapText="1"/>
    </xf>
    <xf numFmtId="165" fontId="2" fillId="6" borderId="13" xfId="1" applyNumberFormat="1" applyFont="1" applyFill="1" applyBorder="1" applyAlignment="1">
      <alignment horizontal="center" vertical="center" wrapText="1"/>
    </xf>
    <xf numFmtId="165" fontId="2" fillId="6" borderId="5" xfId="1" applyNumberFormat="1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left"/>
    </xf>
    <xf numFmtId="0" fontId="10" fillId="6" borderId="26" xfId="0" applyFont="1" applyFill="1" applyBorder="1" applyAlignment="1">
      <alignment horizontal="left"/>
    </xf>
    <xf numFmtId="0" fontId="10" fillId="6" borderId="17" xfId="0" applyFont="1" applyFill="1" applyBorder="1" applyAlignment="1">
      <alignment horizontal="left"/>
    </xf>
    <xf numFmtId="165" fontId="7" fillId="6" borderId="56" xfId="1" applyNumberFormat="1" applyFont="1" applyFill="1" applyBorder="1" applyAlignment="1">
      <alignment horizontal="center"/>
    </xf>
    <xf numFmtId="2" fontId="14" fillId="0" borderId="0" xfId="1" applyNumberFormat="1" applyFont="1" applyFill="1"/>
    <xf numFmtId="14" fontId="8" fillId="7" borderId="6" xfId="1" quotePrefix="1" applyNumberFormat="1" applyFont="1" applyFill="1" applyBorder="1" applyAlignment="1">
      <alignment horizontal="center"/>
    </xf>
    <xf numFmtId="49" fontId="8" fillId="7" borderId="2" xfId="1" quotePrefix="1" applyNumberFormat="1" applyFont="1" applyFill="1" applyBorder="1" applyAlignment="1">
      <alignment horizontal="center"/>
    </xf>
    <xf numFmtId="0" fontId="8" fillId="7" borderId="53" xfId="1" applyFont="1" applyFill="1" applyBorder="1" applyAlignment="1">
      <alignment horizontal="center"/>
    </xf>
    <xf numFmtId="164" fontId="8" fillId="7" borderId="2" xfId="1" applyNumberFormat="1" applyFont="1" applyFill="1" applyBorder="1"/>
    <xf numFmtId="165" fontId="8" fillId="7" borderId="53" xfId="1" applyNumberFormat="1" applyFont="1" applyFill="1" applyBorder="1" applyAlignment="1">
      <alignment horizontal="center"/>
    </xf>
    <xf numFmtId="165" fontId="8" fillId="7" borderId="2" xfId="1" applyNumberFormat="1" applyFont="1" applyFill="1" applyBorder="1"/>
    <xf numFmtId="14" fontId="8" fillId="7" borderId="16" xfId="1" quotePrefix="1" applyNumberFormat="1" applyFont="1" applyFill="1" applyBorder="1" applyAlignment="1">
      <alignment horizontal="center"/>
    </xf>
    <xf numFmtId="49" fontId="8" fillId="7" borderId="15" xfId="1" quotePrefix="1" applyNumberFormat="1" applyFont="1" applyFill="1" applyBorder="1" applyAlignment="1">
      <alignment horizontal="center"/>
    </xf>
    <xf numFmtId="0" fontId="69" fillId="7" borderId="0" xfId="1" applyFont="1" applyFill="1" applyAlignment="1">
      <alignment horizontal="center"/>
    </xf>
    <xf numFmtId="164" fontId="69" fillId="7" borderId="15" xfId="1" applyNumberFormat="1" applyFont="1" applyFill="1" applyBorder="1"/>
    <xf numFmtId="165" fontId="69" fillId="7" borderId="0" xfId="1" applyNumberFormat="1" applyFont="1" applyFill="1" applyAlignment="1">
      <alignment horizontal="center"/>
    </xf>
    <xf numFmtId="14" fontId="8" fillId="7" borderId="11" xfId="1" quotePrefix="1" applyNumberFormat="1" applyFont="1" applyFill="1" applyBorder="1" applyAlignment="1">
      <alignment horizontal="center"/>
    </xf>
    <xf numFmtId="0" fontId="8" fillId="7" borderId="4" xfId="1" quotePrefix="1" applyFont="1" applyFill="1" applyBorder="1" applyAlignment="1">
      <alignment horizontal="center"/>
    </xf>
    <xf numFmtId="0" fontId="30" fillId="7" borderId="52" xfId="1" applyFont="1" applyFill="1" applyBorder="1" applyAlignment="1">
      <alignment horizontal="center"/>
    </xf>
    <xf numFmtId="164" fontId="30" fillId="7" borderId="4" xfId="1" applyNumberFormat="1" applyFont="1" applyFill="1" applyBorder="1"/>
    <xf numFmtId="165" fontId="8" fillId="7" borderId="52" xfId="1" applyNumberFormat="1" applyFont="1" applyFill="1" applyBorder="1" applyAlignment="1">
      <alignment horizontal="center"/>
    </xf>
    <xf numFmtId="165" fontId="30" fillId="7" borderId="4" xfId="1" applyNumberFormat="1" applyFont="1" applyFill="1" applyBorder="1"/>
    <xf numFmtId="165" fontId="71" fillId="7" borderId="15" xfId="1" applyNumberFormat="1" applyFont="1" applyFill="1" applyBorder="1"/>
    <xf numFmtId="0" fontId="8" fillId="8" borderId="1" xfId="0" applyFont="1" applyFill="1" applyBorder="1"/>
    <xf numFmtId="164" fontId="50" fillId="8" borderId="1" xfId="0" applyNumberFormat="1" applyFont="1" applyFill="1" applyBorder="1"/>
    <xf numFmtId="165" fontId="2" fillId="8" borderId="9" xfId="0" applyNumberFormat="1" applyFont="1" applyFill="1" applyBorder="1" applyAlignment="1">
      <alignment horizontal="right"/>
    </xf>
    <xf numFmtId="164" fontId="69" fillId="7" borderId="15" xfId="1" applyNumberFormat="1" applyFont="1" applyFill="1" applyBorder="1" applyAlignment="1">
      <alignment horizontal="center"/>
    </xf>
    <xf numFmtId="17" fontId="36" fillId="6" borderId="8" xfId="0" applyNumberFormat="1" applyFont="1" applyFill="1" applyBorder="1"/>
    <xf numFmtId="4" fontId="20" fillId="0" borderId="27" xfId="0" applyNumberFormat="1" applyFont="1" applyBorder="1" applyAlignment="1">
      <alignment horizontal="right" vertical="center"/>
    </xf>
    <xf numFmtId="165" fontId="20" fillId="0" borderId="3" xfId="0" applyNumberFormat="1" applyFont="1" applyBorder="1" applyAlignment="1">
      <alignment horizontal="righ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colors>
    <mruColors>
      <color rgb="FFEAEAEA"/>
      <color rgb="FFFF3300"/>
      <color rgb="FFB8CCE4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CCFF"/>
    <pageSetUpPr fitToPage="1"/>
  </sheetPr>
  <dimension ref="A1:Z93"/>
  <sheetViews>
    <sheetView showGridLines="0" tabSelected="1" topLeftCell="A79" zoomScale="112" zoomScaleNormal="112" workbookViewId="0">
      <selection activeCell="D17" sqref="D17"/>
    </sheetView>
  </sheetViews>
  <sheetFormatPr baseColWidth="10" defaultColWidth="11.5703125" defaultRowHeight="15" customHeight="1" x14ac:dyDescent="0.2"/>
  <cols>
    <col min="1" max="1" width="12.140625" style="2" customWidth="1"/>
    <col min="2" max="2" width="15.42578125" style="2" customWidth="1"/>
    <col min="3" max="3" width="16.85546875" style="2" customWidth="1"/>
    <col min="4" max="4" width="22.7109375" style="2" customWidth="1"/>
    <col min="5" max="5" width="17.28515625" style="2" customWidth="1"/>
    <col min="6" max="6" width="15" style="2" customWidth="1"/>
    <col min="7" max="7" width="14.85546875" style="2" customWidth="1"/>
    <col min="8" max="8" width="3.5703125" style="2" customWidth="1"/>
    <col min="9" max="9" width="1.140625" style="7" hidden="1" customWidth="1"/>
    <col min="10" max="10" width="13.85546875" style="2" customWidth="1"/>
    <col min="11" max="11" width="16.42578125" style="2" customWidth="1"/>
    <col min="12" max="12" width="17.85546875" style="2" customWidth="1"/>
    <col min="13" max="13" width="21.7109375" style="2" customWidth="1"/>
    <col min="14" max="14" width="16.140625" style="2" customWidth="1"/>
    <col min="15" max="15" width="10.140625" style="2" customWidth="1"/>
    <col min="16" max="16" width="15.140625" style="2" customWidth="1"/>
    <col min="17" max="17" width="10.7109375" style="2" customWidth="1"/>
    <col min="18" max="18" width="11.5703125" style="2"/>
    <col min="19" max="19" width="16.5703125" style="2" customWidth="1"/>
    <col min="20" max="16384" width="11.5703125" style="2"/>
  </cols>
  <sheetData>
    <row r="1" spans="1:17" ht="15" customHeight="1" x14ac:dyDescent="0.2">
      <c r="A1" s="634" t="s">
        <v>75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6"/>
    </row>
    <row r="2" spans="1:17" ht="6" customHeight="1" thickBot="1" x14ac:dyDescent="0.25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9"/>
    </row>
    <row r="3" spans="1:17" ht="10.5" customHeight="1" thickBo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7" s="19" customFormat="1" ht="18" customHeight="1" thickBot="1" x14ac:dyDescent="0.3">
      <c r="A4" s="640" t="s">
        <v>59</v>
      </c>
      <c r="B4" s="641"/>
      <c r="C4" s="641"/>
      <c r="D4" s="641"/>
      <c r="E4" s="641"/>
      <c r="F4" s="641"/>
      <c r="G4" s="642"/>
      <c r="H4" s="18"/>
      <c r="I4" s="30" t="s">
        <v>13</v>
      </c>
      <c r="J4" s="643" t="s">
        <v>68</v>
      </c>
      <c r="K4" s="644"/>
      <c r="L4" s="644"/>
      <c r="M4" s="644"/>
      <c r="N4" s="644"/>
      <c r="O4" s="644"/>
      <c r="P4" s="645"/>
      <c r="Q4" s="18"/>
    </row>
    <row r="5" spans="1:17" ht="15.95" customHeight="1" x14ac:dyDescent="0.2">
      <c r="A5" s="646" t="s">
        <v>0</v>
      </c>
      <c r="B5" s="648" t="s">
        <v>43</v>
      </c>
      <c r="C5" s="650" t="s">
        <v>1</v>
      </c>
      <c r="D5" s="48" t="s">
        <v>2</v>
      </c>
      <c r="E5" s="652" t="s">
        <v>3</v>
      </c>
      <c r="F5" s="632" t="s">
        <v>4</v>
      </c>
      <c r="G5" s="630" t="s">
        <v>38</v>
      </c>
      <c r="H5" s="3"/>
      <c r="I5" s="673" t="s">
        <v>13</v>
      </c>
      <c r="J5" s="654" t="s">
        <v>0</v>
      </c>
      <c r="K5" s="648" t="s">
        <v>43</v>
      </c>
      <c r="L5" s="652" t="s">
        <v>1</v>
      </c>
      <c r="M5" s="48" t="s">
        <v>2</v>
      </c>
      <c r="N5" s="652" t="s">
        <v>3</v>
      </c>
      <c r="O5" s="632" t="s">
        <v>4</v>
      </c>
      <c r="P5" s="630" t="s">
        <v>38</v>
      </c>
      <c r="Q5" s="3"/>
    </row>
    <row r="6" spans="1:17" ht="15.95" customHeight="1" thickBot="1" x14ac:dyDescent="0.25">
      <c r="A6" s="647"/>
      <c r="B6" s="649"/>
      <c r="C6" s="651"/>
      <c r="D6" s="69" t="s">
        <v>5</v>
      </c>
      <c r="E6" s="653"/>
      <c r="F6" s="633" t="s">
        <v>6</v>
      </c>
      <c r="G6" s="631" t="s">
        <v>7</v>
      </c>
      <c r="H6" s="3"/>
      <c r="I6" s="674" t="s">
        <v>6</v>
      </c>
      <c r="J6" s="655"/>
      <c r="K6" s="649"/>
      <c r="L6" s="653"/>
      <c r="M6" s="69" t="s">
        <v>5</v>
      </c>
      <c r="N6" s="653"/>
      <c r="O6" s="633" t="s">
        <v>6</v>
      </c>
      <c r="P6" s="631" t="s">
        <v>7</v>
      </c>
      <c r="Q6" s="3"/>
    </row>
    <row r="7" spans="1:17" ht="15.95" customHeight="1" x14ac:dyDescent="0.3">
      <c r="A7" s="86" t="s">
        <v>97</v>
      </c>
      <c r="B7" s="234" t="s">
        <v>44</v>
      </c>
      <c r="C7" s="267" t="s">
        <v>85</v>
      </c>
      <c r="D7" s="107" t="s">
        <v>35</v>
      </c>
      <c r="E7" s="109">
        <v>10252.714</v>
      </c>
      <c r="F7" s="87">
        <v>19.23</v>
      </c>
      <c r="G7" s="110">
        <f>+F7*E7</f>
        <v>197159.69021999999</v>
      </c>
      <c r="H7" s="3"/>
      <c r="I7" s="42"/>
      <c r="J7" s="476" t="s">
        <v>175</v>
      </c>
      <c r="K7" s="234" t="s">
        <v>44</v>
      </c>
      <c r="L7" s="267" t="s">
        <v>174</v>
      </c>
      <c r="M7" s="107" t="s">
        <v>35</v>
      </c>
      <c r="N7" s="109">
        <v>13000</v>
      </c>
      <c r="O7" s="87">
        <v>19.010000000000002</v>
      </c>
      <c r="P7" s="110">
        <f>+O7*N7</f>
        <v>247130.00000000003</v>
      </c>
      <c r="Q7" s="3"/>
    </row>
    <row r="8" spans="1:17" ht="15.95" customHeight="1" x14ac:dyDescent="0.3">
      <c r="A8" s="89"/>
      <c r="B8" s="229"/>
      <c r="C8" s="273"/>
      <c r="D8" s="93" t="s">
        <v>56</v>
      </c>
      <c r="E8" s="94"/>
      <c r="F8" s="47"/>
      <c r="G8" s="95">
        <v>2005.69</v>
      </c>
      <c r="H8" s="3"/>
      <c r="I8" s="42"/>
      <c r="J8" s="89"/>
      <c r="K8" s="229"/>
      <c r="L8" s="273"/>
      <c r="M8" s="449" t="s">
        <v>56</v>
      </c>
      <c r="N8" s="450"/>
      <c r="O8" s="451"/>
      <c r="P8" s="452">
        <v>3000</v>
      </c>
      <c r="Q8" s="3"/>
    </row>
    <row r="9" spans="1:17" ht="15.95" customHeight="1" x14ac:dyDescent="0.3">
      <c r="A9" s="88"/>
      <c r="B9" s="234"/>
      <c r="C9" s="267"/>
      <c r="D9" s="107" t="s">
        <v>123</v>
      </c>
      <c r="E9" s="109"/>
      <c r="F9" s="87"/>
      <c r="G9" s="110">
        <v>20822.89</v>
      </c>
      <c r="H9" s="3"/>
      <c r="I9" s="42"/>
      <c r="J9" s="88" t="s">
        <v>175</v>
      </c>
      <c r="K9" s="234" t="s">
        <v>44</v>
      </c>
      <c r="L9" s="267" t="s">
        <v>176</v>
      </c>
      <c r="M9" s="107" t="s">
        <v>24</v>
      </c>
      <c r="N9" s="109">
        <v>10000</v>
      </c>
      <c r="O9" s="87">
        <v>23.23</v>
      </c>
      <c r="P9" s="110">
        <f>+O9*N9</f>
        <v>232300</v>
      </c>
      <c r="Q9" s="3"/>
    </row>
    <row r="10" spans="1:17" ht="15.95" customHeight="1" x14ac:dyDescent="0.3">
      <c r="A10" s="49"/>
      <c r="B10" s="229"/>
      <c r="C10" s="273"/>
      <c r="D10" s="449"/>
      <c r="E10" s="450"/>
      <c r="F10" s="451"/>
      <c r="G10" s="452"/>
      <c r="H10" s="3"/>
      <c r="I10" s="42"/>
      <c r="J10" s="89"/>
      <c r="K10" s="229"/>
      <c r="L10" s="273"/>
      <c r="M10" s="449" t="s">
        <v>56</v>
      </c>
      <c r="N10" s="450"/>
      <c r="O10" s="451"/>
      <c r="P10" s="452">
        <v>13000</v>
      </c>
      <c r="Q10" s="3"/>
    </row>
    <row r="11" spans="1:17" ht="15.95" customHeight="1" x14ac:dyDescent="0.3">
      <c r="A11" s="89"/>
      <c r="B11" s="229"/>
      <c r="C11" s="273"/>
      <c r="D11" s="93"/>
      <c r="E11" s="94"/>
      <c r="F11" s="47"/>
      <c r="G11" s="95"/>
      <c r="H11" s="3"/>
      <c r="I11" s="42"/>
      <c r="J11" s="88" t="s">
        <v>175</v>
      </c>
      <c r="K11" s="234" t="s">
        <v>44</v>
      </c>
      <c r="L11" s="267" t="s">
        <v>177</v>
      </c>
      <c r="M11" s="107" t="s">
        <v>24</v>
      </c>
      <c r="N11" s="109">
        <v>13000</v>
      </c>
      <c r="O11" s="87">
        <v>20.87</v>
      </c>
      <c r="P11" s="110">
        <f>+O11*N11</f>
        <v>271310</v>
      </c>
      <c r="Q11" s="3"/>
    </row>
    <row r="12" spans="1:17" ht="15.95" customHeight="1" thickBot="1" x14ac:dyDescent="0.35">
      <c r="A12" s="389"/>
      <c r="B12" s="390"/>
      <c r="C12" s="390"/>
      <c r="D12" s="200"/>
      <c r="E12" s="117"/>
      <c r="F12" s="118"/>
      <c r="G12" s="119"/>
      <c r="H12" s="3"/>
      <c r="I12" s="42"/>
      <c r="J12" s="89"/>
      <c r="K12" s="229"/>
      <c r="L12" s="273"/>
      <c r="M12" s="449" t="s">
        <v>56</v>
      </c>
      <c r="N12" s="450"/>
      <c r="O12" s="451"/>
      <c r="P12" s="452">
        <v>13000</v>
      </c>
      <c r="Q12" s="3"/>
    </row>
    <row r="13" spans="1:17" ht="15.95" customHeight="1" thickBot="1" x14ac:dyDescent="0.35">
      <c r="A13" s="656" t="s">
        <v>60</v>
      </c>
      <c r="B13" s="657"/>
      <c r="C13" s="657"/>
      <c r="D13" s="658"/>
      <c r="E13" s="70">
        <f>SUM(E7:E12)</f>
        <v>10252.714</v>
      </c>
      <c r="F13" s="388"/>
      <c r="G13" s="71">
        <f>SUM(G7:G12)</f>
        <v>219988.27022000001</v>
      </c>
      <c r="H13" s="3"/>
      <c r="I13" s="42"/>
      <c r="J13" s="88" t="s">
        <v>175</v>
      </c>
      <c r="K13" s="234" t="s">
        <v>44</v>
      </c>
      <c r="L13" s="267" t="s">
        <v>181</v>
      </c>
      <c r="M13" s="107" t="s">
        <v>24</v>
      </c>
      <c r="N13" s="109">
        <v>12000</v>
      </c>
      <c r="O13" s="87">
        <v>21.87</v>
      </c>
      <c r="P13" s="110">
        <f>+O13*N13</f>
        <v>262440</v>
      </c>
      <c r="Q13" s="3"/>
    </row>
    <row r="14" spans="1:17" ht="15.95" customHeight="1" thickBot="1" x14ac:dyDescent="0.35">
      <c r="E14" s="430"/>
      <c r="F14" s="285"/>
      <c r="G14" s="45"/>
      <c r="H14" s="3"/>
      <c r="I14" s="42"/>
      <c r="J14" s="604"/>
      <c r="K14" s="503"/>
      <c r="L14" s="504"/>
      <c r="M14" s="605" t="s">
        <v>56</v>
      </c>
      <c r="N14" s="606"/>
      <c r="O14" s="607"/>
      <c r="P14" s="608">
        <v>13000</v>
      </c>
      <c r="Q14" s="3"/>
    </row>
    <row r="15" spans="1:17" ht="15.95" customHeight="1" thickBot="1" x14ac:dyDescent="0.35">
      <c r="H15" s="3"/>
      <c r="I15" s="42"/>
      <c r="J15" s="656" t="s">
        <v>69</v>
      </c>
      <c r="K15" s="657"/>
      <c r="L15" s="657"/>
      <c r="M15" s="658"/>
      <c r="N15" s="70">
        <f>SUM(N7:N14)</f>
        <v>48000</v>
      </c>
      <c r="O15" s="6"/>
      <c r="P15" s="71">
        <f>SUM(P7:P14)</f>
        <v>1055180</v>
      </c>
      <c r="Q15" s="3"/>
    </row>
    <row r="16" spans="1:17" ht="15.95" customHeight="1" x14ac:dyDescent="0.2">
      <c r="H16" s="3"/>
      <c r="I16" s="42"/>
      <c r="N16" s="285"/>
      <c r="O16" s="285"/>
      <c r="P16" s="285"/>
      <c r="Q16" s="3"/>
    </row>
    <row r="17" spans="1:19" ht="15.95" customHeight="1" thickBot="1" x14ac:dyDescent="0.35">
      <c r="H17" s="3"/>
      <c r="I17" s="42"/>
      <c r="J17" s="58"/>
      <c r="K17" s="58"/>
      <c r="L17" s="397"/>
      <c r="M17" s="258"/>
      <c r="N17" s="259"/>
      <c r="O17" s="23"/>
      <c r="P17" s="260"/>
      <c r="Q17" s="443"/>
    </row>
    <row r="18" spans="1:19" ht="15.95" customHeight="1" x14ac:dyDescent="0.3">
      <c r="A18" s="85" t="s">
        <v>104</v>
      </c>
      <c r="B18" s="231" t="s">
        <v>44</v>
      </c>
      <c r="C18" s="271" t="s">
        <v>86</v>
      </c>
      <c r="D18" s="96" t="s">
        <v>88</v>
      </c>
      <c r="E18" s="97">
        <v>12502.96</v>
      </c>
      <c r="F18" s="84">
        <v>22.23</v>
      </c>
      <c r="G18" s="98">
        <f>+F18*E18</f>
        <v>277940.80079999997</v>
      </c>
      <c r="H18" s="3"/>
      <c r="I18" s="272"/>
      <c r="J18" s="85"/>
      <c r="K18" s="231"/>
      <c r="L18" s="271"/>
      <c r="M18" s="96"/>
      <c r="N18" s="97"/>
      <c r="O18" s="84"/>
      <c r="P18" s="98"/>
      <c r="Q18" s="443"/>
    </row>
    <row r="19" spans="1:19" ht="15.95" customHeight="1" thickBot="1" x14ac:dyDescent="0.35">
      <c r="A19" s="406"/>
      <c r="B19" s="391"/>
      <c r="C19" s="393"/>
      <c r="D19" s="463"/>
      <c r="E19" s="117"/>
      <c r="F19" s="118"/>
      <c r="G19" s="522"/>
      <c r="H19" s="3"/>
      <c r="I19" s="272"/>
      <c r="J19" s="49"/>
      <c r="K19" s="229"/>
      <c r="L19" s="273"/>
      <c r="M19" s="449"/>
      <c r="N19" s="450"/>
      <c r="O19" s="451"/>
      <c r="P19" s="452"/>
      <c r="Q19" s="3"/>
    </row>
    <row r="20" spans="1:19" ht="15.95" customHeight="1" x14ac:dyDescent="0.3">
      <c r="A20" s="523" t="s">
        <v>108</v>
      </c>
      <c r="B20" s="510" t="s">
        <v>44</v>
      </c>
      <c r="C20" s="539" t="s">
        <v>91</v>
      </c>
      <c r="D20" s="514" t="s">
        <v>88</v>
      </c>
      <c r="E20" s="511">
        <v>13500.249</v>
      </c>
      <c r="F20" s="512">
        <v>24.5</v>
      </c>
      <c r="G20" s="513">
        <f>+F20*E20</f>
        <v>330756.1005</v>
      </c>
      <c r="H20" s="3"/>
      <c r="I20" s="272"/>
      <c r="J20" s="89"/>
      <c r="K20" s="229"/>
      <c r="L20" s="273"/>
      <c r="M20" s="93"/>
      <c r="N20" s="405"/>
      <c r="O20" s="47"/>
      <c r="P20" s="95"/>
      <c r="Q20" s="3"/>
    </row>
    <row r="21" spans="1:19" ht="15.95" customHeight="1" thickBot="1" x14ac:dyDescent="0.35">
      <c r="A21" s="518"/>
      <c r="B21" s="509" t="s">
        <v>101</v>
      </c>
      <c r="C21" s="519"/>
      <c r="D21" s="537" t="s">
        <v>40</v>
      </c>
      <c r="E21" s="520"/>
      <c r="F21" s="521"/>
      <c r="G21" s="538">
        <v>6238.44</v>
      </c>
      <c r="H21" s="3"/>
      <c r="I21" s="272"/>
      <c r="J21" s="89"/>
      <c r="K21" s="229"/>
      <c r="L21" s="273"/>
      <c r="M21" s="93"/>
      <c r="N21" s="405"/>
      <c r="O21" s="47"/>
      <c r="P21" s="95"/>
      <c r="Q21" s="3"/>
    </row>
    <row r="22" spans="1:19" ht="17.25" customHeight="1" x14ac:dyDescent="0.3">
      <c r="A22" s="85" t="s">
        <v>110</v>
      </c>
      <c r="B22" s="231" t="s">
        <v>44</v>
      </c>
      <c r="C22" s="271" t="s">
        <v>105</v>
      </c>
      <c r="D22" s="96" t="s">
        <v>36</v>
      </c>
      <c r="E22" s="97">
        <v>3456.47</v>
      </c>
      <c r="F22" s="84">
        <v>46.24</v>
      </c>
      <c r="G22" s="98">
        <f>+F22*E22</f>
        <v>159827.1728</v>
      </c>
      <c r="H22" s="3"/>
      <c r="I22" s="272"/>
      <c r="J22" s="481"/>
      <c r="K22" s="482"/>
      <c r="L22" s="482"/>
      <c r="M22" s="482"/>
      <c r="N22" s="482"/>
      <c r="O22" s="482"/>
      <c r="P22" s="483"/>
      <c r="Q22" s="3"/>
    </row>
    <row r="23" spans="1:19" ht="21" customHeight="1" thickBot="1" x14ac:dyDescent="0.35">
      <c r="A23" s="516" t="s">
        <v>110</v>
      </c>
      <c r="B23" s="503" t="s">
        <v>44</v>
      </c>
      <c r="C23" s="504" t="s">
        <v>92</v>
      </c>
      <c r="D23" s="113" t="s">
        <v>88</v>
      </c>
      <c r="E23" s="320">
        <v>10003.916999999999</v>
      </c>
      <c r="F23" s="112">
        <v>24.98</v>
      </c>
      <c r="G23" s="114">
        <f>+F23*E23</f>
        <v>249897.84665999998</v>
      </c>
      <c r="H23" s="3"/>
      <c r="I23" s="272"/>
      <c r="J23" s="524"/>
      <c r="K23" s="525"/>
      <c r="L23" s="525"/>
      <c r="M23" s="525"/>
      <c r="N23" s="525"/>
      <c r="O23" s="525"/>
      <c r="P23" s="526"/>
      <c r="Q23" s="3"/>
    </row>
    <row r="24" spans="1:19" ht="15.95" customHeight="1" thickBot="1" x14ac:dyDescent="0.35">
      <c r="A24" s="656" t="s">
        <v>61</v>
      </c>
      <c r="B24" s="657"/>
      <c r="C24" s="657"/>
      <c r="D24" s="658"/>
      <c r="E24" s="70">
        <f>SUM(E18:E23)</f>
        <v>39463.595999999998</v>
      </c>
      <c r="F24" s="136"/>
      <c r="G24" s="71">
        <f>SUM(G18:G23)</f>
        <v>1024660.3607600001</v>
      </c>
      <c r="H24" s="3"/>
      <c r="I24" s="272"/>
      <c r="J24" s="656" t="s">
        <v>70</v>
      </c>
      <c r="K24" s="657"/>
      <c r="L24" s="657"/>
      <c r="M24" s="658"/>
      <c r="N24" s="70">
        <f>SUM(N18:N22)</f>
        <v>0</v>
      </c>
      <c r="O24" s="6"/>
      <c r="P24" s="71">
        <f>SUM(P18:P23)</f>
        <v>0</v>
      </c>
      <c r="Q24" s="108"/>
      <c r="R24" s="108"/>
    </row>
    <row r="25" spans="1:19" ht="15.95" customHeight="1" x14ac:dyDescent="0.3">
      <c r="A25" s="35"/>
      <c r="B25" s="35"/>
      <c r="C25" s="35"/>
      <c r="D25" s="35"/>
      <c r="E25" s="124"/>
      <c r="F25" s="136"/>
      <c r="G25" s="22"/>
      <c r="H25" s="3"/>
      <c r="I25" s="272"/>
      <c r="J25" s="60"/>
      <c r="K25" s="58"/>
      <c r="L25" s="397"/>
      <c r="M25" s="258"/>
      <c r="N25" s="142"/>
      <c r="O25" s="197"/>
      <c r="P25" s="143"/>
      <c r="Q25" s="108"/>
      <c r="R25" s="108"/>
    </row>
    <row r="26" spans="1:19" ht="15.95" customHeight="1" thickBot="1" x14ac:dyDescent="0.25">
      <c r="H26" s="3"/>
      <c r="I26" s="272"/>
      <c r="N26" s="20"/>
      <c r="O26" s="20"/>
      <c r="P26" s="20"/>
      <c r="Q26" s="108"/>
      <c r="R26" s="108"/>
    </row>
    <row r="27" spans="1:19" ht="15.95" customHeight="1" x14ac:dyDescent="0.3">
      <c r="A27" s="85" t="s">
        <v>126</v>
      </c>
      <c r="B27" s="231" t="s">
        <v>44</v>
      </c>
      <c r="C27" s="271" t="s">
        <v>111</v>
      </c>
      <c r="D27" s="96" t="s">
        <v>112</v>
      </c>
      <c r="E27" s="97">
        <v>13487.467000000001</v>
      </c>
      <c r="F27" s="84">
        <v>19.84</v>
      </c>
      <c r="G27" s="98">
        <f>+F27*E27</f>
        <v>267591.34528000001</v>
      </c>
      <c r="H27" s="3"/>
      <c r="I27" s="272"/>
      <c r="J27" s="419"/>
      <c r="K27" s="420"/>
      <c r="L27" s="420"/>
      <c r="M27" s="420"/>
      <c r="N27" s="534"/>
      <c r="O27" s="534"/>
      <c r="P27" s="535"/>
      <c r="Q27" s="108"/>
      <c r="R27" s="108"/>
    </row>
    <row r="28" spans="1:19" ht="15.95" customHeight="1" x14ac:dyDescent="0.3">
      <c r="A28" s="89"/>
      <c r="B28" s="229"/>
      <c r="C28" s="273"/>
      <c r="D28" s="93" t="s">
        <v>115</v>
      </c>
      <c r="E28" s="94"/>
      <c r="F28" s="47"/>
      <c r="G28" s="95">
        <v>18000</v>
      </c>
      <c r="H28" s="3"/>
      <c r="I28" s="272"/>
      <c r="J28" s="199"/>
      <c r="K28" s="198"/>
      <c r="L28" s="198"/>
      <c r="M28" s="198"/>
      <c r="N28" s="533"/>
      <c r="O28" s="533"/>
      <c r="P28" s="536"/>
      <c r="Q28" s="108"/>
      <c r="R28" s="108"/>
    </row>
    <row r="29" spans="1:19" ht="15.95" customHeight="1" x14ac:dyDescent="0.3">
      <c r="A29" s="89"/>
      <c r="B29" s="229"/>
      <c r="C29" s="273"/>
      <c r="D29" s="93" t="s">
        <v>113</v>
      </c>
      <c r="E29" s="94"/>
      <c r="F29" s="47"/>
      <c r="G29" s="95">
        <v>18493</v>
      </c>
      <c r="H29" s="3"/>
      <c r="I29" s="272"/>
      <c r="J29" s="199"/>
      <c r="K29" s="198"/>
      <c r="L29" s="198"/>
      <c r="M29" s="198"/>
      <c r="N29" s="533"/>
      <c r="O29" s="533"/>
      <c r="P29" s="536"/>
      <c r="Q29" s="108"/>
      <c r="R29" s="108"/>
    </row>
    <row r="30" spans="1:19" ht="15.95" customHeight="1" x14ac:dyDescent="0.3">
      <c r="A30" s="89"/>
      <c r="B30" s="229"/>
      <c r="C30" s="273"/>
      <c r="D30" s="93" t="s">
        <v>114</v>
      </c>
      <c r="E30" s="94"/>
      <c r="F30" s="47"/>
      <c r="G30" s="95">
        <v>9340.9599999999991</v>
      </c>
      <c r="H30" s="3"/>
      <c r="I30" s="272"/>
      <c r="J30" s="199"/>
      <c r="K30" s="198"/>
      <c r="L30" s="198"/>
      <c r="M30" s="198"/>
      <c r="N30" s="533"/>
      <c r="O30" s="533"/>
      <c r="P30" s="536"/>
      <c r="Q30" s="108"/>
      <c r="R30" s="108"/>
    </row>
    <row r="31" spans="1:19" ht="15.95" customHeight="1" x14ac:dyDescent="0.3">
      <c r="A31" s="86" t="s">
        <v>134</v>
      </c>
      <c r="B31" s="234" t="s">
        <v>44</v>
      </c>
      <c r="C31" s="267" t="s">
        <v>116</v>
      </c>
      <c r="D31" s="93" t="s">
        <v>125</v>
      </c>
      <c r="E31" s="109">
        <v>13503.472</v>
      </c>
      <c r="F31" s="87">
        <v>21.79</v>
      </c>
      <c r="G31" s="110">
        <f>+F31*E31</f>
        <v>294240.65487999999</v>
      </c>
      <c r="H31" s="3"/>
      <c r="I31" s="272"/>
      <c r="J31" s="49"/>
      <c r="K31" s="229"/>
      <c r="L31" s="273"/>
      <c r="M31" s="93"/>
      <c r="N31" s="94"/>
      <c r="O31" s="47"/>
      <c r="P31" s="95"/>
      <c r="Q31" s="108"/>
      <c r="R31" s="108"/>
    </row>
    <row r="32" spans="1:19" ht="15.95" customHeight="1" x14ac:dyDescent="0.3">
      <c r="A32" s="86" t="s">
        <v>136</v>
      </c>
      <c r="B32" s="234" t="s">
        <v>44</v>
      </c>
      <c r="C32" s="267" t="s">
        <v>117</v>
      </c>
      <c r="D32" s="107" t="s">
        <v>112</v>
      </c>
      <c r="E32" s="109">
        <v>13464.977999999999</v>
      </c>
      <c r="F32" s="87">
        <v>19.84</v>
      </c>
      <c r="G32" s="110">
        <f>+F32*E32</f>
        <v>267145.16352</v>
      </c>
      <c r="H32" s="4"/>
      <c r="I32" s="8"/>
      <c r="J32" s="49"/>
      <c r="K32" s="229"/>
      <c r="L32" s="273"/>
      <c r="M32" s="93"/>
      <c r="N32" s="94"/>
      <c r="O32" s="47"/>
      <c r="P32" s="95"/>
      <c r="R32" s="20"/>
      <c r="S32" s="20"/>
    </row>
    <row r="33" spans="1:26" ht="15.95" customHeight="1" x14ac:dyDescent="0.3">
      <c r="A33" s="88"/>
      <c r="B33" s="234"/>
      <c r="C33" s="267"/>
      <c r="D33" s="93" t="s">
        <v>115</v>
      </c>
      <c r="E33" s="94"/>
      <c r="F33" s="47"/>
      <c r="G33" s="95">
        <v>18000</v>
      </c>
      <c r="H33" s="4"/>
      <c r="I33" s="8"/>
      <c r="J33" s="479"/>
      <c r="K33" s="453"/>
      <c r="L33" s="454"/>
      <c r="M33" s="480"/>
      <c r="N33" s="486"/>
      <c r="O33" s="487"/>
      <c r="P33" s="490"/>
      <c r="Q33" s="284"/>
      <c r="R33" s="20"/>
      <c r="S33" s="20"/>
    </row>
    <row r="34" spans="1:26" ht="15.95" customHeight="1" x14ac:dyDescent="0.3">
      <c r="A34" s="88"/>
      <c r="B34" s="234"/>
      <c r="C34" s="267"/>
      <c r="D34" s="93" t="s">
        <v>113</v>
      </c>
      <c r="E34" s="94"/>
      <c r="F34" s="47"/>
      <c r="G34" s="95">
        <v>21948</v>
      </c>
      <c r="H34" s="4"/>
      <c r="I34" s="8"/>
      <c r="J34" s="479"/>
      <c r="K34" s="453"/>
      <c r="L34" s="454"/>
      <c r="M34" s="480"/>
      <c r="N34" s="486"/>
      <c r="O34" s="487"/>
      <c r="P34" s="490"/>
      <c r="Q34" s="284"/>
      <c r="R34" s="20"/>
      <c r="S34" s="20"/>
    </row>
    <row r="35" spans="1:26" ht="15.95" customHeight="1" x14ac:dyDescent="0.3">
      <c r="A35" s="88"/>
      <c r="B35" s="234"/>
      <c r="C35" s="267"/>
      <c r="D35" s="93" t="s">
        <v>114</v>
      </c>
      <c r="E35" s="94"/>
      <c r="F35" s="47"/>
      <c r="G35" s="95">
        <v>7654.77</v>
      </c>
      <c r="H35" s="4"/>
      <c r="I35" s="8"/>
      <c r="J35" s="479"/>
      <c r="K35" s="453"/>
      <c r="L35" s="454"/>
      <c r="M35" s="480"/>
      <c r="N35" s="486"/>
      <c r="O35" s="487"/>
      <c r="P35" s="490"/>
      <c r="Q35" s="284"/>
      <c r="R35" s="20"/>
      <c r="S35" s="20"/>
    </row>
    <row r="36" spans="1:26" ht="15.95" customHeight="1" x14ac:dyDescent="0.3">
      <c r="A36" s="86" t="s">
        <v>139</v>
      </c>
      <c r="B36" s="234" t="s">
        <v>44</v>
      </c>
      <c r="C36" s="267" t="s">
        <v>118</v>
      </c>
      <c r="D36" s="107" t="s">
        <v>24</v>
      </c>
      <c r="E36" s="109">
        <v>13499.813</v>
      </c>
      <c r="F36" s="87">
        <v>19.84</v>
      </c>
      <c r="G36" s="110">
        <f>+F36*E36</f>
        <v>267836.28992000001</v>
      </c>
      <c r="H36" s="4"/>
      <c r="I36" s="8"/>
      <c r="J36" s="491"/>
      <c r="K36" s="488"/>
      <c r="L36" s="488"/>
      <c r="M36" s="480"/>
      <c r="N36" s="489"/>
      <c r="O36" s="489"/>
      <c r="P36" s="490"/>
      <c r="R36" s="20"/>
      <c r="S36" s="20"/>
    </row>
    <row r="37" spans="1:26" ht="15.95" customHeight="1" thickBot="1" x14ac:dyDescent="0.35">
      <c r="A37" s="88"/>
      <c r="B37" s="234"/>
      <c r="C37" s="267"/>
      <c r="D37" s="107" t="s">
        <v>56</v>
      </c>
      <c r="E37" s="109"/>
      <c r="F37" s="87"/>
      <c r="G37" s="110">
        <v>20823.11</v>
      </c>
      <c r="H37" s="4"/>
      <c r="I37" s="8"/>
      <c r="J37" s="484"/>
      <c r="K37" s="485"/>
      <c r="L37" s="485"/>
      <c r="M37" s="492"/>
      <c r="N37" s="485"/>
      <c r="O37" s="485"/>
      <c r="P37" s="381"/>
      <c r="R37" s="20"/>
      <c r="S37" s="20"/>
    </row>
    <row r="38" spans="1:26" ht="15.95" customHeight="1" thickBot="1" x14ac:dyDescent="0.35">
      <c r="A38" s="406"/>
      <c r="B38" s="391"/>
      <c r="C38" s="393"/>
      <c r="D38" s="200"/>
      <c r="E38" s="117"/>
      <c r="F38" s="118"/>
      <c r="G38" s="119"/>
      <c r="H38" s="4"/>
      <c r="I38" s="8"/>
      <c r="J38" s="656" t="s">
        <v>71</v>
      </c>
      <c r="K38" s="657"/>
      <c r="L38" s="657"/>
      <c r="M38" s="658"/>
      <c r="N38" s="70">
        <f>SUM(N31:N37)</f>
        <v>0</v>
      </c>
      <c r="O38" s="6"/>
      <c r="P38" s="71">
        <f>SUM(P31:P37)</f>
        <v>0</v>
      </c>
      <c r="R38" s="20"/>
      <c r="S38" s="20"/>
    </row>
    <row r="39" spans="1:26" ht="15.95" customHeight="1" thickBot="1" x14ac:dyDescent="0.35">
      <c r="A39" s="656" t="s">
        <v>62</v>
      </c>
      <c r="B39" s="657"/>
      <c r="C39" s="657"/>
      <c r="D39" s="658"/>
      <c r="E39" s="70">
        <f>SUM(E27:E38)</f>
        <v>53955.73</v>
      </c>
      <c r="F39" s="34"/>
      <c r="G39" s="71">
        <f>SUM(G27:G38)</f>
        <v>1211073.2936000002</v>
      </c>
      <c r="H39" s="4"/>
      <c r="I39" s="8"/>
      <c r="Q39" s="108"/>
    </row>
    <row r="40" spans="1:26" ht="15.95" customHeight="1" x14ac:dyDescent="0.3">
      <c r="E40" s="285"/>
      <c r="F40" s="285"/>
      <c r="G40" s="285"/>
      <c r="H40" s="4"/>
      <c r="I40" s="8"/>
      <c r="Q40" s="108"/>
    </row>
    <row r="41" spans="1:26" ht="15.95" customHeight="1" thickBot="1" x14ac:dyDescent="0.35">
      <c r="E41" s="285"/>
      <c r="F41" s="285"/>
      <c r="G41" s="285"/>
      <c r="H41" s="4"/>
      <c r="I41" s="8"/>
      <c r="Q41" s="108"/>
    </row>
    <row r="42" spans="1:26" ht="15.95" customHeight="1" x14ac:dyDescent="0.3">
      <c r="A42" s="551" t="s">
        <v>142</v>
      </c>
      <c r="B42" s="433" t="s">
        <v>44</v>
      </c>
      <c r="C42" s="552" t="s">
        <v>128</v>
      </c>
      <c r="D42" s="434" t="s">
        <v>24</v>
      </c>
      <c r="E42" s="553">
        <v>13469.925999999999</v>
      </c>
      <c r="F42" s="435">
        <v>19.34</v>
      </c>
      <c r="G42" s="550">
        <f>+F42*E42</f>
        <v>260508.36883999998</v>
      </c>
      <c r="H42" s="4"/>
      <c r="I42" s="8"/>
      <c r="J42" s="85"/>
      <c r="K42" s="231"/>
      <c r="L42" s="271"/>
      <c r="M42" s="96"/>
      <c r="N42" s="97"/>
      <c r="O42" s="84"/>
      <c r="P42" s="98"/>
    </row>
    <row r="43" spans="1:26" ht="15.95" customHeight="1" x14ac:dyDescent="0.3">
      <c r="A43" s="88"/>
      <c r="B43" s="234"/>
      <c r="C43" s="267"/>
      <c r="D43" s="107" t="s">
        <v>56</v>
      </c>
      <c r="E43" s="109"/>
      <c r="F43" s="87">
        <v>19.84</v>
      </c>
      <c r="G43" s="110">
        <v>20394.87</v>
      </c>
      <c r="H43" s="4"/>
      <c r="I43" s="8"/>
      <c r="J43" s="49"/>
      <c r="K43" s="229"/>
      <c r="L43" s="273"/>
      <c r="M43" s="93"/>
      <c r="N43" s="94"/>
      <c r="O43" s="47"/>
      <c r="P43" s="95"/>
    </row>
    <row r="44" spans="1:26" ht="15.95" customHeight="1" x14ac:dyDescent="0.3">
      <c r="A44" s="556" t="s">
        <v>150</v>
      </c>
      <c r="B44" s="560" t="s">
        <v>44</v>
      </c>
      <c r="C44" s="554" t="s">
        <v>129</v>
      </c>
      <c r="D44" s="561" t="s">
        <v>125</v>
      </c>
      <c r="E44" s="562">
        <v>13499.638000000001</v>
      </c>
      <c r="F44" s="555">
        <v>21.29</v>
      </c>
      <c r="G44" s="563">
        <f>+F44*E44</f>
        <v>287407.29301999998</v>
      </c>
      <c r="H44" s="4"/>
      <c r="I44" s="8"/>
      <c r="J44" s="86"/>
      <c r="K44" s="234"/>
      <c r="L44" s="267"/>
      <c r="M44" s="107"/>
      <c r="N44" s="109"/>
      <c r="O44" s="87"/>
      <c r="P44" s="110"/>
    </row>
    <row r="45" spans="1:26" ht="15.95" customHeight="1" x14ac:dyDescent="0.3">
      <c r="A45" s="88"/>
      <c r="B45" s="234"/>
      <c r="C45" s="267"/>
      <c r="D45" s="474"/>
      <c r="E45" s="472"/>
      <c r="F45" s="473"/>
      <c r="G45" s="475"/>
      <c r="H45" s="4"/>
      <c r="I45" s="8"/>
      <c r="J45" s="86"/>
      <c r="K45" s="234"/>
      <c r="L45" s="267"/>
      <c r="M45" s="107"/>
      <c r="N45" s="109"/>
      <c r="O45" s="87"/>
      <c r="P45" s="110"/>
    </row>
    <row r="46" spans="1:26" ht="15.95" customHeight="1" thickBot="1" x14ac:dyDescent="0.35">
      <c r="A46" s="406"/>
      <c r="B46" s="391"/>
      <c r="C46" s="393"/>
      <c r="D46" s="463"/>
      <c r="E46" s="460"/>
      <c r="F46" s="461"/>
      <c r="G46" s="462"/>
      <c r="H46" s="4"/>
      <c r="I46" s="399"/>
      <c r="J46" s="406"/>
      <c r="K46" s="391"/>
      <c r="L46" s="393"/>
      <c r="M46" s="200"/>
      <c r="N46" s="117"/>
      <c r="O46" s="118"/>
      <c r="P46" s="119"/>
      <c r="R46" s="77"/>
      <c r="S46" s="60"/>
      <c r="T46" s="59"/>
      <c r="U46" s="9"/>
      <c r="V46" s="39"/>
      <c r="W46" s="23"/>
      <c r="X46" s="11"/>
      <c r="Y46" s="6"/>
      <c r="Z46" s="22"/>
    </row>
    <row r="47" spans="1:26" ht="15.95" customHeight="1" thickBot="1" x14ac:dyDescent="0.35">
      <c r="A47" s="656" t="s">
        <v>63</v>
      </c>
      <c r="B47" s="657"/>
      <c r="C47" s="657"/>
      <c r="D47" s="658"/>
      <c r="E47" s="286">
        <f>SUM(E42:E46)</f>
        <v>26969.563999999998</v>
      </c>
      <c r="F47" s="50"/>
      <c r="G47" s="287">
        <f>SUM(G42:G46)</f>
        <v>568310.53185999999</v>
      </c>
      <c r="H47" s="4"/>
      <c r="I47" s="8"/>
      <c r="J47" s="656" t="s">
        <v>72</v>
      </c>
      <c r="K47" s="657"/>
      <c r="L47" s="657"/>
      <c r="M47" s="658"/>
      <c r="N47" s="70">
        <f>SUM(N42:N46)</f>
        <v>0</v>
      </c>
      <c r="O47" s="34"/>
      <c r="P47" s="70">
        <f>SUM(P42:P46)</f>
        <v>0</v>
      </c>
      <c r="Q47" s="398"/>
      <c r="R47" s="268"/>
      <c r="S47" s="268"/>
      <c r="T47" s="57"/>
      <c r="U47" s="61"/>
      <c r="V47" s="53"/>
      <c r="W47" s="50"/>
      <c r="X47" s="51"/>
      <c r="Y47" s="6"/>
      <c r="Z47" s="22"/>
    </row>
    <row r="48" spans="1:26" ht="15.95" customHeight="1" x14ac:dyDescent="0.3">
      <c r="D48" s="20"/>
      <c r="E48" s="285"/>
      <c r="F48" s="285"/>
      <c r="G48" s="285"/>
      <c r="H48" s="4"/>
      <c r="I48" s="8"/>
      <c r="N48" s="20"/>
      <c r="P48" s="20"/>
      <c r="Q48" s="398"/>
      <c r="R48" s="268"/>
      <c r="S48" s="268"/>
      <c r="T48" s="57"/>
      <c r="U48" s="61"/>
      <c r="V48" s="53"/>
      <c r="W48" s="50"/>
      <c r="X48" s="51"/>
      <c r="Y48" s="6"/>
      <c r="Z48" s="22"/>
    </row>
    <row r="49" spans="1:17" ht="15.95" customHeight="1" thickBot="1" x14ac:dyDescent="0.35">
      <c r="D49" s="20"/>
      <c r="E49" s="285"/>
      <c r="F49" s="285"/>
      <c r="G49" s="285"/>
      <c r="H49" s="4"/>
      <c r="I49" s="5"/>
    </row>
    <row r="50" spans="1:17" ht="15.95" customHeight="1" x14ac:dyDescent="0.3">
      <c r="A50" s="551" t="s">
        <v>156</v>
      </c>
      <c r="B50" s="433" t="s">
        <v>44</v>
      </c>
      <c r="C50" s="552" t="s">
        <v>130</v>
      </c>
      <c r="D50" s="434" t="s">
        <v>24</v>
      </c>
      <c r="E50" s="553">
        <v>13482.183000000001</v>
      </c>
      <c r="F50" s="435">
        <v>20.37</v>
      </c>
      <c r="G50" s="550">
        <f>+F50*E50</f>
        <v>274632.06771000003</v>
      </c>
      <c r="H50" s="4"/>
      <c r="I50" s="394"/>
      <c r="J50" s="419"/>
      <c r="K50" s="420"/>
      <c r="L50" s="420"/>
      <c r="M50" s="420"/>
      <c r="N50" s="420"/>
      <c r="O50" s="420"/>
      <c r="P50" s="421"/>
    </row>
    <row r="51" spans="1:17" ht="15.95" customHeight="1" x14ac:dyDescent="0.3">
      <c r="A51" s="89"/>
      <c r="B51" s="229"/>
      <c r="C51" s="273"/>
      <c r="D51" s="93" t="s">
        <v>56</v>
      </c>
      <c r="E51" s="94"/>
      <c r="F51" s="47"/>
      <c r="G51" s="95">
        <v>20341.34</v>
      </c>
      <c r="H51" s="4"/>
      <c r="I51" s="394"/>
      <c r="J51" s="199"/>
      <c r="K51" s="198"/>
      <c r="L51" s="198"/>
      <c r="M51" s="198"/>
      <c r="N51" s="198"/>
      <c r="O51" s="198"/>
      <c r="P51" s="401"/>
    </row>
    <row r="52" spans="1:17" ht="15.95" customHeight="1" x14ac:dyDescent="0.3">
      <c r="A52" s="556" t="s">
        <v>163</v>
      </c>
      <c r="B52" s="560" t="s">
        <v>44</v>
      </c>
      <c r="C52" s="554" t="s">
        <v>143</v>
      </c>
      <c r="D52" s="561" t="s">
        <v>35</v>
      </c>
      <c r="E52" s="562">
        <v>13457.155000000001</v>
      </c>
      <c r="F52" s="555">
        <f>19.01-0.5</f>
        <v>18.510000000000002</v>
      </c>
      <c r="G52" s="563">
        <f>+F52*E52</f>
        <v>249091.93905000004</v>
      </c>
      <c r="H52" s="4"/>
      <c r="I52" s="394"/>
      <c r="J52" s="49"/>
      <c r="K52" s="229"/>
      <c r="L52" s="273"/>
      <c r="M52" s="93"/>
      <c r="N52" s="94"/>
      <c r="O52" s="47"/>
      <c r="P52" s="95"/>
    </row>
    <row r="53" spans="1:17" ht="15.95" customHeight="1" x14ac:dyDescent="0.3">
      <c r="A53" s="88"/>
      <c r="B53" s="234"/>
      <c r="C53" s="267"/>
      <c r="D53" s="107" t="s">
        <v>56</v>
      </c>
      <c r="E53" s="109"/>
      <c r="F53" s="87">
        <v>19.010000000000002</v>
      </c>
      <c r="G53" s="110">
        <v>3052.14</v>
      </c>
      <c r="H53" s="4"/>
      <c r="I53" s="394"/>
      <c r="J53" s="199"/>
      <c r="K53" s="198"/>
      <c r="L53" s="198"/>
      <c r="M53" s="198"/>
      <c r="N53" s="198"/>
      <c r="O53" s="198"/>
      <c r="P53" s="401"/>
    </row>
    <row r="54" spans="1:17" ht="15.95" customHeight="1" x14ac:dyDescent="0.3">
      <c r="A54" s="556" t="s">
        <v>168</v>
      </c>
      <c r="B54" s="560" t="s">
        <v>44</v>
      </c>
      <c r="C54" s="554" t="s">
        <v>144</v>
      </c>
      <c r="D54" s="561" t="s">
        <v>88</v>
      </c>
      <c r="E54" s="562">
        <v>13051.073</v>
      </c>
      <c r="F54" s="555">
        <v>22.32</v>
      </c>
      <c r="G54" s="563">
        <f>+F54*E54</f>
        <v>291299.94936000003</v>
      </c>
      <c r="H54" s="4"/>
      <c r="I54" s="394"/>
      <c r="J54" s="49"/>
      <c r="K54" s="229"/>
      <c r="L54" s="273"/>
      <c r="M54" s="93"/>
      <c r="N54" s="94"/>
      <c r="O54" s="47"/>
      <c r="P54" s="95"/>
    </row>
    <row r="55" spans="1:17" ht="15.95" customHeight="1" thickBot="1" x14ac:dyDescent="0.35">
      <c r="A55" s="469"/>
      <c r="B55" s="431"/>
      <c r="C55" s="432"/>
      <c r="D55" s="574"/>
      <c r="E55" s="575"/>
      <c r="F55" s="576"/>
      <c r="G55" s="577"/>
      <c r="H55" s="4"/>
      <c r="I55" s="394"/>
      <c r="J55" s="89"/>
      <c r="K55" s="229"/>
      <c r="L55" s="273"/>
      <c r="M55" s="93"/>
      <c r="N55" s="94"/>
      <c r="O55" s="47"/>
      <c r="P55" s="95"/>
    </row>
    <row r="56" spans="1:17" ht="15.95" customHeight="1" x14ac:dyDescent="0.3">
      <c r="A56" s="523" t="s">
        <v>169</v>
      </c>
      <c r="B56" s="517" t="s">
        <v>44</v>
      </c>
      <c r="C56" s="515" t="s">
        <v>145</v>
      </c>
      <c r="D56" s="514" t="s">
        <v>98</v>
      </c>
      <c r="E56" s="511">
        <v>13506.257</v>
      </c>
      <c r="F56" s="512">
        <v>30</v>
      </c>
      <c r="G56" s="513">
        <f>+F56*E56</f>
        <v>405187.70999999996</v>
      </c>
      <c r="H56" s="4"/>
      <c r="I56" s="394"/>
      <c r="J56" s="49"/>
      <c r="K56" s="229"/>
      <c r="L56" s="273"/>
      <c r="M56" s="93"/>
      <c r="N56" s="94"/>
      <c r="O56" s="47"/>
      <c r="P56" s="95"/>
    </row>
    <row r="57" spans="1:17" ht="15.95" customHeight="1" x14ac:dyDescent="0.3">
      <c r="A57" s="583"/>
      <c r="B57" s="589" t="s">
        <v>103</v>
      </c>
      <c r="C57" s="584"/>
      <c r="D57" s="600" t="s">
        <v>40</v>
      </c>
      <c r="E57" s="601"/>
      <c r="F57" s="602"/>
      <c r="G57" s="603">
        <v>6037.2</v>
      </c>
      <c r="H57" s="4"/>
      <c r="I57" s="394"/>
      <c r="J57" s="89"/>
      <c r="K57" s="229"/>
      <c r="L57" s="273"/>
      <c r="M57" s="93"/>
      <c r="N57" s="405"/>
      <c r="O57" s="47"/>
      <c r="P57" s="444"/>
    </row>
    <row r="58" spans="1:17" ht="15.95" customHeight="1" thickBot="1" x14ac:dyDescent="0.35">
      <c r="A58" s="582"/>
      <c r="B58" s="529" t="s">
        <v>166</v>
      </c>
      <c r="C58" s="530"/>
      <c r="D58" s="545" t="s">
        <v>99</v>
      </c>
      <c r="E58" s="546"/>
      <c r="F58" s="547"/>
      <c r="G58" s="548">
        <v>3226.55</v>
      </c>
      <c r="H58" s="4"/>
      <c r="I58" s="394"/>
      <c r="J58" s="578"/>
      <c r="K58" s="569"/>
      <c r="L58" s="579"/>
      <c r="M58" s="439"/>
      <c r="N58" s="580"/>
      <c r="O58" s="440"/>
      <c r="P58" s="581"/>
    </row>
    <row r="59" spans="1:17" ht="15.95" customHeight="1" thickBot="1" x14ac:dyDescent="0.35">
      <c r="A59" s="656" t="s">
        <v>64</v>
      </c>
      <c r="B59" s="657"/>
      <c r="C59" s="657"/>
      <c r="D59" s="658"/>
      <c r="E59" s="70">
        <f>SUM(E50:E58)</f>
        <v>53496.668000000005</v>
      </c>
      <c r="F59" s="90"/>
      <c r="G59" s="287">
        <f>SUM(G50:G58)</f>
        <v>1252868.8961200002</v>
      </c>
      <c r="H59" s="4"/>
      <c r="I59" s="394"/>
      <c r="J59" s="392"/>
      <c r="K59" s="391"/>
      <c r="L59" s="393"/>
      <c r="M59" s="235"/>
      <c r="N59" s="429"/>
      <c r="O59" s="236"/>
      <c r="P59" s="237"/>
    </row>
    <row r="60" spans="1:17" ht="15.95" customHeight="1" thickBot="1" x14ac:dyDescent="0.35">
      <c r="E60" s="285"/>
      <c r="F60" s="285"/>
      <c r="G60" s="285"/>
      <c r="H60" s="4"/>
      <c r="I60" s="394"/>
      <c r="J60" s="662" t="s">
        <v>73</v>
      </c>
      <c r="K60" s="663"/>
      <c r="L60" s="663"/>
      <c r="M60" s="664"/>
      <c r="N60" s="70">
        <f>SUM(N52:N59)</f>
        <v>0</v>
      </c>
      <c r="O60" s="6"/>
      <c r="P60" s="70">
        <f>SUM(P52:P59)</f>
        <v>0</v>
      </c>
    </row>
    <row r="61" spans="1:17" ht="15.95" customHeight="1" thickBot="1" x14ac:dyDescent="0.35">
      <c r="A61" s="35"/>
      <c r="B61" s="35"/>
      <c r="C61" s="35"/>
      <c r="D61" s="35"/>
      <c r="H61" s="4"/>
      <c r="I61" s="5"/>
      <c r="N61" s="20"/>
      <c r="O61" s="20"/>
      <c r="P61" s="20"/>
      <c r="Q61" s="14"/>
    </row>
    <row r="62" spans="1:17" ht="15.95" customHeight="1" x14ac:dyDescent="0.3">
      <c r="A62" s="85" t="s">
        <v>184</v>
      </c>
      <c r="B62" s="231" t="s">
        <v>44</v>
      </c>
      <c r="C62" s="271" t="s">
        <v>158</v>
      </c>
      <c r="D62" s="96" t="s">
        <v>24</v>
      </c>
      <c r="E62" s="97">
        <v>13097.903</v>
      </c>
      <c r="F62" s="84">
        <v>20.87</v>
      </c>
      <c r="G62" s="98">
        <f>+F62*E62</f>
        <v>273353.23561000003</v>
      </c>
      <c r="H62" s="4"/>
      <c r="I62" s="8"/>
      <c r="J62" s="476"/>
      <c r="K62" s="231"/>
      <c r="L62" s="271"/>
      <c r="M62" s="96"/>
      <c r="N62" s="97"/>
      <c r="O62" s="84"/>
      <c r="P62" s="98"/>
      <c r="Q62" s="14"/>
    </row>
    <row r="63" spans="1:17" ht="15.95" customHeight="1" x14ac:dyDescent="0.3">
      <c r="A63" s="86"/>
      <c r="B63" s="234"/>
      <c r="C63" s="267"/>
      <c r="D63" s="449" t="s">
        <v>56</v>
      </c>
      <c r="E63" s="450"/>
      <c r="F63" s="451"/>
      <c r="G63" s="452">
        <v>13000</v>
      </c>
      <c r="H63" s="4"/>
      <c r="I63" s="8"/>
      <c r="J63" s="89"/>
      <c r="K63" s="229"/>
      <c r="L63" s="273"/>
      <c r="M63" s="449"/>
      <c r="N63" s="450"/>
      <c r="O63" s="451"/>
      <c r="P63" s="452"/>
      <c r="Q63" s="14"/>
    </row>
    <row r="64" spans="1:17" ht="15.95" customHeight="1" thickBot="1" x14ac:dyDescent="0.35">
      <c r="A64" s="88" t="s">
        <v>157</v>
      </c>
      <c r="B64" s="234" t="s">
        <v>44</v>
      </c>
      <c r="C64" s="267" t="s">
        <v>159</v>
      </c>
      <c r="D64" s="107" t="s">
        <v>88</v>
      </c>
      <c r="E64" s="109">
        <v>13000</v>
      </c>
      <c r="F64" s="87">
        <v>22.82</v>
      </c>
      <c r="G64" s="110">
        <f>+F64*E64</f>
        <v>296660</v>
      </c>
      <c r="H64" s="4"/>
      <c r="I64" s="8"/>
      <c r="J64" s="88"/>
      <c r="K64" s="234"/>
      <c r="L64" s="267"/>
      <c r="M64" s="107"/>
      <c r="N64" s="109"/>
      <c r="O64" s="87"/>
      <c r="P64" s="110"/>
      <c r="Q64" s="14"/>
    </row>
    <row r="65" spans="1:19" ht="15.95" customHeight="1" x14ac:dyDescent="0.3">
      <c r="A65" s="599" t="s">
        <v>157</v>
      </c>
      <c r="B65" s="517" t="s">
        <v>44</v>
      </c>
      <c r="C65" s="515" t="s">
        <v>160</v>
      </c>
      <c r="D65" s="514" t="s">
        <v>98</v>
      </c>
      <c r="E65" s="511">
        <v>13500</v>
      </c>
      <c r="F65" s="512">
        <v>30</v>
      </c>
      <c r="G65" s="513">
        <f>+F65*E65</f>
        <v>405000</v>
      </c>
      <c r="H65" s="4"/>
      <c r="I65" s="8"/>
      <c r="J65" s="88"/>
      <c r="K65" s="234"/>
      <c r="L65" s="267"/>
      <c r="M65" s="107"/>
      <c r="N65" s="109"/>
      <c r="O65" s="87"/>
      <c r="P65" s="110"/>
      <c r="Q65" s="14"/>
    </row>
    <row r="66" spans="1:19" ht="15.95" customHeight="1" x14ac:dyDescent="0.3">
      <c r="A66" s="583"/>
      <c r="B66" s="589" t="s">
        <v>103</v>
      </c>
      <c r="C66" s="584"/>
      <c r="D66" s="585" t="s">
        <v>40</v>
      </c>
      <c r="E66" s="586"/>
      <c r="F66" s="587"/>
      <c r="G66" s="588">
        <v>7600</v>
      </c>
      <c r="H66" s="4"/>
      <c r="I66" s="8"/>
      <c r="J66" s="89"/>
      <c r="K66" s="229"/>
      <c r="L66" s="273"/>
      <c r="M66" s="93"/>
      <c r="N66" s="94"/>
      <c r="O66" s="47"/>
      <c r="P66" s="95"/>
      <c r="Q66" s="14"/>
    </row>
    <row r="67" spans="1:19" ht="15.95" customHeight="1" thickBot="1" x14ac:dyDescent="0.35">
      <c r="A67" s="582"/>
      <c r="B67" s="529"/>
      <c r="C67" s="530"/>
      <c r="D67" s="570" t="s">
        <v>99</v>
      </c>
      <c r="E67" s="571"/>
      <c r="F67" s="572"/>
      <c r="G67" s="573">
        <v>3500</v>
      </c>
      <c r="H67" s="4"/>
      <c r="I67" s="8"/>
      <c r="J67" s="88"/>
      <c r="K67" s="234"/>
      <c r="L67" s="267"/>
      <c r="M67" s="107"/>
      <c r="N67" s="109"/>
      <c r="O67" s="87"/>
      <c r="P67" s="110"/>
      <c r="Q67" s="14"/>
    </row>
    <row r="68" spans="1:19" ht="15.95" customHeight="1" thickBot="1" x14ac:dyDescent="0.35">
      <c r="A68" s="406"/>
      <c r="B68" s="391"/>
      <c r="C68" s="393"/>
      <c r="D68" s="200"/>
      <c r="E68" s="117"/>
      <c r="F68" s="118"/>
      <c r="G68" s="119"/>
      <c r="H68" s="4"/>
      <c r="I68" s="8"/>
      <c r="J68" s="406"/>
      <c r="K68" s="391"/>
      <c r="L68" s="393"/>
      <c r="M68" s="463"/>
      <c r="N68" s="460"/>
      <c r="O68" s="461"/>
      <c r="P68" s="462"/>
      <c r="Q68" s="14"/>
    </row>
    <row r="69" spans="1:19" ht="15.95" customHeight="1" thickBot="1" x14ac:dyDescent="0.35">
      <c r="A69" s="656" t="s">
        <v>65</v>
      </c>
      <c r="B69" s="657"/>
      <c r="C69" s="657"/>
      <c r="D69" s="658"/>
      <c r="E69" s="70">
        <f>SUM(E62:E68)</f>
        <v>39597.902999999998</v>
      </c>
      <c r="F69" s="137"/>
      <c r="G69" s="71">
        <f>SUM(G62:G68)</f>
        <v>999113.23561000009</v>
      </c>
      <c r="H69" s="4"/>
      <c r="I69" s="8"/>
      <c r="J69" s="656" t="s">
        <v>76</v>
      </c>
      <c r="K69" s="657"/>
      <c r="L69" s="657"/>
      <c r="M69" s="658"/>
      <c r="N69" s="477">
        <f>SUM(N62:N68)</f>
        <v>0</v>
      </c>
      <c r="O69" s="90"/>
      <c r="P69" s="70">
        <f>SUM(P62:P68)</f>
        <v>0</v>
      </c>
      <c r="Q69" s="268"/>
      <c r="R69" s="268"/>
      <c r="S69" s="268"/>
    </row>
    <row r="70" spans="1:19" ht="15.95" customHeight="1" x14ac:dyDescent="0.3">
      <c r="A70" s="35"/>
      <c r="B70" s="35"/>
      <c r="C70" s="35"/>
      <c r="D70" s="35"/>
      <c r="E70" s="283"/>
      <c r="F70" s="285"/>
      <c r="G70" s="285"/>
      <c r="H70" s="4"/>
      <c r="I70" s="8"/>
      <c r="N70" s="20"/>
      <c r="P70" s="20"/>
      <c r="Q70" s="268"/>
      <c r="R70" s="268"/>
      <c r="S70" s="268"/>
    </row>
    <row r="71" spans="1:19" ht="15.95" customHeight="1" thickBot="1" x14ac:dyDescent="0.35">
      <c r="A71" s="35"/>
      <c r="B71" s="35"/>
      <c r="C71" s="35"/>
      <c r="D71" s="35"/>
      <c r="E71" s="283"/>
      <c r="F71" s="285"/>
      <c r="G71" s="285"/>
      <c r="H71" s="4"/>
      <c r="I71" s="8"/>
      <c r="Q71" s="268"/>
      <c r="R71" s="268"/>
      <c r="S71" s="268"/>
    </row>
    <row r="72" spans="1:19" ht="18.75" customHeight="1" thickBot="1" x14ac:dyDescent="0.35">
      <c r="A72" s="627" t="s">
        <v>66</v>
      </c>
      <c r="B72" s="628"/>
      <c r="C72" s="628"/>
      <c r="D72" s="629"/>
      <c r="E72" s="72">
        <f>+E13+E24+E39+E47+E59+E69</f>
        <v>223736.17499999999</v>
      </c>
      <c r="F72" s="1"/>
      <c r="G72" s="73">
        <f>+G13+G24+G39+G47+G59+G69</f>
        <v>5276014.5881700004</v>
      </c>
      <c r="I72" s="16"/>
      <c r="J72" s="627" t="s">
        <v>74</v>
      </c>
      <c r="K72" s="628"/>
      <c r="L72" s="628"/>
      <c r="M72" s="629"/>
      <c r="N72" s="253">
        <f>N15+N24+N38+N47+N60+N69</f>
        <v>48000</v>
      </c>
      <c r="O72" s="68"/>
      <c r="P72" s="254">
        <f>+P15+P24+P38+P47+P60+P69</f>
        <v>1055180</v>
      </c>
      <c r="Q72" s="20"/>
    </row>
    <row r="73" spans="1:19" ht="17.25" customHeight="1" thickBot="1" x14ac:dyDescent="0.35">
      <c r="A73" s="35"/>
      <c r="B73" s="35"/>
      <c r="C73" s="35"/>
      <c r="D73" s="35"/>
      <c r="E73" s="36"/>
      <c r="F73" s="37"/>
      <c r="G73" s="36"/>
      <c r="H73" s="14"/>
      <c r="I73" s="16"/>
      <c r="J73" s="35"/>
      <c r="K73" s="35"/>
      <c r="L73" s="35"/>
      <c r="M73" s="35"/>
      <c r="N73" s="33"/>
      <c r="O73" s="1"/>
      <c r="P73" s="34"/>
    </row>
    <row r="74" spans="1:19" ht="8.25" hidden="1" customHeight="1" thickBot="1" x14ac:dyDescent="0.35">
      <c r="A74" s="15"/>
      <c r="B74" s="15"/>
      <c r="C74" s="15"/>
      <c r="D74" s="15"/>
      <c r="E74" s="21"/>
      <c r="G74" s="12"/>
      <c r="I74" s="16"/>
    </row>
    <row r="75" spans="1:19" ht="15.95" customHeight="1" x14ac:dyDescent="0.3">
      <c r="C75" s="669" t="s">
        <v>3</v>
      </c>
      <c r="D75" s="660" t="s">
        <v>55</v>
      </c>
      <c r="E75" s="659"/>
      <c r="G75" s="12"/>
      <c r="I75" s="16"/>
      <c r="J75" s="201" t="s">
        <v>21</v>
      </c>
      <c r="K75" s="55" t="s">
        <v>22</v>
      </c>
      <c r="L75" s="233">
        <v>428181.62</v>
      </c>
      <c r="M75" s="230"/>
      <c r="N75" s="216"/>
      <c r="O75" s="52"/>
      <c r="P75" s="12"/>
      <c r="Q75" s="12"/>
    </row>
    <row r="76" spans="1:19" ht="15.95" customHeight="1" thickBot="1" x14ac:dyDescent="0.35">
      <c r="C76" s="670"/>
      <c r="D76" s="661"/>
      <c r="E76" s="659"/>
      <c r="G76" s="91"/>
      <c r="I76" s="16"/>
      <c r="J76" s="31"/>
      <c r="K76" s="56" t="s">
        <v>23</v>
      </c>
      <c r="L76" s="232">
        <v>17824.93</v>
      </c>
      <c r="M76" s="230"/>
      <c r="N76" s="217"/>
      <c r="O76" s="25"/>
      <c r="P76" s="82"/>
    </row>
    <row r="77" spans="1:19" ht="15.95" customHeight="1" x14ac:dyDescent="0.3">
      <c r="A77" s="209" t="s">
        <v>8</v>
      </c>
      <c r="B77" s="210"/>
      <c r="C77" s="104">
        <f>+E13</f>
        <v>10252.714</v>
      </c>
      <c r="D77" s="99">
        <f>+G13</f>
        <v>219988.27022000001</v>
      </c>
      <c r="E77" s="80"/>
      <c r="G77" s="41"/>
      <c r="J77" s="31"/>
      <c r="K77" s="56" t="s">
        <v>25</v>
      </c>
      <c r="L77" s="232">
        <f>7413.2+226499.09</f>
        <v>233912.29</v>
      </c>
      <c r="M77" s="557" t="s">
        <v>138</v>
      </c>
      <c r="N77" s="216"/>
      <c r="O77" s="25"/>
      <c r="P77" s="44"/>
      <c r="R77" s="28"/>
    </row>
    <row r="78" spans="1:19" ht="15.95" customHeight="1" x14ac:dyDescent="0.3">
      <c r="A78" s="211" t="s">
        <v>9</v>
      </c>
      <c r="B78" s="212"/>
      <c r="C78" s="105">
        <f>+E24</f>
        <v>39463.595999999998</v>
      </c>
      <c r="D78" s="100">
        <f>+G24</f>
        <v>1024660.3607600001</v>
      </c>
      <c r="E78" s="80"/>
      <c r="G78" s="12"/>
      <c r="I78" s="16"/>
      <c r="J78" s="31"/>
      <c r="K78" s="56" t="s">
        <v>26</v>
      </c>
      <c r="L78" s="232">
        <v>297907.14</v>
      </c>
      <c r="M78" s="77"/>
      <c r="N78" s="216"/>
      <c r="O78" s="46"/>
      <c r="P78" s="38"/>
      <c r="R78" s="26"/>
    </row>
    <row r="79" spans="1:19" ht="15.95" customHeight="1" x14ac:dyDescent="0.3">
      <c r="A79" s="211" t="s">
        <v>10</v>
      </c>
      <c r="B79" s="212"/>
      <c r="C79" s="402">
        <f>+E39</f>
        <v>53955.73</v>
      </c>
      <c r="D79" s="592">
        <f>+G39</f>
        <v>1211073.2936000002</v>
      </c>
      <c r="E79" s="458"/>
      <c r="F79" s="74"/>
      <c r="I79" s="16"/>
      <c r="J79" s="54"/>
      <c r="K79" s="56" t="s">
        <v>27</v>
      </c>
      <c r="L79" s="232">
        <f>60858.09+822.92</f>
        <v>61681.009999999995</v>
      </c>
      <c r="M79" s="557" t="s">
        <v>167</v>
      </c>
      <c r="N79" s="216"/>
      <c r="O79" s="25"/>
      <c r="P79" s="43"/>
      <c r="R79" s="26"/>
    </row>
    <row r="80" spans="1:19" ht="15.95" customHeight="1" x14ac:dyDescent="0.3">
      <c r="A80" s="211" t="s">
        <v>11</v>
      </c>
      <c r="B80" s="212"/>
      <c r="C80" s="105">
        <f>+E47</f>
        <v>26969.563999999998</v>
      </c>
      <c r="D80" s="101">
        <f>+G47</f>
        <v>568310.53185999999</v>
      </c>
      <c r="E80" s="81"/>
      <c r="F80" s="14"/>
      <c r="G80" s="20"/>
      <c r="I80" s="16"/>
      <c r="J80" s="54"/>
      <c r="K80" s="56" t="s">
        <v>28</v>
      </c>
      <c r="L80" s="232"/>
      <c r="N80" s="216"/>
      <c r="O80" s="25"/>
      <c r="P80" s="43"/>
      <c r="R80" s="26"/>
    </row>
    <row r="81" spans="1:18" ht="15.95" customHeight="1" x14ac:dyDescent="0.3">
      <c r="A81" s="211" t="s">
        <v>12</v>
      </c>
      <c r="B81" s="212"/>
      <c r="C81" s="105">
        <f>+E59</f>
        <v>53496.668000000005</v>
      </c>
      <c r="D81" s="101">
        <f>+G59</f>
        <v>1252868.8961200002</v>
      </c>
      <c r="E81" s="81"/>
      <c r="F81" s="14"/>
      <c r="I81" s="16"/>
      <c r="J81" s="54"/>
      <c r="K81" s="56" t="s">
        <v>29</v>
      </c>
      <c r="L81" s="232"/>
      <c r="N81" s="217"/>
      <c r="O81" s="25"/>
      <c r="P81" s="43"/>
      <c r="R81" s="26"/>
    </row>
    <row r="82" spans="1:18" ht="15.95" customHeight="1" x14ac:dyDescent="0.3">
      <c r="A82" s="211" t="s">
        <v>14</v>
      </c>
      <c r="B82" s="213"/>
      <c r="C82" s="105">
        <f>+E69</f>
        <v>39597.902999999998</v>
      </c>
      <c r="D82" s="102">
        <f>+G69</f>
        <v>999113.23561000009</v>
      </c>
      <c r="E82" s="81"/>
      <c r="F82" s="74"/>
      <c r="G82" s="12"/>
      <c r="I82" s="16"/>
      <c r="J82" s="54"/>
      <c r="K82" s="56" t="s">
        <v>30</v>
      </c>
      <c r="L82" s="232"/>
      <c r="M82" s="468"/>
      <c r="N82" s="216"/>
      <c r="O82" s="25"/>
      <c r="P82" s="74"/>
      <c r="R82" s="26"/>
    </row>
    <row r="83" spans="1:18" ht="15.95" customHeight="1" x14ac:dyDescent="0.3">
      <c r="A83" s="211" t="s">
        <v>15</v>
      </c>
      <c r="B83" s="212"/>
      <c r="C83" s="105">
        <f>+N15</f>
        <v>48000</v>
      </c>
      <c r="D83" s="101">
        <f>+P15</f>
        <v>1055180</v>
      </c>
      <c r="E83" s="81"/>
      <c r="F83" s="43"/>
      <c r="G83" s="20"/>
      <c r="I83" s="16"/>
      <c r="J83" s="63"/>
      <c r="K83" s="56" t="s">
        <v>31</v>
      </c>
      <c r="L83" s="232"/>
      <c r="N83" s="218"/>
      <c r="O83" s="25"/>
      <c r="P83" s="14"/>
      <c r="R83" s="26"/>
    </row>
    <row r="84" spans="1:18" ht="15.95" customHeight="1" x14ac:dyDescent="0.3">
      <c r="A84" s="211" t="s">
        <v>16</v>
      </c>
      <c r="B84" s="212"/>
      <c r="C84" s="105">
        <f>+N24</f>
        <v>0</v>
      </c>
      <c r="D84" s="101">
        <f>+P24</f>
        <v>0</v>
      </c>
      <c r="E84" s="81"/>
      <c r="F84" s="40"/>
      <c r="G84" s="12"/>
      <c r="I84" s="16"/>
      <c r="J84" s="63"/>
      <c r="K84" s="56" t="s">
        <v>32</v>
      </c>
      <c r="L84" s="232"/>
      <c r="M84" s="24"/>
      <c r="N84" s="216"/>
      <c r="O84" s="25"/>
      <c r="P84" s="43"/>
      <c r="R84" s="26"/>
    </row>
    <row r="85" spans="1:18" ht="15.95" customHeight="1" x14ac:dyDescent="0.3">
      <c r="A85" s="211" t="s">
        <v>46</v>
      </c>
      <c r="B85" s="213"/>
      <c r="C85" s="105">
        <f>+N38</f>
        <v>0</v>
      </c>
      <c r="D85" s="101">
        <f>+P38</f>
        <v>0</v>
      </c>
      <c r="E85" s="81"/>
      <c r="F85" s="14"/>
      <c r="G85" s="41"/>
      <c r="I85" s="16"/>
      <c r="J85" s="63"/>
      <c r="K85" s="56" t="s">
        <v>33</v>
      </c>
      <c r="L85" s="232"/>
      <c r="N85" s="216"/>
      <c r="O85" s="623"/>
      <c r="P85" s="623"/>
      <c r="R85" s="26"/>
    </row>
    <row r="86" spans="1:18" ht="15.95" customHeight="1" thickBot="1" x14ac:dyDescent="0.35">
      <c r="A86" s="211" t="s">
        <v>18</v>
      </c>
      <c r="B86" s="212"/>
      <c r="C86" s="105">
        <f>+N47</f>
        <v>0</v>
      </c>
      <c r="D86" s="101">
        <f>+P47</f>
        <v>0</v>
      </c>
      <c r="E86" s="81"/>
      <c r="F86" s="74"/>
      <c r="G86" s="12"/>
      <c r="I86" s="16"/>
      <c r="J86" s="64"/>
      <c r="K86" s="62" t="s">
        <v>34</v>
      </c>
      <c r="L86" s="347"/>
      <c r="M86" s="346"/>
      <c r="N86" s="219"/>
      <c r="O86" s="623"/>
      <c r="P86" s="623"/>
      <c r="R86" s="26"/>
    </row>
    <row r="87" spans="1:18" ht="15.95" customHeight="1" thickBot="1" x14ac:dyDescent="0.35">
      <c r="A87" s="211" t="s">
        <v>19</v>
      </c>
      <c r="B87" s="212"/>
      <c r="C87" s="105">
        <f>+N60</f>
        <v>0</v>
      </c>
      <c r="D87" s="101">
        <f>+P60</f>
        <v>0</v>
      </c>
      <c r="E87" s="81"/>
      <c r="F87" s="14"/>
      <c r="G87" s="20"/>
      <c r="I87" s="16"/>
      <c r="J87" s="671" t="s">
        <v>77</v>
      </c>
      <c r="K87" s="672"/>
      <c r="L87" s="222">
        <f>SUM(L75:L86)</f>
        <v>1039506.99</v>
      </c>
      <c r="M87" s="221"/>
      <c r="N87" s="220"/>
      <c r="O87" s="25"/>
      <c r="P87" s="40"/>
      <c r="R87" s="28"/>
    </row>
    <row r="88" spans="1:18" ht="15.95" customHeight="1" thickBot="1" x14ac:dyDescent="0.3">
      <c r="A88" s="214" t="s">
        <v>20</v>
      </c>
      <c r="B88" s="215"/>
      <c r="C88" s="206">
        <f>+N69</f>
        <v>0</v>
      </c>
      <c r="D88" s="207">
        <f>+P69</f>
        <v>0</v>
      </c>
      <c r="E88" s="81"/>
      <c r="F88" s="14"/>
      <c r="G88" s="20"/>
      <c r="J88" s="668"/>
      <c r="K88" s="668"/>
      <c r="L88" s="668"/>
      <c r="M88" s="24"/>
      <c r="N88" s="75"/>
      <c r="O88" s="27"/>
      <c r="P88" s="40"/>
      <c r="R88" s="28"/>
    </row>
    <row r="89" spans="1:18" ht="11.25" customHeight="1" thickBot="1" x14ac:dyDescent="0.3">
      <c r="D89" s="12"/>
      <c r="E89" s="74"/>
      <c r="F89" s="24"/>
      <c r="G89" s="20"/>
      <c r="I89" s="17"/>
      <c r="J89" s="667"/>
      <c r="K89" s="667"/>
      <c r="L89" s="667"/>
      <c r="M89" s="24"/>
      <c r="N89" s="76"/>
      <c r="O89" s="14"/>
      <c r="P89" s="43"/>
      <c r="R89" s="29"/>
    </row>
    <row r="90" spans="1:18" ht="15.95" customHeight="1" thickBot="1" x14ac:dyDescent="0.25">
      <c r="A90" s="665" t="s">
        <v>67</v>
      </c>
      <c r="B90" s="666"/>
      <c r="C90" s="208">
        <f>SUM(C77:C88)</f>
        <v>271736.17499999999</v>
      </c>
      <c r="D90" s="471">
        <f>SUM(D77:D88)</f>
        <v>6331194.5881700004</v>
      </c>
      <c r="E90" s="205"/>
      <c r="F90" s="43"/>
      <c r="G90" s="20"/>
      <c r="J90" s="251" t="s">
        <v>78</v>
      </c>
      <c r="K90" s="223"/>
      <c r="L90" s="224"/>
      <c r="M90" s="202">
        <f>+D90+L87</f>
        <v>7370701.5781700006</v>
      </c>
      <c r="N90" s="204"/>
      <c r="O90" s="14"/>
      <c r="P90" s="14"/>
    </row>
    <row r="91" spans="1:18" ht="15.95" customHeight="1" x14ac:dyDescent="0.2">
      <c r="D91" s="12"/>
      <c r="E91" s="43"/>
      <c r="F91" s="14"/>
      <c r="G91" s="12"/>
      <c r="N91" s="41"/>
      <c r="O91" s="20"/>
      <c r="P91" s="40"/>
    </row>
    <row r="92" spans="1:18" ht="15" customHeight="1" x14ac:dyDescent="0.25">
      <c r="A92" s="24"/>
      <c r="B92" s="24"/>
      <c r="C92" s="24"/>
      <c r="D92" s="26"/>
      <c r="E92" s="27"/>
      <c r="G92" s="41"/>
      <c r="H92" s="20"/>
      <c r="J92" s="20"/>
      <c r="K92" s="20"/>
      <c r="L92" s="41"/>
      <c r="M92" s="20"/>
      <c r="N92" s="41"/>
      <c r="O92" s="20"/>
    </row>
    <row r="93" spans="1:18" ht="15" customHeight="1" x14ac:dyDescent="0.25">
      <c r="L93" s="29"/>
    </row>
  </sheetData>
  <mergeCells count="39">
    <mergeCell ref="A1:P2"/>
    <mergeCell ref="A4:G4"/>
    <mergeCell ref="A5:A6"/>
    <mergeCell ref="C5:C6"/>
    <mergeCell ref="E5:E6"/>
    <mergeCell ref="F5:F6"/>
    <mergeCell ref="L5:L6"/>
    <mergeCell ref="J4:P4"/>
    <mergeCell ref="J5:J6"/>
    <mergeCell ref="I5:I6"/>
    <mergeCell ref="N5:N6"/>
    <mergeCell ref="G5:G6"/>
    <mergeCell ref="O5:O6"/>
    <mergeCell ref="P5:P6"/>
    <mergeCell ref="B5:B6"/>
    <mergeCell ref="K5:K6"/>
    <mergeCell ref="A13:D13"/>
    <mergeCell ref="A47:D47"/>
    <mergeCell ref="J15:M15"/>
    <mergeCell ref="A24:D24"/>
    <mergeCell ref="J38:M38"/>
    <mergeCell ref="A90:B90"/>
    <mergeCell ref="A72:D72"/>
    <mergeCell ref="J72:M72"/>
    <mergeCell ref="J89:L89"/>
    <mergeCell ref="J88:L88"/>
    <mergeCell ref="C75:C76"/>
    <mergeCell ref="J87:K87"/>
    <mergeCell ref="J60:M60"/>
    <mergeCell ref="A59:D59"/>
    <mergeCell ref="J47:M47"/>
    <mergeCell ref="J24:M24"/>
    <mergeCell ref="A39:D39"/>
    <mergeCell ref="O86:P86"/>
    <mergeCell ref="A69:D69"/>
    <mergeCell ref="J69:M69"/>
    <mergeCell ref="O85:P85"/>
    <mergeCell ref="E75:E76"/>
    <mergeCell ref="D75:D76"/>
  </mergeCells>
  <printOptions horizontalCentered="1"/>
  <pageMargins left="0.19685039370078741" right="0.19685039370078741" top="0.62992125984251968" bottom="0" header="0.31496062992125984" footer="0.11811023622047245"/>
  <pageSetup paperSize="9" scale="43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8097-C72A-4B04-ADDD-B0F001C91907}">
  <sheetPr>
    <tabColor theme="5" tint="0.59999389629810485"/>
    <pageSetUpPr fitToPage="1"/>
  </sheetPr>
  <dimension ref="A1:Q87"/>
  <sheetViews>
    <sheetView showGridLines="0" topLeftCell="A67" zoomScale="118" zoomScaleNormal="118" workbookViewId="0">
      <selection activeCell="D11" sqref="D11"/>
    </sheetView>
  </sheetViews>
  <sheetFormatPr baseColWidth="10" defaultColWidth="11.5703125" defaultRowHeight="12" x14ac:dyDescent="0.2"/>
  <cols>
    <col min="1" max="1" width="11.42578125" style="2" customWidth="1"/>
    <col min="2" max="2" width="16.5703125" style="2" customWidth="1"/>
    <col min="3" max="3" width="17.42578125" style="2" customWidth="1"/>
    <col min="4" max="4" width="20.7109375" style="2" customWidth="1"/>
    <col min="5" max="5" width="17.5703125" style="2" customWidth="1"/>
    <col min="6" max="6" width="12" style="2" customWidth="1"/>
    <col min="7" max="7" width="16.28515625" style="2" customWidth="1"/>
    <col min="8" max="8" width="7.7109375" style="2" customWidth="1"/>
    <col min="9" max="9" width="13.85546875" style="2" customWidth="1"/>
    <col min="10" max="10" width="15.85546875" style="2" customWidth="1"/>
    <col min="11" max="11" width="16.5703125" style="2" customWidth="1"/>
    <col min="12" max="12" width="22.42578125" style="2" customWidth="1"/>
    <col min="13" max="13" width="16.140625" style="2" customWidth="1"/>
    <col min="14" max="14" width="13" style="2" customWidth="1"/>
    <col min="15" max="15" width="15.5703125" style="2" customWidth="1"/>
    <col min="16" max="16" width="12.42578125" style="2" customWidth="1"/>
    <col min="17" max="17" width="11.5703125" style="2"/>
    <col min="18" max="18" width="16.5703125" style="2" customWidth="1"/>
    <col min="19" max="16384" width="11.5703125" style="2"/>
  </cols>
  <sheetData>
    <row r="1" spans="1:17" ht="15" customHeight="1" x14ac:dyDescent="0.2">
      <c r="A1" s="634" t="s">
        <v>79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7" ht="6" customHeight="1" thickBot="1" x14ac:dyDescent="0.25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7" ht="16.5" customHeight="1" thickBo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7" s="19" customFormat="1" ht="18" customHeight="1" thickBot="1" x14ac:dyDescent="0.3">
      <c r="A4" s="640" t="s">
        <v>59</v>
      </c>
      <c r="B4" s="641"/>
      <c r="C4" s="641"/>
      <c r="D4" s="641"/>
      <c r="E4" s="641"/>
      <c r="F4" s="641"/>
      <c r="G4" s="642"/>
      <c r="H4" s="18"/>
      <c r="I4" s="643" t="s">
        <v>68</v>
      </c>
      <c r="J4" s="644"/>
      <c r="K4" s="644"/>
      <c r="L4" s="644"/>
      <c r="M4" s="644"/>
      <c r="N4" s="644"/>
      <c r="O4" s="645"/>
      <c r="P4" s="18"/>
    </row>
    <row r="5" spans="1:17" ht="15.95" customHeight="1" x14ac:dyDescent="0.2">
      <c r="A5" s="646" t="s">
        <v>0</v>
      </c>
      <c r="B5" s="648" t="s">
        <v>43</v>
      </c>
      <c r="C5" s="650" t="s">
        <v>1</v>
      </c>
      <c r="D5" s="48" t="s">
        <v>2</v>
      </c>
      <c r="E5" s="652" t="s">
        <v>3</v>
      </c>
      <c r="F5" s="632" t="s">
        <v>4</v>
      </c>
      <c r="G5" s="630" t="s">
        <v>38</v>
      </c>
      <c r="H5" s="3"/>
      <c r="I5" s="654" t="s">
        <v>0</v>
      </c>
      <c r="J5" s="648" t="s">
        <v>43</v>
      </c>
      <c r="K5" s="652" t="s">
        <v>1</v>
      </c>
      <c r="L5" s="48" t="s">
        <v>2</v>
      </c>
      <c r="M5" s="652" t="s">
        <v>3</v>
      </c>
      <c r="N5" s="632" t="s">
        <v>4</v>
      </c>
      <c r="O5" s="630" t="s">
        <v>38</v>
      </c>
      <c r="P5" s="3"/>
    </row>
    <row r="6" spans="1:17" ht="15.95" customHeight="1" thickBot="1" x14ac:dyDescent="0.25">
      <c r="A6" s="647"/>
      <c r="B6" s="649"/>
      <c r="C6" s="651"/>
      <c r="D6" s="69" t="s">
        <v>5</v>
      </c>
      <c r="E6" s="653"/>
      <c r="F6" s="633" t="s">
        <v>6</v>
      </c>
      <c r="G6" s="631" t="s">
        <v>7</v>
      </c>
      <c r="H6" s="3"/>
      <c r="I6" s="655"/>
      <c r="J6" s="649"/>
      <c r="K6" s="653"/>
      <c r="L6" s="69" t="s">
        <v>5</v>
      </c>
      <c r="M6" s="653"/>
      <c r="N6" s="633" t="s">
        <v>6</v>
      </c>
      <c r="O6" s="631" t="s">
        <v>7</v>
      </c>
    </row>
    <row r="7" spans="1:17" ht="16.5" customHeight="1" x14ac:dyDescent="0.3">
      <c r="A7" s="86" t="s">
        <v>96</v>
      </c>
      <c r="B7" s="234" t="s">
        <v>58</v>
      </c>
      <c r="C7" s="267" t="s">
        <v>87</v>
      </c>
      <c r="D7" s="107" t="s">
        <v>24</v>
      </c>
      <c r="E7" s="109">
        <v>13720.636</v>
      </c>
      <c r="F7" s="87">
        <v>19.78</v>
      </c>
      <c r="G7" s="110">
        <f>+E7*F7</f>
        <v>271394.18008000002</v>
      </c>
      <c r="H7" s="3"/>
      <c r="I7" s="88" t="s">
        <v>175</v>
      </c>
      <c r="J7" s="234" t="s">
        <v>58</v>
      </c>
      <c r="K7" s="267" t="s">
        <v>171</v>
      </c>
      <c r="L7" s="107" t="s">
        <v>88</v>
      </c>
      <c r="M7" s="109">
        <v>12000</v>
      </c>
      <c r="N7" s="87">
        <v>23.12</v>
      </c>
      <c r="O7" s="110">
        <f>+N7*M7</f>
        <v>277440</v>
      </c>
    </row>
    <row r="8" spans="1:17" ht="16.5" customHeight="1" x14ac:dyDescent="0.3">
      <c r="A8" s="227"/>
      <c r="B8" s="261"/>
      <c r="C8" s="261"/>
      <c r="D8" s="93" t="s">
        <v>56</v>
      </c>
      <c r="E8" s="94"/>
      <c r="F8" s="47"/>
      <c r="G8" s="95">
        <v>24267.34</v>
      </c>
      <c r="H8" s="3"/>
      <c r="I8" s="49"/>
      <c r="J8" s="229"/>
      <c r="K8" s="273"/>
      <c r="L8" s="449"/>
      <c r="M8" s="450"/>
      <c r="N8" s="451"/>
      <c r="O8" s="452"/>
    </row>
    <row r="9" spans="1:17" ht="16.5" customHeight="1" x14ac:dyDescent="0.3">
      <c r="A9" s="86" t="s">
        <v>100</v>
      </c>
      <c r="B9" s="229" t="s">
        <v>58</v>
      </c>
      <c r="C9" s="273" t="s">
        <v>89</v>
      </c>
      <c r="D9" s="93" t="s">
        <v>24</v>
      </c>
      <c r="E9" s="94">
        <v>13886.609</v>
      </c>
      <c r="F9" s="47">
        <v>19.78</v>
      </c>
      <c r="G9" s="95">
        <f>+E9*F9</f>
        <v>274677.12602000003</v>
      </c>
      <c r="H9" s="3"/>
      <c r="I9" s="88" t="s">
        <v>175</v>
      </c>
      <c r="J9" s="234" t="s">
        <v>58</v>
      </c>
      <c r="K9" s="267" t="s">
        <v>178</v>
      </c>
      <c r="L9" s="107" t="s">
        <v>24</v>
      </c>
      <c r="M9" s="109">
        <v>12500</v>
      </c>
      <c r="N9" s="87">
        <v>21.87</v>
      </c>
      <c r="O9" s="110">
        <f>+M9*N9</f>
        <v>273375</v>
      </c>
    </row>
    <row r="10" spans="1:17" ht="16.5" customHeight="1" x14ac:dyDescent="0.3">
      <c r="A10" s="88"/>
      <c r="B10" s="234"/>
      <c r="C10" s="267"/>
      <c r="D10" s="93" t="s">
        <v>56</v>
      </c>
      <c r="E10" s="94"/>
      <c r="F10" s="47"/>
      <c r="G10" s="95">
        <v>26611.71</v>
      </c>
      <c r="H10" s="3"/>
      <c r="I10" s="49"/>
      <c r="J10" s="229"/>
      <c r="K10" s="229"/>
      <c r="L10" s="449" t="s">
        <v>56</v>
      </c>
      <c r="M10" s="590"/>
      <c r="N10" s="591"/>
      <c r="O10" s="452">
        <v>20000</v>
      </c>
    </row>
    <row r="11" spans="1:17" ht="16.5" customHeight="1" x14ac:dyDescent="0.3">
      <c r="A11" s="49" t="s">
        <v>102</v>
      </c>
      <c r="B11" s="234" t="s">
        <v>58</v>
      </c>
      <c r="C11" s="267" t="s">
        <v>90</v>
      </c>
      <c r="D11" s="107" t="s">
        <v>88</v>
      </c>
      <c r="E11" s="109">
        <v>14271.956</v>
      </c>
      <c r="F11" s="87">
        <v>20.88</v>
      </c>
      <c r="G11" s="110">
        <f>+E11*F11</f>
        <v>297998.44127999997</v>
      </c>
      <c r="H11" s="3"/>
      <c r="I11" s="88" t="s">
        <v>175</v>
      </c>
      <c r="J11" s="234" t="s">
        <v>58</v>
      </c>
      <c r="K11" s="267" t="s">
        <v>179</v>
      </c>
      <c r="L11" s="107" t="s">
        <v>24</v>
      </c>
      <c r="M11" s="109">
        <v>12000</v>
      </c>
      <c r="N11" s="87">
        <v>21.87</v>
      </c>
      <c r="O11" s="110">
        <f>+M11*N11</f>
        <v>262440</v>
      </c>
    </row>
    <row r="12" spans="1:17" ht="16.5" customHeight="1" thickBot="1" x14ac:dyDescent="0.35">
      <c r="A12" s="455"/>
      <c r="B12" s="456"/>
      <c r="C12" s="457"/>
      <c r="D12" s="200"/>
      <c r="E12" s="117"/>
      <c r="F12" s="118"/>
      <c r="G12" s="119"/>
      <c r="H12" s="3"/>
      <c r="I12" s="406"/>
      <c r="J12" s="391"/>
      <c r="K12" s="391"/>
      <c r="L12" s="463" t="s">
        <v>56</v>
      </c>
      <c r="M12" s="609"/>
      <c r="N12" s="610"/>
      <c r="O12" s="462">
        <v>20000</v>
      </c>
    </row>
    <row r="13" spans="1:17" ht="15.95" customHeight="1" thickBot="1" x14ac:dyDescent="0.3">
      <c r="A13" s="624" t="s">
        <v>60</v>
      </c>
      <c r="B13" s="625"/>
      <c r="C13" s="625"/>
      <c r="D13" s="626"/>
      <c r="E13" s="70">
        <f>SUM(E7:E12)</f>
        <v>41879.201000000001</v>
      </c>
      <c r="F13" s="388"/>
      <c r="G13" s="71">
        <f>SUM(G7:G12)</f>
        <v>894948.79737999989</v>
      </c>
      <c r="H13" s="3"/>
      <c r="I13" s="624" t="s">
        <v>69</v>
      </c>
      <c r="J13" s="625"/>
      <c r="K13" s="625"/>
      <c r="L13" s="626"/>
      <c r="M13" s="70">
        <f>SUM(M7:M12)</f>
        <v>36500</v>
      </c>
      <c r="N13" s="34"/>
      <c r="O13" s="71">
        <f>SUM(O7:O12)</f>
        <v>853255</v>
      </c>
      <c r="P13" s="3"/>
      <c r="Q13" s="20"/>
    </row>
    <row r="14" spans="1:17" ht="15.95" customHeight="1" x14ac:dyDescent="0.3">
      <c r="A14" s="300"/>
      <c r="B14" s="301"/>
      <c r="C14" s="301"/>
      <c r="D14" s="258"/>
      <c r="E14" s="285"/>
      <c r="F14" s="285"/>
      <c r="G14" s="285"/>
      <c r="H14" s="3"/>
      <c r="M14" s="285"/>
      <c r="N14" s="285"/>
      <c r="O14" s="285"/>
      <c r="P14" s="3"/>
    </row>
    <row r="15" spans="1:17" ht="15.95" customHeight="1" thickBot="1" x14ac:dyDescent="0.25">
      <c r="H15" s="3"/>
      <c r="P15" s="3"/>
    </row>
    <row r="16" spans="1:17" ht="15.95" customHeight="1" x14ac:dyDescent="0.3">
      <c r="A16" s="85" t="s">
        <v>106</v>
      </c>
      <c r="B16" s="231" t="s">
        <v>58</v>
      </c>
      <c r="C16" s="271" t="s">
        <v>93</v>
      </c>
      <c r="D16" s="96" t="s">
        <v>35</v>
      </c>
      <c r="E16" s="97">
        <v>13005.188</v>
      </c>
      <c r="F16" s="84">
        <v>18.12</v>
      </c>
      <c r="G16" s="98">
        <f>+E16*F16</f>
        <v>235654.00656000001</v>
      </c>
      <c r="H16" s="3"/>
      <c r="I16" s="493"/>
      <c r="J16" s="494"/>
      <c r="K16" s="494"/>
      <c r="L16" s="494"/>
      <c r="M16" s="494"/>
      <c r="N16" s="494"/>
      <c r="O16" s="495"/>
      <c r="P16" s="3"/>
    </row>
    <row r="17" spans="1:17" ht="15.95" customHeight="1" x14ac:dyDescent="0.3">
      <c r="A17" s="89"/>
      <c r="B17" s="229"/>
      <c r="C17" s="273"/>
      <c r="D17" s="93" t="s">
        <v>56</v>
      </c>
      <c r="E17" s="94"/>
      <c r="F17" s="47"/>
      <c r="G17" s="95">
        <v>3509.48</v>
      </c>
      <c r="H17" s="3"/>
      <c r="I17" s="505"/>
      <c r="J17" s="506"/>
      <c r="K17" s="506"/>
      <c r="L17" s="506"/>
      <c r="M17" s="506"/>
      <c r="N17" s="506"/>
      <c r="O17" s="507"/>
      <c r="P17" s="3"/>
    </row>
    <row r="18" spans="1:17" ht="15.95" customHeight="1" x14ac:dyDescent="0.3">
      <c r="A18" s="86" t="s">
        <v>109</v>
      </c>
      <c r="B18" s="234" t="s">
        <v>58</v>
      </c>
      <c r="C18" s="267" t="s">
        <v>94</v>
      </c>
      <c r="D18" s="107" t="s">
        <v>24</v>
      </c>
      <c r="E18" s="109">
        <v>13898.812</v>
      </c>
      <c r="F18" s="87">
        <v>19.78</v>
      </c>
      <c r="G18" s="110">
        <f>+E18*F18</f>
        <v>274918.50135999999</v>
      </c>
      <c r="H18" s="3"/>
      <c r="I18" s="505"/>
      <c r="J18" s="506"/>
      <c r="K18" s="506"/>
      <c r="L18" s="506"/>
      <c r="M18" s="506"/>
      <c r="N18" s="506"/>
      <c r="O18" s="507"/>
      <c r="P18" s="3"/>
    </row>
    <row r="19" spans="1:17" ht="15.95" customHeight="1" x14ac:dyDescent="0.3">
      <c r="A19" s="89"/>
      <c r="B19" s="234"/>
      <c r="C19" s="267"/>
      <c r="D19" s="93" t="s">
        <v>56</v>
      </c>
      <c r="E19" s="94"/>
      <c r="F19" s="47"/>
      <c r="G19" s="95">
        <v>25636</v>
      </c>
      <c r="H19" s="3"/>
      <c r="I19" s="505"/>
      <c r="J19" s="506"/>
      <c r="K19" s="506"/>
      <c r="L19" s="506"/>
      <c r="M19" s="506"/>
      <c r="N19" s="506"/>
      <c r="O19" s="507"/>
      <c r="P19" s="3"/>
    </row>
    <row r="20" spans="1:17" ht="15.95" customHeight="1" x14ac:dyDescent="0.3">
      <c r="A20" s="86" t="s">
        <v>124</v>
      </c>
      <c r="B20" s="229" t="s">
        <v>58</v>
      </c>
      <c r="C20" s="273" t="s">
        <v>95</v>
      </c>
      <c r="D20" s="93" t="s">
        <v>112</v>
      </c>
      <c r="E20" s="94">
        <v>14172.119000000001</v>
      </c>
      <c r="F20" s="47">
        <v>19.78</v>
      </c>
      <c r="G20" s="95">
        <f>+E20*F20</f>
        <v>280324.51382000005</v>
      </c>
      <c r="H20" s="3"/>
      <c r="I20" s="505"/>
      <c r="J20" s="506"/>
      <c r="K20" s="506"/>
      <c r="L20" s="506"/>
      <c r="M20" s="506"/>
      <c r="N20" s="506"/>
      <c r="O20" s="507"/>
      <c r="P20" s="3"/>
    </row>
    <row r="21" spans="1:17" ht="15.95" customHeight="1" x14ac:dyDescent="0.3">
      <c r="A21" s="49"/>
      <c r="B21" s="229"/>
      <c r="C21" s="273"/>
      <c r="D21" s="439" t="s">
        <v>39</v>
      </c>
      <c r="E21" s="438"/>
      <c r="F21" s="440"/>
      <c r="G21" s="441">
        <v>18000</v>
      </c>
      <c r="H21" s="3"/>
      <c r="I21" s="505"/>
      <c r="J21" s="506"/>
      <c r="K21" s="506"/>
      <c r="L21" s="506"/>
      <c r="M21" s="506"/>
      <c r="N21" s="506"/>
      <c r="O21" s="507"/>
      <c r="P21" s="3"/>
    </row>
    <row r="22" spans="1:17" ht="15.95" customHeight="1" x14ac:dyDescent="0.3">
      <c r="A22" s="49"/>
      <c r="B22" s="229"/>
      <c r="C22" s="273"/>
      <c r="D22" s="439" t="s">
        <v>114</v>
      </c>
      <c r="E22" s="438"/>
      <c r="F22" s="440"/>
      <c r="G22" s="441">
        <v>14953.24</v>
      </c>
      <c r="H22" s="3"/>
      <c r="I22" s="505"/>
      <c r="J22" s="506"/>
      <c r="K22" s="506"/>
      <c r="L22" s="506"/>
      <c r="M22" s="506"/>
      <c r="N22" s="506"/>
      <c r="O22" s="507"/>
      <c r="P22" s="3"/>
    </row>
    <row r="23" spans="1:17" ht="15.95" customHeight="1" thickBot="1" x14ac:dyDescent="0.35">
      <c r="A23" s="406"/>
      <c r="B23" s="391"/>
      <c r="C23" s="393"/>
      <c r="D23" s="200" t="s">
        <v>119</v>
      </c>
      <c r="E23" s="117"/>
      <c r="F23" s="118"/>
      <c r="G23" s="119">
        <v>23526</v>
      </c>
      <c r="H23" s="3"/>
      <c r="I23" s="566"/>
      <c r="J23" s="567"/>
      <c r="K23" s="567"/>
      <c r="L23" s="567"/>
      <c r="M23" s="567"/>
      <c r="N23" s="567"/>
      <c r="O23" s="568"/>
      <c r="P23" s="3"/>
    </row>
    <row r="24" spans="1:17" ht="16.5" customHeight="1" thickBot="1" x14ac:dyDescent="0.3">
      <c r="A24" s="624" t="s">
        <v>61</v>
      </c>
      <c r="B24" s="625"/>
      <c r="C24" s="625"/>
      <c r="D24" s="626"/>
      <c r="E24" s="70">
        <f>SUM(E16:E23)</f>
        <v>41076.118999999999</v>
      </c>
      <c r="F24" s="136"/>
      <c r="G24" s="71">
        <f>SUM(G16:G23)</f>
        <v>876521.74173999997</v>
      </c>
      <c r="H24" s="277"/>
      <c r="I24" s="624" t="s">
        <v>70</v>
      </c>
      <c r="J24" s="625"/>
      <c r="K24" s="625"/>
      <c r="L24" s="626"/>
      <c r="M24" s="70">
        <f>SUM(M16:M23)</f>
        <v>0</v>
      </c>
      <c r="N24" s="34"/>
      <c r="O24" s="71">
        <f>SUM(O16:O23)</f>
        <v>0</v>
      </c>
      <c r="P24" s="111"/>
      <c r="Q24" s="108"/>
    </row>
    <row r="25" spans="1:17" ht="16.5" customHeight="1" x14ac:dyDescent="0.3">
      <c r="E25" s="276"/>
      <c r="F25" s="532"/>
      <c r="G25" s="276"/>
      <c r="H25" s="277"/>
      <c r="I25" s="300"/>
      <c r="J25" s="301"/>
      <c r="K25" s="301"/>
      <c r="L25" s="258"/>
      <c r="M25" s="259"/>
      <c r="N25" s="23"/>
      <c r="O25" s="260"/>
      <c r="P25" s="111"/>
      <c r="Q25" s="108"/>
    </row>
    <row r="26" spans="1:17" ht="15.95" customHeight="1" thickBot="1" x14ac:dyDescent="0.35">
      <c r="H26" s="4"/>
    </row>
    <row r="27" spans="1:17" ht="15.95" customHeight="1" x14ac:dyDescent="0.3">
      <c r="A27" s="523" t="s">
        <v>127</v>
      </c>
      <c r="B27" s="510" t="s">
        <v>58</v>
      </c>
      <c r="C27" s="539" t="s">
        <v>107</v>
      </c>
      <c r="D27" s="540" t="s">
        <v>35</v>
      </c>
      <c r="E27" s="511">
        <v>13510.924999999999</v>
      </c>
      <c r="F27" s="512">
        <v>24.5</v>
      </c>
      <c r="G27" s="513">
        <f>+F27*E27</f>
        <v>331017.66249999998</v>
      </c>
      <c r="H27" s="4"/>
      <c r="I27" s="419"/>
      <c r="J27" s="420"/>
      <c r="K27" s="420"/>
      <c r="L27" s="420"/>
      <c r="M27" s="420"/>
      <c r="N27" s="420"/>
      <c r="O27" s="421"/>
    </row>
    <row r="28" spans="1:17" ht="15.95" customHeight="1" x14ac:dyDescent="0.3">
      <c r="A28" s="508"/>
      <c r="B28" s="559" t="s">
        <v>103</v>
      </c>
      <c r="C28" s="531"/>
      <c r="D28" s="541" t="s">
        <v>40</v>
      </c>
      <c r="E28" s="542"/>
      <c r="F28" s="543"/>
      <c r="G28" s="544">
        <v>6907.8</v>
      </c>
      <c r="H28" s="4"/>
      <c r="I28" s="199"/>
      <c r="J28" s="198"/>
      <c r="K28" s="198"/>
      <c r="L28" s="198"/>
      <c r="M28" s="198"/>
      <c r="N28" s="198"/>
      <c r="O28" s="401"/>
    </row>
    <row r="29" spans="1:17" ht="15.95" customHeight="1" thickBot="1" x14ac:dyDescent="0.35">
      <c r="A29" s="518"/>
      <c r="B29" s="529"/>
      <c r="C29" s="530"/>
      <c r="D29" s="545" t="s">
        <v>99</v>
      </c>
      <c r="E29" s="546"/>
      <c r="F29" s="547"/>
      <c r="G29" s="548">
        <v>3406.26</v>
      </c>
      <c r="H29" s="4"/>
      <c r="I29" s="199"/>
      <c r="J29" s="198"/>
      <c r="K29" s="198"/>
      <c r="L29" s="198"/>
      <c r="M29" s="198"/>
      <c r="N29" s="198"/>
      <c r="O29" s="401"/>
    </row>
    <row r="30" spans="1:17" ht="15.95" customHeight="1" x14ac:dyDescent="0.3">
      <c r="A30" s="85" t="s">
        <v>135</v>
      </c>
      <c r="B30" s="231" t="s">
        <v>58</v>
      </c>
      <c r="C30" s="271" t="s">
        <v>120</v>
      </c>
      <c r="D30" s="96" t="s">
        <v>35</v>
      </c>
      <c r="E30" s="97">
        <v>13447.314</v>
      </c>
      <c r="F30" s="84">
        <v>17.98</v>
      </c>
      <c r="G30" s="98">
        <f>+E30*F30</f>
        <v>241782.70572</v>
      </c>
      <c r="H30" s="4"/>
      <c r="I30" s="496"/>
      <c r="J30" s="497"/>
      <c r="K30" s="498"/>
      <c r="L30" s="499"/>
      <c r="M30" s="500"/>
      <c r="N30" s="501"/>
      <c r="O30" s="502"/>
      <c r="P30" s="284"/>
    </row>
    <row r="31" spans="1:17" ht="15.95" customHeight="1" x14ac:dyDescent="0.3">
      <c r="A31" s="479"/>
      <c r="B31" s="453"/>
      <c r="C31" s="454"/>
      <c r="D31" s="93" t="s">
        <v>56</v>
      </c>
      <c r="E31" s="94"/>
      <c r="F31" s="47"/>
      <c r="G31" s="95">
        <v>3509.48</v>
      </c>
      <c r="H31" s="4"/>
      <c r="I31" s="496"/>
      <c r="J31" s="497"/>
      <c r="K31" s="498"/>
      <c r="L31" s="499"/>
      <c r="M31" s="500"/>
      <c r="N31" s="501"/>
      <c r="O31" s="502"/>
      <c r="P31" s="284"/>
    </row>
    <row r="32" spans="1:17" ht="15.95" customHeight="1" x14ac:dyDescent="0.3">
      <c r="A32" s="86" t="s">
        <v>137</v>
      </c>
      <c r="B32" s="234" t="s">
        <v>58</v>
      </c>
      <c r="C32" s="267" t="s">
        <v>121</v>
      </c>
      <c r="D32" s="107" t="s">
        <v>88</v>
      </c>
      <c r="E32" s="109">
        <v>13842.061</v>
      </c>
      <c r="F32" s="87">
        <v>20.74</v>
      </c>
      <c r="G32" s="110">
        <f>+E32*F32</f>
        <v>287084.34513999999</v>
      </c>
      <c r="H32" s="4"/>
      <c r="I32" s="49"/>
      <c r="J32" s="229"/>
      <c r="K32" s="273"/>
      <c r="L32" s="93"/>
      <c r="M32" s="94"/>
      <c r="N32" s="47"/>
      <c r="O32" s="95"/>
    </row>
    <row r="33" spans="1:15" ht="15.95" customHeight="1" thickBot="1" x14ac:dyDescent="0.35">
      <c r="A33" s="203"/>
      <c r="B33" s="262"/>
      <c r="C33" s="262"/>
      <c r="D33" s="200"/>
      <c r="E33" s="117"/>
      <c r="F33" s="118"/>
      <c r="G33" s="119"/>
      <c r="H33" s="4"/>
      <c r="I33" s="406"/>
      <c r="J33" s="391"/>
      <c r="K33" s="393"/>
      <c r="L33" s="200"/>
      <c r="M33" s="117"/>
      <c r="N33" s="118"/>
      <c r="O33" s="119"/>
    </row>
    <row r="34" spans="1:15" ht="15.95" customHeight="1" thickBot="1" x14ac:dyDescent="0.35">
      <c r="A34" s="624" t="s">
        <v>62</v>
      </c>
      <c r="B34" s="625"/>
      <c r="C34" s="625"/>
      <c r="D34" s="626"/>
      <c r="E34" s="70">
        <f>SUM(E27:E33)</f>
        <v>40800.300000000003</v>
      </c>
      <c r="F34" s="136"/>
      <c r="G34" s="116">
        <f>SUM(G27:G33)</f>
        <v>873708.25335999997</v>
      </c>
      <c r="H34" s="4"/>
      <c r="I34" s="624" t="s">
        <v>71</v>
      </c>
      <c r="J34" s="625"/>
      <c r="K34" s="625"/>
      <c r="L34" s="626"/>
      <c r="M34" s="116">
        <f>SUM(M30:M33)</f>
        <v>0</v>
      </c>
      <c r="N34" s="6"/>
      <c r="O34" s="71">
        <f>SUM(O30:O33)</f>
        <v>0</v>
      </c>
    </row>
    <row r="35" spans="1:15" ht="15.95" customHeight="1" x14ac:dyDescent="0.3">
      <c r="E35" s="285"/>
      <c r="F35" s="284"/>
      <c r="G35" s="285"/>
      <c r="H35" s="4"/>
      <c r="M35" s="283">
        <f>+O30+O32+O33</f>
        <v>0</v>
      </c>
      <c r="N35" s="284"/>
      <c r="O35" s="285">
        <f>SUM(O27:O33)</f>
        <v>0</v>
      </c>
    </row>
    <row r="36" spans="1:15" ht="15.95" customHeight="1" thickBot="1" x14ac:dyDescent="0.35">
      <c r="H36" s="4"/>
      <c r="I36" s="442"/>
    </row>
    <row r="37" spans="1:15" ht="15.95" customHeight="1" x14ac:dyDescent="0.3">
      <c r="A37" s="551" t="s">
        <v>141</v>
      </c>
      <c r="B37" s="433" t="s">
        <v>58</v>
      </c>
      <c r="C37" s="552" t="s">
        <v>122</v>
      </c>
      <c r="D37" s="434" t="s">
        <v>88</v>
      </c>
      <c r="E37" s="553">
        <v>12908.522000000001</v>
      </c>
      <c r="F37" s="435">
        <v>21.59</v>
      </c>
      <c r="G37" s="550">
        <f>+E37*F37</f>
        <v>278694.98998000001</v>
      </c>
      <c r="H37" s="4"/>
      <c r="I37" s="549"/>
      <c r="J37" s="420"/>
      <c r="K37" s="420"/>
      <c r="L37" s="420"/>
      <c r="M37" s="420"/>
      <c r="N37" s="420"/>
      <c r="O37" s="421"/>
    </row>
    <row r="38" spans="1:15" ht="15.95" customHeight="1" x14ac:dyDescent="0.3">
      <c r="A38" s="199"/>
      <c r="B38" s="198"/>
      <c r="C38" s="198"/>
      <c r="D38" s="198"/>
      <c r="E38" s="198"/>
      <c r="F38" s="87">
        <v>22.09</v>
      </c>
      <c r="G38" s="401"/>
      <c r="H38" s="4"/>
      <c r="I38" s="459"/>
      <c r="J38" s="198"/>
      <c r="K38" s="198"/>
      <c r="L38" s="198"/>
      <c r="M38" s="198"/>
      <c r="N38" s="198"/>
      <c r="O38" s="401"/>
    </row>
    <row r="39" spans="1:15" ht="15.95" customHeight="1" x14ac:dyDescent="0.3">
      <c r="A39" s="556" t="s">
        <v>149</v>
      </c>
      <c r="B39" s="560" t="s">
        <v>58</v>
      </c>
      <c r="C39" s="554" t="s">
        <v>131</v>
      </c>
      <c r="D39" s="561" t="s">
        <v>24</v>
      </c>
      <c r="E39" s="562">
        <v>13923.075000000001</v>
      </c>
      <c r="F39" s="555">
        <v>19.14</v>
      </c>
      <c r="G39" s="563">
        <f>+E39*F39</f>
        <v>266487.65549999999</v>
      </c>
      <c r="H39" s="4"/>
      <c r="I39" s="49"/>
      <c r="J39" s="229"/>
      <c r="K39" s="273"/>
      <c r="L39" s="93"/>
      <c r="M39" s="94"/>
      <c r="N39" s="47"/>
      <c r="O39" s="95"/>
    </row>
    <row r="40" spans="1:15" ht="15.95" customHeight="1" x14ac:dyDescent="0.3">
      <c r="A40" s="49"/>
      <c r="B40" s="229"/>
      <c r="C40" s="229"/>
      <c r="D40" s="93" t="s">
        <v>56</v>
      </c>
      <c r="E40" s="94"/>
      <c r="F40" s="47">
        <v>19.64</v>
      </c>
      <c r="G40" s="95">
        <v>30160</v>
      </c>
      <c r="H40" s="4"/>
      <c r="I40" s="49"/>
      <c r="J40" s="229"/>
      <c r="K40" s="273"/>
      <c r="L40" s="93"/>
      <c r="M40" s="94"/>
      <c r="N40" s="47"/>
      <c r="O40" s="95"/>
    </row>
    <row r="41" spans="1:15" ht="15.95" customHeight="1" x14ac:dyDescent="0.3">
      <c r="A41" s="436" t="s">
        <v>152</v>
      </c>
      <c r="B41" s="437" t="s">
        <v>58</v>
      </c>
      <c r="C41" s="564" t="s">
        <v>132</v>
      </c>
      <c r="D41" s="561" t="s">
        <v>57</v>
      </c>
      <c r="E41" s="562">
        <v>14047.991</v>
      </c>
      <c r="F41" s="555">
        <v>19.14</v>
      </c>
      <c r="G41" s="563">
        <f>+E41*F41</f>
        <v>268878.54774000001</v>
      </c>
      <c r="H41" s="4"/>
      <c r="I41" s="49"/>
      <c r="J41" s="229"/>
      <c r="K41" s="273"/>
      <c r="L41" s="93"/>
      <c r="M41" s="94"/>
      <c r="N41" s="47"/>
      <c r="O41" s="95"/>
    </row>
    <row r="42" spans="1:15" ht="15.95" customHeight="1" thickBot="1" x14ac:dyDescent="0.35">
      <c r="A42" s="406"/>
      <c r="B42" s="391"/>
      <c r="C42" s="391"/>
      <c r="D42" s="200" t="s">
        <v>56</v>
      </c>
      <c r="E42" s="117"/>
      <c r="F42" s="118">
        <v>19.64</v>
      </c>
      <c r="G42" s="119">
        <v>32335</v>
      </c>
      <c r="H42" s="4"/>
      <c r="I42" s="49"/>
      <c r="J42" s="229"/>
      <c r="K42" s="273"/>
      <c r="L42" s="93"/>
      <c r="M42" s="94"/>
      <c r="N42" s="47"/>
      <c r="O42" s="95"/>
    </row>
    <row r="43" spans="1:15" ht="17.25" customHeight="1" thickBot="1" x14ac:dyDescent="0.35">
      <c r="A43" s="624" t="s">
        <v>63</v>
      </c>
      <c r="B43" s="625"/>
      <c r="C43" s="625"/>
      <c r="D43" s="626"/>
      <c r="E43" s="286">
        <f>SUM(E37:E42)</f>
        <v>40879.588000000003</v>
      </c>
      <c r="F43" s="34"/>
      <c r="G43" s="287">
        <f>SUM(G37:G42)</f>
        <v>876556.19322000002</v>
      </c>
      <c r="H43" s="4"/>
      <c r="I43" s="203"/>
      <c r="J43" s="262"/>
      <c r="K43" s="262"/>
      <c r="L43" s="200"/>
      <c r="M43" s="117"/>
      <c r="N43" s="118"/>
      <c r="O43" s="119"/>
    </row>
    <row r="44" spans="1:15" ht="15.95" customHeight="1" thickBot="1" x14ac:dyDescent="0.35">
      <c r="E44" s="285"/>
      <c r="F44" s="285"/>
      <c r="G44" s="285"/>
      <c r="H44" s="4"/>
      <c r="I44" s="624" t="s">
        <v>72</v>
      </c>
      <c r="J44" s="625"/>
      <c r="K44" s="625"/>
      <c r="L44" s="626"/>
      <c r="M44" s="70">
        <f>SUM(M39:M43)</f>
        <v>0</v>
      </c>
      <c r="N44" s="34"/>
      <c r="O44" s="71">
        <f>SUM(O39:O43)</f>
        <v>0</v>
      </c>
    </row>
    <row r="45" spans="1:15" ht="15.95" customHeight="1" thickBot="1" x14ac:dyDescent="0.35">
      <c r="E45" s="285"/>
      <c r="F45" s="285"/>
      <c r="G45" s="285"/>
      <c r="H45" s="4"/>
      <c r="I45" s="565"/>
      <c r="J45" s="565"/>
      <c r="K45" s="565"/>
      <c r="L45" s="565"/>
      <c r="M45" s="124"/>
      <c r="N45" s="34"/>
      <c r="O45" s="22"/>
    </row>
    <row r="46" spans="1:15" ht="15.95" customHeight="1" x14ac:dyDescent="0.3">
      <c r="A46" s="551" t="s">
        <v>155</v>
      </c>
      <c r="B46" s="433" t="s">
        <v>58</v>
      </c>
      <c r="C46" s="552" t="s">
        <v>133</v>
      </c>
      <c r="D46" s="434" t="s">
        <v>88</v>
      </c>
      <c r="E46" s="553">
        <v>13473.002</v>
      </c>
      <c r="F46" s="435">
        <v>22.32</v>
      </c>
      <c r="G46" s="550">
        <f>+E46*F46</f>
        <v>300717.40464000002</v>
      </c>
      <c r="H46" s="4"/>
      <c r="I46" s="419"/>
      <c r="J46" s="420"/>
      <c r="K46" s="420"/>
      <c r="L46" s="420"/>
      <c r="M46" s="422"/>
      <c r="N46" s="423"/>
      <c r="O46" s="424"/>
    </row>
    <row r="47" spans="1:15" ht="15.95" customHeight="1" x14ac:dyDescent="0.3">
      <c r="A47" s="49"/>
      <c r="B47" s="229"/>
      <c r="C47" s="273"/>
      <c r="D47" s="449"/>
      <c r="E47" s="450"/>
      <c r="F47" s="47">
        <v>22.82</v>
      </c>
      <c r="G47" s="452"/>
      <c r="H47" s="4"/>
      <c r="I47" s="49"/>
      <c r="J47" s="229"/>
      <c r="K47" s="273"/>
      <c r="L47" s="93"/>
      <c r="M47" s="94"/>
      <c r="N47" s="47"/>
      <c r="O47" s="95"/>
    </row>
    <row r="48" spans="1:15" ht="15.95" customHeight="1" x14ac:dyDescent="0.3">
      <c r="A48" s="556" t="s">
        <v>164</v>
      </c>
      <c r="B48" s="560" t="s">
        <v>58</v>
      </c>
      <c r="C48" s="554" t="s">
        <v>146</v>
      </c>
      <c r="D48" s="561" t="s">
        <v>24</v>
      </c>
      <c r="E48" s="562">
        <v>14273.620999999999</v>
      </c>
      <c r="F48" s="555">
        <v>20.170000000000002</v>
      </c>
      <c r="G48" s="563">
        <f>+E48*F48</f>
        <v>287898.93557000003</v>
      </c>
      <c r="H48" s="4"/>
      <c r="I48" s="49"/>
      <c r="J48" s="229"/>
      <c r="K48" s="273"/>
      <c r="L48" s="93"/>
      <c r="M48" s="94"/>
      <c r="N48" s="47"/>
      <c r="O48" s="95"/>
    </row>
    <row r="49" spans="1:17" ht="15.95" customHeight="1" thickBot="1" x14ac:dyDescent="0.35">
      <c r="A49" s="406"/>
      <c r="B49" s="391"/>
      <c r="C49" s="391"/>
      <c r="D49" s="200" t="s">
        <v>56</v>
      </c>
      <c r="E49" s="117"/>
      <c r="F49" s="118"/>
      <c r="G49" s="119">
        <v>26231.54</v>
      </c>
      <c r="H49" s="4"/>
      <c r="I49" s="89"/>
      <c r="J49" s="229"/>
      <c r="K49" s="273"/>
      <c r="L49" s="93"/>
      <c r="M49" s="94"/>
      <c r="N49" s="47"/>
      <c r="O49" s="95"/>
    </row>
    <row r="50" spans="1:17" ht="15.95" customHeight="1" thickBot="1" x14ac:dyDescent="0.35">
      <c r="A50" s="624" t="s">
        <v>64</v>
      </c>
      <c r="B50" s="682"/>
      <c r="C50" s="682"/>
      <c r="D50" s="683"/>
      <c r="E50" s="70">
        <f>SUM(E46:E49)</f>
        <v>27746.623</v>
      </c>
      <c r="F50" s="90"/>
      <c r="G50" s="287">
        <f>SUM(G46:G49)</f>
        <v>614847.88021000009</v>
      </c>
      <c r="H50" s="4"/>
      <c r="I50" s="624" t="s">
        <v>73</v>
      </c>
      <c r="J50" s="625"/>
      <c r="K50" s="625"/>
      <c r="L50" s="626"/>
      <c r="M50" s="70">
        <f>SUM(M46:M49)</f>
        <v>0</v>
      </c>
      <c r="N50" s="400"/>
      <c r="O50" s="71">
        <f>SUM(O46:O49)</f>
        <v>0</v>
      </c>
      <c r="Q50" s="20"/>
    </row>
    <row r="51" spans="1:17" ht="15.95" customHeight="1" x14ac:dyDescent="0.3">
      <c r="E51" s="285"/>
      <c r="F51" s="284"/>
      <c r="G51" s="285"/>
      <c r="H51" s="4"/>
      <c r="M51" s="285"/>
      <c r="N51" s="285"/>
      <c r="O51" s="285"/>
      <c r="Q51" s="20"/>
    </row>
    <row r="52" spans="1:17" ht="15.95" customHeight="1" thickBot="1" x14ac:dyDescent="0.35">
      <c r="E52" s="275"/>
      <c r="F52" s="276"/>
      <c r="G52" s="275"/>
      <c r="H52" s="4"/>
      <c r="Q52" s="20"/>
    </row>
    <row r="53" spans="1:17" ht="15.95" customHeight="1" x14ac:dyDescent="0.3">
      <c r="A53" s="551" t="s">
        <v>172</v>
      </c>
      <c r="B53" s="433" t="s">
        <v>58</v>
      </c>
      <c r="C53" s="552" t="s">
        <v>147</v>
      </c>
      <c r="D53" s="434" t="s">
        <v>57</v>
      </c>
      <c r="E53" s="553">
        <v>14421.344999999999</v>
      </c>
      <c r="F53" s="435">
        <v>20.170000000000002</v>
      </c>
      <c r="G53" s="550">
        <f>+E53*F53</f>
        <v>290878.52864999999</v>
      </c>
      <c r="H53" s="4"/>
      <c r="I53" s="419"/>
      <c r="J53" s="420"/>
      <c r="K53" s="420"/>
      <c r="L53" s="420"/>
      <c r="M53" s="420"/>
      <c r="N53" s="420"/>
      <c r="O53" s="421"/>
      <c r="Q53" s="20"/>
    </row>
    <row r="54" spans="1:17" ht="15.95" customHeight="1" thickBot="1" x14ac:dyDescent="0.35">
      <c r="A54" s="612"/>
      <c r="B54" s="569"/>
      <c r="C54" s="569"/>
      <c r="D54" s="613" t="s">
        <v>56</v>
      </c>
      <c r="E54" s="527"/>
      <c r="F54" s="528"/>
      <c r="G54" s="614">
        <v>20000</v>
      </c>
      <c r="H54" s="4"/>
      <c r="I54" s="199"/>
      <c r="J54" s="198"/>
      <c r="K54" s="198"/>
      <c r="L54" s="198"/>
      <c r="M54" s="198"/>
      <c r="N54" s="198"/>
      <c r="O54" s="401"/>
      <c r="Q54" s="20"/>
    </row>
    <row r="55" spans="1:17" ht="17.25" customHeight="1" thickBot="1" x14ac:dyDescent="0.35">
      <c r="A55" s="617" t="s">
        <v>183</v>
      </c>
      <c r="B55" s="618" t="s">
        <v>58</v>
      </c>
      <c r="C55" s="619" t="s">
        <v>148</v>
      </c>
      <c r="D55" s="620" t="s">
        <v>24</v>
      </c>
      <c r="E55" s="621">
        <v>14365.021000000001</v>
      </c>
      <c r="F55" s="732">
        <v>20.336755499999999</v>
      </c>
      <c r="G55" s="622">
        <f>+E55*F55</f>
        <v>292137.91982936551</v>
      </c>
      <c r="H55" s="733"/>
      <c r="I55" s="199"/>
      <c r="J55" s="198"/>
      <c r="K55" s="198"/>
      <c r="L55" s="198"/>
      <c r="M55" s="198"/>
      <c r="N55" s="198"/>
      <c r="O55" s="401"/>
      <c r="Q55" s="20"/>
    </row>
    <row r="56" spans="1:17" ht="15.95" customHeight="1" x14ac:dyDescent="0.3">
      <c r="A56" s="86"/>
      <c r="B56" s="234"/>
      <c r="C56" s="234"/>
      <c r="D56" s="474" t="s">
        <v>56</v>
      </c>
      <c r="E56" s="615"/>
      <c r="F56" s="616"/>
      <c r="G56" s="475">
        <v>20000</v>
      </c>
      <c r="H56" s="4"/>
      <c r="I56" s="199"/>
      <c r="J56" s="198"/>
      <c r="K56" s="198"/>
      <c r="L56" s="198"/>
      <c r="M56" s="198"/>
      <c r="N56" s="198"/>
      <c r="O56" s="401"/>
      <c r="Q56" s="20"/>
    </row>
    <row r="57" spans="1:17" ht="15.95" customHeight="1" x14ac:dyDescent="0.3">
      <c r="A57" s="88" t="s">
        <v>157</v>
      </c>
      <c r="B57" s="234" t="s">
        <v>58</v>
      </c>
      <c r="C57" s="267" t="s">
        <v>161</v>
      </c>
      <c r="D57" s="107" t="s">
        <v>24</v>
      </c>
      <c r="E57" s="109">
        <v>14500</v>
      </c>
      <c r="F57" s="87">
        <v>20.67</v>
      </c>
      <c r="G57" s="110">
        <f>+E57*F57</f>
        <v>299715</v>
      </c>
      <c r="H57" s="4"/>
      <c r="I57" s="89"/>
      <c r="J57" s="229"/>
      <c r="K57" s="273"/>
      <c r="L57" s="93"/>
      <c r="M57" s="94"/>
      <c r="N57" s="47"/>
      <c r="O57" s="95"/>
      <c r="Q57" s="20"/>
    </row>
    <row r="58" spans="1:17" ht="15.95" customHeight="1" x14ac:dyDescent="0.3">
      <c r="A58" s="49"/>
      <c r="B58" s="229"/>
      <c r="C58" s="229"/>
      <c r="D58" s="449" t="s">
        <v>56</v>
      </c>
      <c r="E58" s="590"/>
      <c r="F58" s="591"/>
      <c r="G58" s="452">
        <v>20000</v>
      </c>
      <c r="H58" s="4"/>
      <c r="I58" s="199"/>
      <c r="J58" s="198"/>
      <c r="K58" s="198"/>
      <c r="L58" s="449"/>
      <c r="M58" s="450"/>
      <c r="N58" s="451"/>
      <c r="O58" s="452"/>
      <c r="Q58" s="20"/>
    </row>
    <row r="59" spans="1:17" ht="15.95" customHeight="1" x14ac:dyDescent="0.3">
      <c r="A59" s="88" t="s">
        <v>157</v>
      </c>
      <c r="B59" s="234" t="s">
        <v>58</v>
      </c>
      <c r="C59" s="267" t="s">
        <v>162</v>
      </c>
      <c r="D59" s="107" t="s">
        <v>24</v>
      </c>
      <c r="E59" s="109">
        <v>14000</v>
      </c>
      <c r="F59" s="87">
        <v>20.67</v>
      </c>
      <c r="G59" s="110">
        <f>+E59*F59</f>
        <v>289380</v>
      </c>
      <c r="H59" s="4"/>
      <c r="I59" s="199"/>
      <c r="J59" s="198"/>
      <c r="K59" s="198"/>
      <c r="L59" s="449"/>
      <c r="M59" s="450"/>
      <c r="N59" s="451"/>
      <c r="O59" s="452"/>
      <c r="Q59" s="20"/>
    </row>
    <row r="60" spans="1:17" ht="15.95" customHeight="1" thickBot="1" x14ac:dyDescent="0.35">
      <c r="A60" s="406"/>
      <c r="B60" s="391"/>
      <c r="C60" s="391"/>
      <c r="D60" s="463" t="s">
        <v>56</v>
      </c>
      <c r="E60" s="609"/>
      <c r="F60" s="610"/>
      <c r="G60" s="462">
        <v>20000</v>
      </c>
      <c r="H60" s="4"/>
      <c r="I60" s="392"/>
      <c r="J60" s="391"/>
      <c r="K60" s="393"/>
      <c r="L60" s="200"/>
      <c r="M60" s="117"/>
      <c r="N60" s="118"/>
      <c r="O60" s="119"/>
    </row>
    <row r="61" spans="1:17" ht="15.95" customHeight="1" thickBot="1" x14ac:dyDescent="0.35">
      <c r="A61" s="624" t="s">
        <v>65</v>
      </c>
      <c r="B61" s="625"/>
      <c r="C61" s="625"/>
      <c r="D61" s="626"/>
      <c r="E61" s="70">
        <f>SUM(E53:E60)</f>
        <v>57286.366000000002</v>
      </c>
      <c r="F61" s="34"/>
      <c r="G61" s="71">
        <f>SUM(G53:G60)</f>
        <v>1252111.4484793656</v>
      </c>
      <c r="H61" s="4"/>
      <c r="I61" s="624" t="s">
        <v>76</v>
      </c>
      <c r="J61" s="625"/>
      <c r="K61" s="625"/>
      <c r="L61" s="626"/>
      <c r="M61" s="286">
        <f>SUM(M57:M60)</f>
        <v>0</v>
      </c>
      <c r="N61" s="6"/>
      <c r="O61" s="71">
        <f>SUM(O57:O60)</f>
        <v>0</v>
      </c>
      <c r="P61" s="108"/>
    </row>
    <row r="62" spans="1:17" ht="15.95" customHeight="1" x14ac:dyDescent="0.3">
      <c r="E62" s="285"/>
      <c r="F62" s="285"/>
      <c r="G62" s="285"/>
      <c r="H62" s="4"/>
      <c r="I62" s="300"/>
      <c r="J62" s="301"/>
      <c r="K62" s="301"/>
      <c r="L62" s="306"/>
      <c r="M62" s="142">
        <f>+O57+O60</f>
        <v>0</v>
      </c>
      <c r="N62" s="197">
        <f>+O59</f>
        <v>0</v>
      </c>
      <c r="O62" s="143"/>
      <c r="P62" s="108"/>
    </row>
    <row r="63" spans="1:17" ht="15.95" customHeight="1" thickBot="1" x14ac:dyDescent="0.35">
      <c r="H63" s="4"/>
      <c r="N63" s="20"/>
      <c r="P63" s="83"/>
    </row>
    <row r="64" spans="1:17" ht="18.75" customHeight="1" thickBot="1" x14ac:dyDescent="0.3">
      <c r="A64" s="627" t="s">
        <v>66</v>
      </c>
      <c r="B64" s="628"/>
      <c r="C64" s="628"/>
      <c r="D64" s="629"/>
      <c r="E64" s="72">
        <f>+E13+E24+E34+E43+E50+E61</f>
        <v>249668.19700000001</v>
      </c>
      <c r="F64" s="1"/>
      <c r="G64" s="73">
        <f>+G13+G24+G34+G43+G50+G61</f>
        <v>5388694.3143893657</v>
      </c>
      <c r="I64" s="627" t="s">
        <v>74</v>
      </c>
      <c r="J64" s="628"/>
      <c r="K64" s="628"/>
      <c r="L64" s="629"/>
      <c r="M64" s="72">
        <f>+M13+M24+M34+M44+M50+M61</f>
        <v>36500</v>
      </c>
      <c r="N64" s="68"/>
      <c r="O64" s="73">
        <f>+O13+O24+O34+O44+O50+O61</f>
        <v>853255</v>
      </c>
      <c r="P64" s="20"/>
    </row>
    <row r="65" spans="1:17" ht="17.25" customHeight="1" thickBot="1" x14ac:dyDescent="0.3">
      <c r="A65" s="35"/>
      <c r="B65" s="35"/>
      <c r="C65" s="35"/>
      <c r="D65" s="35"/>
      <c r="E65" s="36"/>
      <c r="F65" s="37"/>
      <c r="G65" s="36"/>
      <c r="H65" s="14"/>
      <c r="I65" s="35"/>
      <c r="J65" s="35"/>
      <c r="K65" s="35"/>
      <c r="L65" s="35"/>
      <c r="M65" s="33"/>
      <c r="N65" s="1"/>
      <c r="O65" s="34"/>
    </row>
    <row r="66" spans="1:17" ht="8.25" hidden="1" customHeight="1" x14ac:dyDescent="0.25">
      <c r="A66" s="15"/>
      <c r="B66" s="15"/>
      <c r="C66" s="15"/>
      <c r="D66" s="15"/>
      <c r="E66" s="21"/>
      <c r="G66" s="12"/>
    </row>
    <row r="67" spans="1:17" ht="15.95" customHeight="1" x14ac:dyDescent="0.3">
      <c r="C67" s="680" t="s">
        <v>3</v>
      </c>
      <c r="D67" s="660" t="s">
        <v>37</v>
      </c>
      <c r="E67" s="659"/>
      <c r="G67" s="12"/>
      <c r="I67" s="228" t="s">
        <v>45</v>
      </c>
      <c r="J67" s="55" t="s">
        <v>22</v>
      </c>
      <c r="K67" s="233">
        <v>99124.6</v>
      </c>
      <c r="L67" s="396"/>
      <c r="M67" s="216"/>
      <c r="N67" s="52"/>
      <c r="O67" s="12"/>
      <c r="P67" s="12"/>
    </row>
    <row r="68" spans="1:17" ht="15.95" customHeight="1" thickBot="1" x14ac:dyDescent="0.35">
      <c r="C68" s="681"/>
      <c r="D68" s="661"/>
      <c r="E68" s="659"/>
      <c r="F68" s="12"/>
      <c r="G68" s="91"/>
      <c r="I68" s="31"/>
      <c r="J68" s="56" t="s">
        <v>23</v>
      </c>
      <c r="K68" s="464">
        <v>75108.03</v>
      </c>
      <c r="L68" s="274"/>
      <c r="M68" s="217"/>
      <c r="N68" s="25"/>
      <c r="O68" s="82"/>
    </row>
    <row r="69" spans="1:17" ht="15.95" customHeight="1" x14ac:dyDescent="0.25">
      <c r="A69" s="65" t="s">
        <v>8</v>
      </c>
      <c r="B69" s="445"/>
      <c r="C69" s="104">
        <f>+E13</f>
        <v>41879.201000000001</v>
      </c>
      <c r="D69" s="99">
        <f>+G13</f>
        <v>894948.79737999989</v>
      </c>
      <c r="E69" s="80"/>
      <c r="G69" s="41"/>
      <c r="I69" s="31"/>
      <c r="J69" s="56" t="s">
        <v>25</v>
      </c>
      <c r="K69" s="464">
        <f>57001.67+256823.97</f>
        <v>313825.64</v>
      </c>
      <c r="L69" s="558" t="s">
        <v>140</v>
      </c>
      <c r="M69" s="611"/>
      <c r="N69" s="24"/>
      <c r="O69" s="44"/>
      <c r="Q69" s="28"/>
    </row>
    <row r="70" spans="1:17" ht="15.95" customHeight="1" x14ac:dyDescent="0.25">
      <c r="A70" s="66" t="s">
        <v>9</v>
      </c>
      <c r="B70" s="446"/>
      <c r="C70" s="105">
        <f>+E24</f>
        <v>41076.118999999999</v>
      </c>
      <c r="D70" s="100">
        <f>+G24</f>
        <v>876521.74173999997</v>
      </c>
      <c r="E70" s="80"/>
      <c r="G70" s="12"/>
      <c r="I70" s="31"/>
      <c r="J70" s="56" t="s">
        <v>26</v>
      </c>
      <c r="K70" s="465">
        <v>210274.16</v>
      </c>
      <c r="L70" s="24"/>
      <c r="M70" s="404"/>
      <c r="N70" s="46"/>
      <c r="O70" s="38"/>
      <c r="Q70" s="26"/>
    </row>
    <row r="71" spans="1:17" ht="15.95" customHeight="1" x14ac:dyDescent="0.3">
      <c r="A71" s="66" t="s">
        <v>10</v>
      </c>
      <c r="B71" s="446"/>
      <c r="C71" s="105">
        <f>+E34</f>
        <v>40800.300000000003</v>
      </c>
      <c r="D71" s="100">
        <f>+G34</f>
        <v>873708.25335999997</v>
      </c>
      <c r="E71" s="80"/>
      <c r="F71" s="74"/>
      <c r="G71" s="20"/>
      <c r="I71" s="31"/>
      <c r="J71" s="56" t="s">
        <v>27</v>
      </c>
      <c r="K71" s="465">
        <v>313473.75</v>
      </c>
      <c r="L71" s="395"/>
      <c r="M71" s="216"/>
      <c r="N71" s="25"/>
      <c r="O71" s="43"/>
      <c r="Q71" s="26"/>
    </row>
    <row r="72" spans="1:17" ht="15.95" customHeight="1" x14ac:dyDescent="0.3">
      <c r="A72" s="66" t="s">
        <v>11</v>
      </c>
      <c r="B72" s="446"/>
      <c r="C72" s="105">
        <f>+E43</f>
        <v>40879.588000000003</v>
      </c>
      <c r="D72" s="101">
        <f>+G43</f>
        <v>876556.19322000002</v>
      </c>
      <c r="E72" s="81"/>
      <c r="F72" s="14"/>
      <c r="G72" s="20"/>
      <c r="I72" s="54"/>
      <c r="J72" s="56" t="s">
        <v>28</v>
      </c>
      <c r="K72" s="465"/>
      <c r="L72" s="24"/>
      <c r="M72" s="216"/>
      <c r="N72" s="25"/>
      <c r="O72" s="43"/>
      <c r="Q72" s="26"/>
    </row>
    <row r="73" spans="1:17" ht="15.95" customHeight="1" x14ac:dyDescent="0.3">
      <c r="A73" s="66" t="s">
        <v>12</v>
      </c>
      <c r="B73" s="446"/>
      <c r="C73" s="105">
        <f>+E50</f>
        <v>27746.623</v>
      </c>
      <c r="D73" s="101">
        <f>+G50</f>
        <v>614847.88021000009</v>
      </c>
      <c r="E73" s="81"/>
      <c r="F73" s="14"/>
      <c r="G73" s="12"/>
      <c r="I73" s="54"/>
      <c r="J73" s="56" t="s">
        <v>29</v>
      </c>
      <c r="K73" s="465"/>
      <c r="L73" s="24"/>
      <c r="M73" s="217"/>
      <c r="N73" s="25"/>
      <c r="O73" s="43"/>
      <c r="Q73" s="26"/>
    </row>
    <row r="74" spans="1:17" ht="15.95" customHeight="1" x14ac:dyDescent="0.3">
      <c r="A74" s="66" t="s">
        <v>14</v>
      </c>
      <c r="B74" s="447"/>
      <c r="C74" s="105">
        <f>+E61</f>
        <v>57286.366000000002</v>
      </c>
      <c r="D74" s="102">
        <f>+G61</f>
        <v>1252111.4484793656</v>
      </c>
      <c r="E74" s="81"/>
      <c r="F74" s="74"/>
      <c r="G74" s="12"/>
      <c r="I74" s="54"/>
      <c r="J74" s="56" t="s">
        <v>30</v>
      </c>
      <c r="K74" s="465"/>
      <c r="L74" s="468"/>
      <c r="M74" s="216"/>
      <c r="N74" s="25"/>
      <c r="O74" s="74"/>
      <c r="Q74" s="26"/>
    </row>
    <row r="75" spans="1:17" ht="15.95" customHeight="1" x14ac:dyDescent="0.3">
      <c r="A75" s="66" t="s">
        <v>15</v>
      </c>
      <c r="B75" s="446"/>
      <c r="C75" s="402">
        <f>+M13</f>
        <v>36500</v>
      </c>
      <c r="D75" s="403">
        <f>+O13</f>
        <v>853255</v>
      </c>
      <c r="E75" s="81"/>
      <c r="F75" s="14"/>
      <c r="G75" s="20"/>
      <c r="I75" s="54"/>
      <c r="J75" s="56" t="s">
        <v>31</v>
      </c>
      <c r="K75" s="466"/>
      <c r="L75" s="24"/>
      <c r="M75" s="216"/>
      <c r="N75" s="25"/>
      <c r="O75" s="14"/>
      <c r="Q75" s="26"/>
    </row>
    <row r="76" spans="1:17" ht="15.95" customHeight="1" x14ac:dyDescent="0.3">
      <c r="A76" s="66" t="s">
        <v>16</v>
      </c>
      <c r="B76" s="446"/>
      <c r="C76" s="105">
        <f>+M24</f>
        <v>0</v>
      </c>
      <c r="D76" s="101">
        <f>+O24</f>
        <v>0</v>
      </c>
      <c r="E76" s="81"/>
      <c r="F76" s="14"/>
      <c r="G76" s="12"/>
      <c r="I76" s="54"/>
      <c r="J76" s="56" t="s">
        <v>32</v>
      </c>
      <c r="K76" s="466"/>
      <c r="L76" s="24"/>
      <c r="M76" s="216"/>
      <c r="N76" s="25"/>
      <c r="O76" s="43"/>
      <c r="Q76" s="26"/>
    </row>
    <row r="77" spans="1:17" ht="15.95" customHeight="1" x14ac:dyDescent="0.25">
      <c r="A77" s="66" t="s">
        <v>46</v>
      </c>
      <c r="B77" s="447"/>
      <c r="C77" s="105">
        <f>+M34</f>
        <v>0</v>
      </c>
      <c r="D77" s="101">
        <f>+O34</f>
        <v>0</v>
      </c>
      <c r="E77" s="81"/>
      <c r="F77" s="14"/>
      <c r="G77" s="12"/>
      <c r="I77" s="63"/>
      <c r="J77" s="56" t="s">
        <v>33</v>
      </c>
      <c r="K77" s="465"/>
      <c r="L77" s="346"/>
      <c r="M77" s="216"/>
      <c r="N77" s="623"/>
      <c r="O77" s="623"/>
      <c r="Q77" s="26"/>
    </row>
    <row r="78" spans="1:17" ht="15.95" customHeight="1" thickBot="1" x14ac:dyDescent="0.3">
      <c r="A78" s="66" t="s">
        <v>18</v>
      </c>
      <c r="B78" s="446"/>
      <c r="C78" s="402">
        <f>+M44</f>
        <v>0</v>
      </c>
      <c r="D78" s="403">
        <f>+O44</f>
        <v>0</v>
      </c>
      <c r="E78" s="81"/>
      <c r="F78" s="74"/>
      <c r="G78" s="41"/>
      <c r="I78" s="63"/>
      <c r="J78" s="62" t="s">
        <v>34</v>
      </c>
      <c r="K78" s="467"/>
      <c r="L78" s="346"/>
      <c r="M78" s="219"/>
      <c r="N78" s="623"/>
      <c r="O78" s="623"/>
      <c r="Q78" s="26"/>
    </row>
    <row r="79" spans="1:17" ht="15.95" customHeight="1" thickBot="1" x14ac:dyDescent="0.35">
      <c r="A79" s="66" t="s">
        <v>19</v>
      </c>
      <c r="B79" s="446"/>
      <c r="C79" s="105">
        <f>+M50</f>
        <v>0</v>
      </c>
      <c r="D79" s="101">
        <f>+O50</f>
        <v>0</v>
      </c>
      <c r="E79" s="81"/>
      <c r="F79" s="43"/>
      <c r="G79" s="12"/>
      <c r="I79" s="675" t="s">
        <v>77</v>
      </c>
      <c r="J79" s="676"/>
      <c r="K79" s="324">
        <f>SUM(K67:K78)</f>
        <v>1011806.18</v>
      </c>
      <c r="L79" s="24"/>
      <c r="M79" s="220"/>
      <c r="N79" s="25"/>
      <c r="O79" s="40"/>
      <c r="Q79" s="28"/>
    </row>
    <row r="80" spans="1:17" ht="15.95" customHeight="1" thickBot="1" x14ac:dyDescent="0.3">
      <c r="A80" s="67" t="s">
        <v>20</v>
      </c>
      <c r="B80" s="448"/>
      <c r="C80" s="106">
        <f>+M61</f>
        <v>0</v>
      </c>
      <c r="D80" s="103">
        <f>+O61</f>
        <v>0</v>
      </c>
      <c r="E80" s="81"/>
      <c r="F80" s="40"/>
      <c r="G80" s="20"/>
      <c r="I80" s="79"/>
      <c r="J80" s="323"/>
      <c r="K80" s="24"/>
      <c r="L80" s="322"/>
      <c r="M80" s="75"/>
      <c r="N80" s="27"/>
      <c r="O80" s="40"/>
      <c r="Q80" s="28"/>
    </row>
    <row r="81" spans="1:17" ht="16.5" customHeight="1" x14ac:dyDescent="0.25">
      <c r="C81" s="12"/>
      <c r="D81" s="12"/>
      <c r="E81" s="14"/>
      <c r="F81" s="24"/>
      <c r="G81" s="20"/>
      <c r="L81" s="24"/>
      <c r="M81" s="76"/>
      <c r="N81" s="14"/>
      <c r="O81" s="43"/>
      <c r="Q81" s="29"/>
    </row>
    <row r="82" spans="1:17" ht="11.25" customHeight="1" thickBot="1" x14ac:dyDescent="0.3">
      <c r="D82" s="12"/>
      <c r="E82" s="14"/>
      <c r="F82" s="24"/>
      <c r="G82" s="20"/>
      <c r="I82" s="78"/>
      <c r="J82" s="78"/>
      <c r="K82" s="78"/>
      <c r="L82" s="24"/>
      <c r="M82" s="76"/>
      <c r="N82" s="14"/>
      <c r="O82" s="43"/>
      <c r="Q82" s="29"/>
    </row>
    <row r="83" spans="1:17" ht="18.75" customHeight="1" thickBot="1" x14ac:dyDescent="0.3">
      <c r="A83" s="478" t="s">
        <v>67</v>
      </c>
      <c r="B83" s="470"/>
      <c r="C83" s="72">
        <f>SUM(C69:C80)</f>
        <v>286168.19700000004</v>
      </c>
      <c r="D83" s="471">
        <f>SUM(D69:D80)</f>
        <v>6241949.3143893657</v>
      </c>
      <c r="E83" s="225"/>
      <c r="F83" s="74"/>
      <c r="G83" s="20"/>
      <c r="I83" s="677" t="s">
        <v>78</v>
      </c>
      <c r="J83" s="678"/>
      <c r="K83" s="679"/>
      <c r="L83" s="202">
        <f>+D83+K79</f>
        <v>7253755.4943893654</v>
      </c>
      <c r="M83" s="204"/>
      <c r="N83" s="14"/>
      <c r="O83" s="14"/>
    </row>
    <row r="84" spans="1:17" ht="15" customHeight="1" x14ac:dyDescent="0.25">
      <c r="K84" s="26"/>
    </row>
    <row r="85" spans="1:17" ht="15" customHeight="1" x14ac:dyDescent="0.25">
      <c r="K85" s="28"/>
    </row>
    <row r="86" spans="1:17" ht="15" customHeight="1" x14ac:dyDescent="0.25">
      <c r="K86" s="28"/>
    </row>
    <row r="87" spans="1:17" ht="15" customHeight="1" x14ac:dyDescent="0.25">
      <c r="K87" s="29"/>
    </row>
  </sheetData>
  <mergeCells count="36">
    <mergeCell ref="A1:O2"/>
    <mergeCell ref="A4:G4"/>
    <mergeCell ref="I4:O4"/>
    <mergeCell ref="A5:A6"/>
    <mergeCell ref="B5:B6"/>
    <mergeCell ref="C5:C6"/>
    <mergeCell ref="E5:E6"/>
    <mergeCell ref="F5:F6"/>
    <mergeCell ref="G5:G6"/>
    <mergeCell ref="I5:I6"/>
    <mergeCell ref="J5:J6"/>
    <mergeCell ref="K5:K6"/>
    <mergeCell ref="M5:M6"/>
    <mergeCell ref="N5:N6"/>
    <mergeCell ref="O5:O6"/>
    <mergeCell ref="A13:D13"/>
    <mergeCell ref="I13:L13"/>
    <mergeCell ref="A24:D24"/>
    <mergeCell ref="I24:L24"/>
    <mergeCell ref="A34:D34"/>
    <mergeCell ref="I34:L34"/>
    <mergeCell ref="A43:D43"/>
    <mergeCell ref="N78:O78"/>
    <mergeCell ref="I79:J79"/>
    <mergeCell ref="I83:K83"/>
    <mergeCell ref="A64:D64"/>
    <mergeCell ref="I64:L64"/>
    <mergeCell ref="C67:C68"/>
    <mergeCell ref="D67:D68"/>
    <mergeCell ref="E67:E68"/>
    <mergeCell ref="N77:O77"/>
    <mergeCell ref="I44:L44"/>
    <mergeCell ref="I50:L50"/>
    <mergeCell ref="A61:D61"/>
    <mergeCell ref="I61:L61"/>
    <mergeCell ref="A50:D50"/>
  </mergeCells>
  <pageMargins left="0.51181102362204722" right="0.51181102362204722" top="0.74803149606299213" bottom="0.74803149606299213" header="0.31496062992125984" footer="0.31496062992125984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861E-3107-4C43-9BF2-FB50BA356E4C}">
  <sheetPr>
    <tabColor rgb="FFFF0000"/>
    <pageSetUpPr fitToPage="1"/>
  </sheetPr>
  <dimension ref="A1:U57"/>
  <sheetViews>
    <sheetView showGridLines="0" topLeftCell="A28" workbookViewId="0">
      <selection activeCell="D56" sqref="D56"/>
    </sheetView>
  </sheetViews>
  <sheetFormatPr baseColWidth="10" defaultRowHeight="15" x14ac:dyDescent="0.25"/>
  <cols>
    <col min="1" max="1" width="12" customWidth="1"/>
    <col min="2" max="2" width="30.28515625" customWidth="1"/>
    <col min="3" max="3" width="26.85546875" customWidth="1"/>
    <col min="4" max="4" width="15.42578125" customWidth="1"/>
    <col min="5" max="5" width="13.7109375" customWidth="1"/>
    <col min="6" max="6" width="15.28515625" customWidth="1"/>
    <col min="7" max="7" width="4" customWidth="1"/>
    <col min="8" max="8" width="12.28515625" customWidth="1"/>
    <col min="9" max="9" width="24.42578125" customWidth="1"/>
    <col min="10" max="10" width="27.42578125" customWidth="1"/>
    <col min="11" max="11" width="15.7109375" customWidth="1"/>
    <col min="12" max="12" width="9.7109375" customWidth="1"/>
    <col min="13" max="13" width="14.42578125" customWidth="1"/>
    <col min="14" max="14" width="25.85546875" customWidth="1"/>
    <col min="15" max="15" width="30.140625" customWidth="1"/>
    <col min="16" max="16" width="21.140625" customWidth="1"/>
    <col min="17" max="17" width="14.5703125" customWidth="1"/>
    <col min="18" max="18" width="16.5703125" customWidth="1"/>
    <col min="19" max="19" width="57.85546875" customWidth="1"/>
  </cols>
  <sheetData>
    <row r="1" spans="1:20" ht="17.100000000000001" customHeight="1" x14ac:dyDescent="0.25">
      <c r="A1" s="684" t="s">
        <v>187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6"/>
    </row>
    <row r="2" spans="1:20" ht="6" customHeight="1" thickBot="1" x14ac:dyDescent="0.3">
      <c r="A2" s="687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9"/>
    </row>
    <row r="3" spans="1:20" ht="17.100000000000001" customHeight="1" thickBot="1" x14ac:dyDescent="0.35">
      <c r="A3" s="120"/>
      <c r="B3" s="120"/>
      <c r="C3" s="120"/>
      <c r="D3" s="120"/>
      <c r="E3" s="120"/>
      <c r="F3" s="120"/>
      <c r="G3" s="121"/>
      <c r="H3" s="2"/>
      <c r="I3" s="2"/>
      <c r="J3" s="2"/>
      <c r="K3" s="2"/>
      <c r="L3" s="2"/>
      <c r="M3" s="2"/>
    </row>
    <row r="4" spans="1:20" ht="17.100000000000001" customHeight="1" thickBot="1" x14ac:dyDescent="0.3">
      <c r="A4" s="690" t="s">
        <v>59</v>
      </c>
      <c r="B4" s="691"/>
      <c r="C4" s="691"/>
      <c r="D4" s="691"/>
      <c r="E4" s="691"/>
      <c r="F4" s="692"/>
      <c r="G4" s="18"/>
      <c r="H4" s="690" t="s">
        <v>68</v>
      </c>
      <c r="I4" s="693"/>
      <c r="J4" s="691"/>
      <c r="K4" s="691"/>
      <c r="L4" s="691"/>
      <c r="M4" s="692"/>
    </row>
    <row r="5" spans="1:20" ht="17.100000000000001" customHeight="1" x14ac:dyDescent="0.25">
      <c r="A5" s="694" t="s">
        <v>0</v>
      </c>
      <c r="B5" s="696" t="s">
        <v>54</v>
      </c>
      <c r="C5" s="146" t="s">
        <v>2</v>
      </c>
      <c r="D5" s="696" t="s">
        <v>3</v>
      </c>
      <c r="E5" s="698" t="s">
        <v>4</v>
      </c>
      <c r="F5" s="700" t="s">
        <v>38</v>
      </c>
      <c r="G5" s="3"/>
      <c r="H5" s="694" t="s">
        <v>0</v>
      </c>
      <c r="I5" s="696" t="s">
        <v>1</v>
      </c>
      <c r="J5" s="158" t="s">
        <v>2</v>
      </c>
      <c r="K5" s="696" t="s">
        <v>3</v>
      </c>
      <c r="L5" s="700" t="s">
        <v>4</v>
      </c>
      <c r="M5" s="700" t="s">
        <v>38</v>
      </c>
    </row>
    <row r="6" spans="1:20" ht="17.100000000000001" customHeight="1" thickBot="1" x14ac:dyDescent="0.3">
      <c r="A6" s="695"/>
      <c r="B6" s="697"/>
      <c r="C6" s="255" t="s">
        <v>5</v>
      </c>
      <c r="D6" s="697"/>
      <c r="E6" s="699" t="s">
        <v>6</v>
      </c>
      <c r="F6" s="701" t="s">
        <v>7</v>
      </c>
      <c r="G6" s="3"/>
      <c r="H6" s="702"/>
      <c r="I6" s="703"/>
      <c r="J6" s="159" t="s">
        <v>5</v>
      </c>
      <c r="K6" s="703"/>
      <c r="L6" s="704" t="s">
        <v>6</v>
      </c>
      <c r="M6" s="704" t="s">
        <v>7</v>
      </c>
    </row>
    <row r="7" spans="1:20" ht="17.100000000000001" customHeight="1" x14ac:dyDescent="0.25">
      <c r="A7" s="407"/>
      <c r="B7" s="408"/>
      <c r="C7" s="409"/>
      <c r="D7" s="410"/>
      <c r="E7" s="411"/>
      <c r="F7" s="412"/>
      <c r="G7" s="3"/>
      <c r="H7" s="302"/>
      <c r="I7" s="288"/>
      <c r="J7" s="289"/>
      <c r="K7" s="303"/>
      <c r="L7" s="291"/>
      <c r="M7" s="304"/>
    </row>
    <row r="8" spans="1:20" ht="17.100000000000001" customHeight="1" thickBot="1" x14ac:dyDescent="0.3">
      <c r="A8" s="413"/>
      <c r="B8" s="414"/>
      <c r="C8" s="415"/>
      <c r="D8" s="416"/>
      <c r="E8" s="417"/>
      <c r="F8" s="418"/>
      <c r="G8" s="3"/>
      <c r="H8" s="309"/>
      <c r="I8" s="310"/>
      <c r="J8" s="311"/>
      <c r="K8" s="312"/>
      <c r="L8" s="313"/>
      <c r="M8" s="294"/>
    </row>
    <row r="9" spans="1:20" ht="17.100000000000001" customHeight="1" thickBot="1" x14ac:dyDescent="0.35">
      <c r="A9" s="716" t="s">
        <v>60</v>
      </c>
      <c r="B9" s="717"/>
      <c r="C9" s="718"/>
      <c r="D9" s="70">
        <f>+D7</f>
        <v>0</v>
      </c>
      <c r="E9" s="6"/>
      <c r="F9" s="153">
        <f>+F7</f>
        <v>0</v>
      </c>
      <c r="G9" s="122"/>
      <c r="H9" s="716" t="s">
        <v>69</v>
      </c>
      <c r="I9" s="717"/>
      <c r="J9" s="718"/>
      <c r="K9" s="70">
        <f>SUM(K6:K8)</f>
        <v>0</v>
      </c>
      <c r="L9" s="6"/>
      <c r="M9" s="71">
        <f>SUM(M6:M8)</f>
        <v>0</v>
      </c>
      <c r="O9" s="706"/>
      <c r="P9" s="706"/>
      <c r="Q9" s="706"/>
      <c r="R9" s="706"/>
      <c r="S9" s="706"/>
      <c r="T9" s="115"/>
    </row>
    <row r="10" spans="1:20" ht="17.100000000000001" customHeight="1" thickBot="1" x14ac:dyDescent="0.35">
      <c r="A10" s="123"/>
      <c r="B10" s="123"/>
      <c r="C10" s="123"/>
      <c r="D10" s="124"/>
      <c r="E10" s="6"/>
      <c r="F10" s="22"/>
      <c r="G10" s="4"/>
      <c r="H10" s="2"/>
      <c r="I10" s="2"/>
      <c r="J10" s="2"/>
      <c r="K10" s="2"/>
      <c r="L10" s="2"/>
      <c r="M10" s="2"/>
      <c r="O10" s="705"/>
      <c r="P10" s="705"/>
      <c r="Q10" s="705"/>
      <c r="R10" s="705"/>
      <c r="S10" s="705"/>
      <c r="T10" s="115"/>
    </row>
    <row r="11" spans="1:20" ht="17.100000000000001" customHeight="1" x14ac:dyDescent="0.3">
      <c r="A11" s="238"/>
      <c r="B11" s="239"/>
      <c r="C11" s="240"/>
      <c r="D11" s="241"/>
      <c r="E11" s="242"/>
      <c r="F11" s="243"/>
      <c r="G11" s="4"/>
      <c r="H11" s="302"/>
      <c r="I11" s="288"/>
      <c r="J11" s="289"/>
      <c r="K11" s="303"/>
      <c r="L11" s="291"/>
      <c r="M11" s="304"/>
      <c r="N11" s="330"/>
      <c r="O11" s="348"/>
      <c r="P11" s="349"/>
      <c r="Q11" s="349"/>
      <c r="R11" s="349"/>
      <c r="S11" s="349"/>
      <c r="T11" s="115"/>
    </row>
    <row r="12" spans="1:20" ht="17.100000000000001" customHeight="1" thickBot="1" x14ac:dyDescent="0.35">
      <c r="A12" s="188"/>
      <c r="B12" s="189"/>
      <c r="C12" s="190"/>
      <c r="D12" s="191"/>
      <c r="E12" s="193"/>
      <c r="F12" s="192"/>
      <c r="G12" s="4"/>
      <c r="H12" s="309"/>
      <c r="I12" s="310"/>
      <c r="J12" s="311"/>
      <c r="K12" s="312"/>
      <c r="L12" s="313"/>
      <c r="M12" s="294"/>
      <c r="O12" s="350"/>
      <c r="P12" s="115"/>
      <c r="Q12" s="115"/>
      <c r="R12" s="115"/>
      <c r="S12" s="115"/>
      <c r="T12" s="115"/>
    </row>
    <row r="13" spans="1:20" ht="17.100000000000001" customHeight="1" thickBot="1" x14ac:dyDescent="0.35">
      <c r="A13" s="716" t="s">
        <v>80</v>
      </c>
      <c r="B13" s="717"/>
      <c r="C13" s="718"/>
      <c r="D13" s="152">
        <f>SUM(D12:D12)</f>
        <v>0</v>
      </c>
      <c r="E13" s="1"/>
      <c r="F13" s="155">
        <f>SUM(F11:F12)</f>
        <v>0</v>
      </c>
      <c r="G13" s="4"/>
      <c r="H13" s="716" t="s">
        <v>70</v>
      </c>
      <c r="I13" s="717"/>
      <c r="J13" s="718"/>
      <c r="K13" s="70">
        <f>+K11</f>
        <v>0</v>
      </c>
      <c r="L13" s="6"/>
      <c r="M13" s="71">
        <f>+M11</f>
        <v>0</v>
      </c>
      <c r="O13" s="351"/>
      <c r="P13" s="352"/>
      <c r="Q13" s="353"/>
      <c r="R13" s="353"/>
      <c r="S13" s="354"/>
      <c r="T13" s="115"/>
    </row>
    <row r="14" spans="1:20" ht="17.100000000000001" customHeight="1" thickBot="1" x14ac:dyDescent="0.35">
      <c r="A14" s="123"/>
      <c r="B14" s="123"/>
      <c r="C14" s="123"/>
      <c r="D14" s="142"/>
      <c r="E14" s="23"/>
      <c r="F14" s="143"/>
      <c r="G14" s="4"/>
      <c r="H14" s="2"/>
      <c r="I14" s="2"/>
      <c r="J14" s="2"/>
      <c r="K14" s="2"/>
      <c r="L14" s="2"/>
      <c r="M14" s="2"/>
      <c r="O14" s="350"/>
      <c r="P14" s="355"/>
      <c r="Q14" s="355"/>
      <c r="R14" s="355"/>
      <c r="S14" s="355"/>
      <c r="T14" s="115"/>
    </row>
    <row r="15" spans="1:20" ht="17.100000000000001" customHeight="1" x14ac:dyDescent="0.3">
      <c r="A15" s="147"/>
      <c r="B15" s="127"/>
      <c r="C15" s="148"/>
      <c r="D15" s="129"/>
      <c r="E15" s="130"/>
      <c r="F15" s="131"/>
      <c r="G15" s="4"/>
      <c r="H15" s="307"/>
      <c r="I15" s="288"/>
      <c r="J15" s="289"/>
      <c r="K15" s="290"/>
      <c r="L15" s="291"/>
      <c r="M15" s="304"/>
      <c r="O15" s="351"/>
      <c r="P15" s="356"/>
      <c r="Q15" s="357"/>
      <c r="R15" s="357"/>
      <c r="S15" s="358"/>
      <c r="T15" s="115"/>
    </row>
    <row r="16" spans="1:20" ht="17.100000000000001" customHeight="1" thickBot="1" x14ac:dyDescent="0.35">
      <c r="A16" s="149"/>
      <c r="B16" s="150"/>
      <c r="C16" s="151"/>
      <c r="D16" s="144"/>
      <c r="E16" s="145"/>
      <c r="F16" s="132"/>
      <c r="G16" s="4"/>
      <c r="H16" s="295"/>
      <c r="I16" s="296"/>
      <c r="J16" s="297"/>
      <c r="K16" s="298"/>
      <c r="L16" s="299"/>
      <c r="M16" s="292"/>
      <c r="O16" s="351"/>
      <c r="P16" s="352"/>
      <c r="Q16" s="353"/>
      <c r="R16" s="353"/>
      <c r="S16" s="354"/>
      <c r="T16" s="115"/>
    </row>
    <row r="17" spans="1:21" ht="17.100000000000001" customHeight="1" thickBot="1" x14ac:dyDescent="0.35">
      <c r="A17" s="707" t="s">
        <v>62</v>
      </c>
      <c r="B17" s="708"/>
      <c r="C17" s="709"/>
      <c r="D17" s="152">
        <f>SUM(D15:D15)</f>
        <v>0</v>
      </c>
      <c r="E17" s="6"/>
      <c r="F17" s="153">
        <f>SUM(F15:F15)</f>
        <v>0</v>
      </c>
      <c r="G17" s="4"/>
      <c r="H17" s="707" t="s">
        <v>82</v>
      </c>
      <c r="I17" s="708"/>
      <c r="J17" s="709"/>
      <c r="K17" s="226">
        <f>SUM(K15:K15)</f>
        <v>0</v>
      </c>
      <c r="L17" s="6"/>
      <c r="M17" s="160">
        <f>SUM(M15:M15)</f>
        <v>0</v>
      </c>
      <c r="O17" s="351"/>
      <c r="P17" s="356"/>
      <c r="Q17" s="357"/>
      <c r="R17" s="357"/>
      <c r="S17" s="358"/>
      <c r="T17" s="115"/>
    </row>
    <row r="18" spans="1:21" ht="17.100000000000001" customHeight="1" thickBot="1" x14ac:dyDescent="0.35">
      <c r="A18" s="123"/>
      <c r="B18" s="123"/>
      <c r="C18" s="123"/>
      <c r="D18" s="195"/>
      <c r="E18" s="6"/>
      <c r="F18" s="196"/>
      <c r="G18" s="4"/>
      <c r="H18" s="123"/>
      <c r="I18" s="123"/>
      <c r="J18" s="123"/>
      <c r="K18" s="195"/>
      <c r="L18" s="6"/>
      <c r="M18" s="196"/>
      <c r="O18" s="221"/>
      <c r="P18" s="359"/>
      <c r="Q18" s="359"/>
      <c r="R18" s="359"/>
      <c r="S18" s="115"/>
      <c r="T18" s="115"/>
    </row>
    <row r="19" spans="1:21" ht="17.100000000000001" customHeight="1" x14ac:dyDescent="0.3">
      <c r="A19" s="371"/>
      <c r="B19" s="372"/>
      <c r="C19" s="372"/>
      <c r="D19" s="373"/>
      <c r="E19" s="374"/>
      <c r="F19" s="375"/>
      <c r="G19" s="4"/>
      <c r="H19" s="302"/>
      <c r="I19" s="288"/>
      <c r="J19" s="289"/>
      <c r="K19" s="303"/>
      <c r="L19" s="291"/>
      <c r="M19" s="304"/>
      <c r="N19" s="330"/>
      <c r="O19" s="221"/>
      <c r="P19" s="359"/>
      <c r="Q19" s="359"/>
      <c r="R19" s="359"/>
      <c r="S19" s="115"/>
      <c r="T19" s="115"/>
    </row>
    <row r="20" spans="1:21" ht="17.100000000000001" customHeight="1" thickBot="1" x14ac:dyDescent="0.35">
      <c r="A20" s="376"/>
      <c r="B20" s="377"/>
      <c r="C20" s="378"/>
      <c r="D20" s="379"/>
      <c r="E20" s="380"/>
      <c r="F20" s="381"/>
      <c r="G20" s="13"/>
      <c r="H20" s="309"/>
      <c r="I20" s="310"/>
      <c r="J20" s="311"/>
      <c r="K20" s="312"/>
      <c r="L20" s="313"/>
      <c r="M20" s="294"/>
      <c r="N20" s="260"/>
      <c r="O20" s="355"/>
      <c r="P20" s="349"/>
      <c r="Q20" s="349"/>
      <c r="R20" s="349"/>
      <c r="S20" s="349"/>
      <c r="T20" s="115"/>
    </row>
    <row r="21" spans="1:21" ht="17.100000000000001" customHeight="1" thickBot="1" x14ac:dyDescent="0.35">
      <c r="A21" s="713" t="s">
        <v>63</v>
      </c>
      <c r="B21" s="714"/>
      <c r="C21" s="715"/>
      <c r="D21" s="116">
        <f>SUM(D20:D20)</f>
        <v>0</v>
      </c>
      <c r="E21" s="154"/>
      <c r="F21" s="153">
        <f>SUM(F20:F20)</f>
        <v>0</v>
      </c>
      <c r="G21" s="13"/>
      <c r="H21" s="710" t="s">
        <v>83</v>
      </c>
      <c r="I21" s="711"/>
      <c r="J21" s="712"/>
      <c r="K21" s="70">
        <f>SUM(K19:K20)</f>
        <v>0</v>
      </c>
      <c r="L21" s="34"/>
      <c r="M21" s="71">
        <f>SUM(M19:M20)</f>
        <v>0</v>
      </c>
      <c r="O21" s="351"/>
      <c r="P21" s="356"/>
      <c r="Q21" s="356"/>
      <c r="R21" s="356"/>
      <c r="S21" s="360"/>
      <c r="T21" s="115"/>
    </row>
    <row r="22" spans="1:21" ht="17.100000000000001" customHeight="1" thickBot="1" x14ac:dyDescent="0.35">
      <c r="A22" s="123"/>
      <c r="B22" s="123"/>
      <c r="C22" s="123"/>
      <c r="D22" s="247"/>
      <c r="E22" s="248"/>
      <c r="F22" s="249"/>
      <c r="G22" s="13"/>
      <c r="H22" s="123"/>
      <c r="I22" s="123"/>
      <c r="J22" s="123"/>
      <c r="K22" s="195"/>
      <c r="L22" s="6"/>
      <c r="M22" s="196"/>
      <c r="O22" s="351"/>
      <c r="P22" s="356"/>
      <c r="Q22" s="356"/>
      <c r="R22" s="356"/>
      <c r="S22" s="360"/>
      <c r="T22" s="115"/>
    </row>
    <row r="23" spans="1:21" ht="17.100000000000001" customHeight="1" x14ac:dyDescent="0.3">
      <c r="A23" s="734" t="s">
        <v>170</v>
      </c>
      <c r="B23" s="735" t="s">
        <v>153</v>
      </c>
      <c r="C23" s="736" t="s">
        <v>151</v>
      </c>
      <c r="D23" s="737">
        <v>17708.148000000001</v>
      </c>
      <c r="E23" s="738">
        <v>20.45</v>
      </c>
      <c r="F23" s="739">
        <f>+E23*D23</f>
        <v>362131.62660000002</v>
      </c>
      <c r="G23" s="4"/>
      <c r="H23" s="331"/>
      <c r="I23" s="333"/>
      <c r="J23" s="335"/>
      <c r="K23" s="337"/>
      <c r="L23" s="340"/>
      <c r="M23" s="304"/>
      <c r="N23" s="263"/>
      <c r="O23" s="221"/>
      <c r="P23" s="359"/>
      <c r="Q23" s="359"/>
      <c r="R23" s="359"/>
      <c r="S23" s="115"/>
      <c r="T23" s="115"/>
      <c r="U23" s="139"/>
    </row>
    <row r="24" spans="1:21" ht="17.100000000000001" customHeight="1" x14ac:dyDescent="0.3">
      <c r="A24" s="740"/>
      <c r="B24" s="741" t="s">
        <v>154</v>
      </c>
      <c r="C24" s="742" t="s">
        <v>56</v>
      </c>
      <c r="D24" s="743"/>
      <c r="E24" s="744"/>
      <c r="F24" s="751">
        <v>25000</v>
      </c>
      <c r="G24" s="4"/>
      <c r="H24" s="332"/>
      <c r="I24" s="334"/>
      <c r="J24" s="336"/>
      <c r="K24" s="338"/>
      <c r="L24" s="341"/>
      <c r="M24" s="339"/>
      <c r="N24" s="266"/>
      <c r="O24" s="221"/>
      <c r="P24" s="359"/>
      <c r="Q24" s="359"/>
      <c r="R24" s="359"/>
      <c r="S24" s="115"/>
      <c r="T24" s="115"/>
      <c r="U24" s="139"/>
    </row>
    <row r="25" spans="1:21" ht="17.100000000000001" customHeight="1" thickBot="1" x14ac:dyDescent="0.35">
      <c r="A25" s="745"/>
      <c r="B25" s="746" t="s">
        <v>165</v>
      </c>
      <c r="C25" s="747"/>
      <c r="D25" s="748"/>
      <c r="E25" s="749"/>
      <c r="F25" s="750"/>
      <c r="G25" s="4"/>
      <c r="H25" s="325"/>
      <c r="I25" s="326"/>
      <c r="J25" s="327"/>
      <c r="K25" s="327"/>
      <c r="L25" s="328"/>
      <c r="M25" s="329"/>
      <c r="O25" s="115"/>
      <c r="P25" s="115"/>
      <c r="Q25" s="115"/>
      <c r="R25" s="115"/>
      <c r="S25" s="115"/>
      <c r="T25" s="115"/>
    </row>
    <row r="26" spans="1:21" ht="17.100000000000001" customHeight="1" thickBot="1" x14ac:dyDescent="0.35">
      <c r="A26" s="707" t="s">
        <v>64</v>
      </c>
      <c r="B26" s="708"/>
      <c r="C26" s="709"/>
      <c r="D26" s="250">
        <f>+D23</f>
        <v>17708.148000000001</v>
      </c>
      <c r="E26" s="6"/>
      <c r="F26" s="293">
        <f>+F23+F24</f>
        <v>387131.62660000002</v>
      </c>
      <c r="G26" s="4"/>
      <c r="H26" s="710" t="s">
        <v>84</v>
      </c>
      <c r="I26" s="711"/>
      <c r="J26" s="712"/>
      <c r="K26" s="156">
        <f>+K23</f>
        <v>0</v>
      </c>
      <c r="L26" s="6"/>
      <c r="M26" s="71">
        <f>+M23</f>
        <v>0</v>
      </c>
      <c r="N26" s="266"/>
      <c r="O26" s="355"/>
      <c r="P26" s="349"/>
      <c r="Q26" s="349"/>
      <c r="R26" s="349"/>
      <c r="S26" s="349"/>
      <c r="T26" s="115"/>
    </row>
    <row r="27" spans="1:21" ht="17.100000000000001" customHeight="1" thickBot="1" x14ac:dyDescent="0.35">
      <c r="A27" s="128"/>
      <c r="B27" s="128"/>
      <c r="C27" s="128"/>
      <c r="D27" s="128"/>
      <c r="E27" s="128"/>
      <c r="F27" s="128"/>
      <c r="G27" s="4"/>
      <c r="H27" s="125"/>
      <c r="I27" s="126"/>
      <c r="J27" s="9"/>
      <c r="K27" s="10"/>
      <c r="L27" s="6"/>
      <c r="M27" s="11"/>
      <c r="O27" s="351"/>
      <c r="P27" s="356"/>
      <c r="Q27" s="356"/>
      <c r="R27" s="356"/>
      <c r="S27" s="360"/>
      <c r="T27" s="115"/>
    </row>
    <row r="28" spans="1:21" ht="17.100000000000001" customHeight="1" x14ac:dyDescent="0.3">
      <c r="A28" s="734" t="s">
        <v>157</v>
      </c>
      <c r="B28" s="735" t="s">
        <v>182</v>
      </c>
      <c r="C28" s="736" t="s">
        <v>151</v>
      </c>
      <c r="D28" s="737">
        <v>14040</v>
      </c>
      <c r="E28" s="738">
        <v>20.67</v>
      </c>
      <c r="F28" s="739">
        <f>+E28*D28</f>
        <v>290206.80000000005</v>
      </c>
      <c r="G28" s="4"/>
      <c r="H28" s="331"/>
      <c r="I28" s="333"/>
      <c r="J28" s="335"/>
      <c r="K28" s="337"/>
      <c r="L28" s="340"/>
      <c r="M28" s="304"/>
      <c r="O28" s="351"/>
      <c r="P28" s="356"/>
      <c r="Q28" s="356"/>
      <c r="R28" s="356"/>
      <c r="S28" s="360"/>
      <c r="T28" s="115"/>
    </row>
    <row r="29" spans="1:21" ht="17.100000000000001" customHeight="1" x14ac:dyDescent="0.3">
      <c r="A29" s="740"/>
      <c r="B29" s="741" t="s">
        <v>154</v>
      </c>
      <c r="C29" s="742" t="s">
        <v>56</v>
      </c>
      <c r="D29" s="755"/>
      <c r="E29" s="744"/>
      <c r="F29" s="751">
        <v>23000</v>
      </c>
      <c r="G29" s="4"/>
      <c r="H29" s="332"/>
      <c r="I29" s="334"/>
      <c r="J29" s="336"/>
      <c r="K29" s="338"/>
      <c r="L29" s="341"/>
      <c r="M29" s="339"/>
      <c r="O29" s="221"/>
      <c r="P29" s="359"/>
      <c r="Q29" s="359"/>
      <c r="R29" s="359"/>
      <c r="S29" s="115"/>
      <c r="T29" s="115"/>
    </row>
    <row r="30" spans="1:21" ht="17.100000000000001" customHeight="1" thickBot="1" x14ac:dyDescent="0.35">
      <c r="A30" s="745"/>
      <c r="B30" s="746" t="s">
        <v>180</v>
      </c>
      <c r="C30" s="747"/>
      <c r="D30" s="748"/>
      <c r="E30" s="749"/>
      <c r="F30" s="750"/>
      <c r="G30" s="4"/>
      <c r="H30" s="343"/>
      <c r="I30" s="344"/>
      <c r="J30" s="344"/>
      <c r="K30" s="344"/>
      <c r="L30" s="344"/>
      <c r="M30" s="345"/>
      <c r="O30" s="351"/>
      <c r="P30" s="356"/>
      <c r="Q30" s="356"/>
      <c r="R30" s="356"/>
      <c r="S30" s="360"/>
      <c r="T30" s="115"/>
    </row>
    <row r="31" spans="1:21" ht="17.100000000000001" customHeight="1" thickBot="1" x14ac:dyDescent="0.35">
      <c r="A31" s="716" t="s">
        <v>65</v>
      </c>
      <c r="B31" s="717"/>
      <c r="C31" s="718"/>
      <c r="D31" s="156">
        <f>SUM(D28:D30)</f>
        <v>14040</v>
      </c>
      <c r="E31" s="6"/>
      <c r="F31" s="256">
        <f>+F28</f>
        <v>290206.80000000005</v>
      </c>
      <c r="G31" s="4"/>
      <c r="H31" s="710" t="s">
        <v>76</v>
      </c>
      <c r="I31" s="711"/>
      <c r="J31" s="712"/>
      <c r="K31" s="70">
        <f>+K28</f>
        <v>0</v>
      </c>
      <c r="L31" s="6"/>
      <c r="M31" s="71">
        <f>+M28+M29</f>
        <v>0</v>
      </c>
      <c r="O31" s="351"/>
      <c r="P31" s="356"/>
      <c r="Q31" s="356"/>
      <c r="R31" s="356"/>
      <c r="S31" s="360"/>
      <c r="T31" s="115"/>
    </row>
    <row r="32" spans="1:21" ht="17.100000000000001" customHeight="1" thickBot="1" x14ac:dyDescent="0.35">
      <c r="A32" s="2"/>
      <c r="B32" s="2"/>
      <c r="C32" s="2"/>
      <c r="D32" s="128"/>
      <c r="E32" s="2"/>
      <c r="F32" s="2"/>
      <c r="G32" s="4"/>
      <c r="H32" s="2"/>
      <c r="I32" s="2"/>
      <c r="J32" s="2"/>
      <c r="K32" s="342"/>
      <c r="L32" s="133"/>
      <c r="M32" s="133"/>
      <c r="O32" s="351"/>
      <c r="P32" s="356"/>
      <c r="Q32" s="356"/>
      <c r="R32" s="356"/>
      <c r="S32" s="360"/>
      <c r="T32" s="361"/>
    </row>
    <row r="33" spans="1:20" ht="17.100000000000001" customHeight="1" thickBot="1" x14ac:dyDescent="0.35">
      <c r="A33" s="722" t="s">
        <v>66</v>
      </c>
      <c r="B33" s="723"/>
      <c r="C33" s="724"/>
      <c r="D33" s="72">
        <f>+D26+D31</f>
        <v>31748.148000000001</v>
      </c>
      <c r="E33" s="134"/>
      <c r="F33" s="73">
        <f>+F26+F31</f>
        <v>677338.42660000012</v>
      </c>
      <c r="G33" s="2"/>
      <c r="H33" s="722" t="s">
        <v>74</v>
      </c>
      <c r="I33" s="723"/>
      <c r="J33" s="724"/>
      <c r="K33" s="161">
        <f>+K9+K13+K17+K21+K26+K31</f>
        <v>0</v>
      </c>
      <c r="L33" s="134"/>
      <c r="M33" s="73">
        <f>+M9+M13+M17+M21+M26+M31</f>
        <v>0</v>
      </c>
      <c r="O33" s="351"/>
      <c r="P33" s="356"/>
      <c r="Q33" s="356"/>
      <c r="R33" s="356"/>
      <c r="S33" s="360"/>
      <c r="T33" s="362"/>
    </row>
    <row r="34" spans="1:20" ht="17.100000000000001" customHeight="1" x14ac:dyDescent="0.25">
      <c r="A34" s="15"/>
      <c r="B34" s="15"/>
      <c r="C34" s="15"/>
      <c r="D34" s="21"/>
      <c r="E34" s="14"/>
      <c r="F34" s="314"/>
      <c r="G34" s="2"/>
      <c r="H34" s="308"/>
      <c r="I34" s="135"/>
      <c r="J34" s="135"/>
      <c r="K34" s="34"/>
      <c r="L34" s="1"/>
      <c r="M34" s="136"/>
      <c r="O34" s="221"/>
      <c r="P34" s="359"/>
      <c r="Q34" s="359"/>
      <c r="R34" s="359"/>
      <c r="S34" s="115"/>
      <c r="T34" s="361"/>
    </row>
    <row r="35" spans="1:20" ht="17.100000000000001" customHeight="1" x14ac:dyDescent="0.25">
      <c r="A35" s="15"/>
      <c r="B35" s="15"/>
      <c r="C35" s="15"/>
      <c r="D35" s="21"/>
      <c r="E35" s="315"/>
      <c r="F35" s="316"/>
      <c r="G35" s="2"/>
      <c r="H35" s="135"/>
      <c r="I35" s="135"/>
      <c r="J35" s="135"/>
      <c r="K35" s="137"/>
      <c r="L35" s="2"/>
      <c r="M35" s="20"/>
      <c r="O35" s="115"/>
      <c r="P35" s="115"/>
      <c r="Q35" s="115"/>
      <c r="R35" s="115"/>
      <c r="S35" s="115"/>
      <c r="T35" s="361"/>
    </row>
    <row r="36" spans="1:20" ht="17.100000000000001" customHeight="1" thickBot="1" x14ac:dyDescent="0.3">
      <c r="A36" s="15"/>
      <c r="B36" s="15"/>
      <c r="C36" s="15"/>
      <c r="D36" s="21"/>
      <c r="E36" s="317"/>
      <c r="F36" s="318"/>
      <c r="G36" s="284"/>
      <c r="H36" s="135"/>
      <c r="I36" s="135"/>
      <c r="J36" s="135"/>
      <c r="K36" s="137"/>
      <c r="L36" s="2"/>
      <c r="M36" s="20"/>
      <c r="O36" s="355"/>
      <c r="P36" s="349"/>
      <c r="Q36" s="349"/>
      <c r="R36" s="349"/>
      <c r="S36" s="349"/>
      <c r="T36" s="361"/>
    </row>
    <row r="37" spans="1:20" ht="17.100000000000001" customHeight="1" thickBot="1" x14ac:dyDescent="0.35">
      <c r="A37" s="2"/>
      <c r="B37" s="2"/>
      <c r="C37" s="725" t="s">
        <v>3</v>
      </c>
      <c r="D37" s="727" t="s">
        <v>49</v>
      </c>
      <c r="E37" s="317"/>
      <c r="F37" s="319"/>
      <c r="G37" s="284"/>
      <c r="L37" s="25"/>
      <c r="M37" s="2"/>
      <c r="O37" s="351"/>
      <c r="P37" s="356"/>
      <c r="Q37" s="356"/>
      <c r="R37" s="356"/>
      <c r="S37" s="360"/>
      <c r="T37" s="361"/>
    </row>
    <row r="38" spans="1:20" ht="17.100000000000001" customHeight="1" thickBot="1" x14ac:dyDescent="0.35">
      <c r="A38" s="2"/>
      <c r="B38" s="2"/>
      <c r="C38" s="726"/>
      <c r="D38" s="728"/>
      <c r="E38" s="315"/>
      <c r="F38" s="318"/>
      <c r="G38" s="128"/>
      <c r="H38" s="246" t="s">
        <v>41</v>
      </c>
      <c r="I38" s="163"/>
      <c r="J38" s="164"/>
      <c r="K38" s="194" t="s">
        <v>42</v>
      </c>
      <c r="L38" s="25"/>
      <c r="M38" s="14"/>
      <c r="O38" s="351"/>
      <c r="P38" s="356"/>
      <c r="Q38" s="356"/>
      <c r="R38" s="356"/>
      <c r="S38" s="360"/>
      <c r="T38" s="361"/>
    </row>
    <row r="39" spans="1:20" ht="17.100000000000001" customHeight="1" x14ac:dyDescent="0.25">
      <c r="A39" s="182" t="s">
        <v>8</v>
      </c>
      <c r="B39" s="179"/>
      <c r="C39" s="278">
        <f>+D9</f>
        <v>0</v>
      </c>
      <c r="D39" s="162">
        <f>+F9</f>
        <v>0</v>
      </c>
      <c r="E39" s="14"/>
      <c r="F39" s="314"/>
      <c r="G39" s="128"/>
      <c r="H39" s="166"/>
      <c r="I39" s="168" t="s">
        <v>22</v>
      </c>
      <c r="J39" s="428"/>
      <c r="K39" s="270">
        <v>0</v>
      </c>
      <c r="L39" s="361"/>
      <c r="M39" s="2"/>
      <c r="O39" s="221"/>
      <c r="P39" s="359"/>
      <c r="Q39" s="115"/>
      <c r="R39" s="115"/>
      <c r="S39" s="115"/>
      <c r="T39" s="115"/>
    </row>
    <row r="40" spans="1:20" ht="17.100000000000001" customHeight="1" x14ac:dyDescent="0.3">
      <c r="A40" s="183" t="s">
        <v>47</v>
      </c>
      <c r="B40" s="244"/>
      <c r="C40" s="279">
        <f t="shared" ref="C40:C41" si="0">+D15</f>
        <v>0</v>
      </c>
      <c r="D40" s="281">
        <f t="shared" ref="D40:D41" si="1">+F15</f>
        <v>0</v>
      </c>
      <c r="E40" s="315"/>
      <c r="F40" s="318"/>
      <c r="G40" s="128"/>
      <c r="H40" s="166"/>
      <c r="I40" s="425" t="s">
        <v>23</v>
      </c>
      <c r="J40" s="426"/>
      <c r="K40" s="427">
        <v>0</v>
      </c>
      <c r="L40" s="25"/>
      <c r="M40" s="14"/>
      <c r="N40" s="139"/>
      <c r="O40" s="115"/>
      <c r="P40" s="115"/>
      <c r="Q40" s="115"/>
      <c r="R40" s="115"/>
      <c r="S40" s="115"/>
      <c r="T40" s="115"/>
    </row>
    <row r="41" spans="1:20" ht="17.100000000000001" customHeight="1" x14ac:dyDescent="0.3">
      <c r="A41" s="183" t="s">
        <v>9</v>
      </c>
      <c r="B41" s="244"/>
      <c r="C41" s="279">
        <f t="shared" si="0"/>
        <v>0</v>
      </c>
      <c r="D41" s="281">
        <f t="shared" si="1"/>
        <v>0</v>
      </c>
      <c r="E41" s="315"/>
      <c r="F41" s="316"/>
      <c r="G41" s="128"/>
      <c r="H41" s="166"/>
      <c r="I41" s="172" t="s">
        <v>23</v>
      </c>
      <c r="J41" s="138"/>
      <c r="K41" s="270">
        <v>0</v>
      </c>
      <c r="L41" s="25"/>
      <c r="M41" s="14"/>
      <c r="O41" s="115"/>
      <c r="P41" s="115"/>
      <c r="Q41" s="115"/>
      <c r="R41" s="115"/>
      <c r="S41" s="115"/>
      <c r="T41" s="115"/>
    </row>
    <row r="42" spans="1:20" ht="17.100000000000001" customHeight="1" x14ac:dyDescent="0.3">
      <c r="A42" s="245" t="s">
        <v>10</v>
      </c>
      <c r="B42" s="180"/>
      <c r="C42" s="279">
        <f>+D17</f>
        <v>0</v>
      </c>
      <c r="D42" s="281">
        <f>+F17</f>
        <v>0</v>
      </c>
      <c r="E42" s="2"/>
      <c r="F42" s="2"/>
      <c r="G42" s="128"/>
      <c r="H42" s="166"/>
      <c r="I42" s="172" t="s">
        <v>25</v>
      </c>
      <c r="J42" s="138"/>
      <c r="K42" s="270">
        <v>0</v>
      </c>
      <c r="L42" s="25"/>
      <c r="M42" s="14"/>
      <c r="O42" s="115"/>
      <c r="P42" s="115"/>
      <c r="Q42" s="115"/>
      <c r="R42" s="115"/>
      <c r="S42" s="115"/>
      <c r="T42" s="115"/>
    </row>
    <row r="43" spans="1:20" ht="17.100000000000001" customHeight="1" x14ac:dyDescent="0.3">
      <c r="A43" s="183" t="s">
        <v>11</v>
      </c>
      <c r="B43" s="269"/>
      <c r="C43" s="280">
        <f>+D21</f>
        <v>0</v>
      </c>
      <c r="D43" s="282">
        <f>+F21</f>
        <v>0</v>
      </c>
      <c r="E43" s="2"/>
      <c r="F43" s="2"/>
      <c r="G43" s="128"/>
      <c r="H43" s="166"/>
      <c r="I43" s="172" t="s">
        <v>26</v>
      </c>
      <c r="J43" s="138"/>
      <c r="K43" s="270">
        <v>0</v>
      </c>
      <c r="L43" s="25"/>
      <c r="M43" s="14"/>
      <c r="O43" s="115"/>
      <c r="P43" s="79"/>
      <c r="Q43" s="349"/>
      <c r="R43" s="349"/>
      <c r="S43" s="349"/>
      <c r="T43" s="115"/>
    </row>
    <row r="44" spans="1:20" ht="17.100000000000001" customHeight="1" x14ac:dyDescent="0.25">
      <c r="A44" s="596" t="s">
        <v>50</v>
      </c>
      <c r="B44" s="180"/>
      <c r="C44" s="597">
        <f>+D26</f>
        <v>17708.148000000001</v>
      </c>
      <c r="D44" s="598">
        <f>+F26</f>
        <v>387131.62660000002</v>
      </c>
      <c r="E44" s="14"/>
      <c r="F44" s="20"/>
      <c r="G44" s="2"/>
      <c r="H44" s="167"/>
      <c r="I44" s="593" t="s">
        <v>186</v>
      </c>
      <c r="J44" s="594"/>
      <c r="K44" s="595">
        <v>110457.89</v>
      </c>
      <c r="L44" s="265" t="s">
        <v>173</v>
      </c>
      <c r="M44" s="14"/>
      <c r="O44" s="115"/>
      <c r="P44" s="363"/>
      <c r="Q44" s="364"/>
      <c r="R44" s="364"/>
      <c r="S44" s="115"/>
      <c r="T44" s="115"/>
    </row>
    <row r="45" spans="1:20" ht="17.100000000000001" customHeight="1" x14ac:dyDescent="0.25">
      <c r="A45" s="756" t="s">
        <v>14</v>
      </c>
      <c r="B45" s="180"/>
      <c r="C45" s="757">
        <f>+D31</f>
        <v>14040</v>
      </c>
      <c r="D45" s="758">
        <f>+F31</f>
        <v>290206.80000000005</v>
      </c>
      <c r="E45" s="14"/>
      <c r="F45" s="20"/>
      <c r="G45" s="2"/>
      <c r="H45" s="173"/>
      <c r="I45" s="752" t="s">
        <v>185</v>
      </c>
      <c r="J45" s="753"/>
      <c r="K45" s="754">
        <v>0</v>
      </c>
      <c r="L45" s="265" t="s">
        <v>173</v>
      </c>
      <c r="M45" s="14"/>
      <c r="O45" s="348"/>
      <c r="P45" s="365"/>
      <c r="Q45" s="366"/>
      <c r="R45" s="366"/>
      <c r="S45" s="348"/>
      <c r="T45" s="115"/>
    </row>
    <row r="46" spans="1:20" ht="17.100000000000001" customHeight="1" x14ac:dyDescent="0.25">
      <c r="A46" s="245" t="s">
        <v>51</v>
      </c>
      <c r="B46" s="269"/>
      <c r="C46" s="382">
        <f>+K9</f>
        <v>0</v>
      </c>
      <c r="D46" s="282">
        <f>+M9</f>
        <v>0</v>
      </c>
      <c r="E46" s="14"/>
      <c r="F46" s="2"/>
      <c r="G46" s="2"/>
      <c r="H46" s="174"/>
      <c r="I46" s="257" t="s">
        <v>29</v>
      </c>
      <c r="J46" s="264"/>
      <c r="K46" s="270">
        <v>0</v>
      </c>
      <c r="L46" s="27"/>
      <c r="M46" s="14"/>
      <c r="O46" s="361"/>
      <c r="P46" s="367"/>
      <c r="Q46" s="368"/>
      <c r="R46" s="368"/>
      <c r="S46" s="361"/>
      <c r="T46" s="115"/>
    </row>
    <row r="47" spans="1:20" ht="17.100000000000001" customHeight="1" x14ac:dyDescent="0.25">
      <c r="A47" s="183" t="s">
        <v>48</v>
      </c>
      <c r="B47" s="269"/>
      <c r="C47" s="280">
        <f>+K13</f>
        <v>0</v>
      </c>
      <c r="D47" s="282">
        <f>+M13</f>
        <v>0</v>
      </c>
      <c r="E47" s="14"/>
      <c r="F47" s="20"/>
      <c r="G47" s="2"/>
      <c r="H47" s="175"/>
      <c r="I47" s="170" t="s">
        <v>30</v>
      </c>
      <c r="J47" s="186"/>
      <c r="K47" s="270">
        <v>0</v>
      </c>
      <c r="L47" s="27"/>
      <c r="M47" s="14"/>
      <c r="O47" s="221"/>
      <c r="P47" s="369"/>
      <c r="Q47" s="115"/>
      <c r="R47" s="115"/>
      <c r="S47" s="115"/>
      <c r="T47" s="115"/>
    </row>
    <row r="48" spans="1:20" ht="17.100000000000001" customHeight="1" x14ac:dyDescent="0.25">
      <c r="A48" s="183" t="s">
        <v>17</v>
      </c>
      <c r="B48" s="383"/>
      <c r="C48" s="280">
        <f>+K17</f>
        <v>0</v>
      </c>
      <c r="D48" s="282">
        <f>+M17</f>
        <v>0</v>
      </c>
      <c r="E48" s="24"/>
      <c r="F48" s="20"/>
      <c r="G48" s="2"/>
      <c r="H48" s="174"/>
      <c r="I48" s="169" t="s">
        <v>31</v>
      </c>
      <c r="J48" s="186"/>
      <c r="K48" s="270">
        <v>0</v>
      </c>
      <c r="L48" s="321"/>
      <c r="M48" s="14"/>
      <c r="O48" s="370"/>
      <c r="P48" s="115"/>
      <c r="Q48" s="115"/>
      <c r="R48" s="115"/>
      <c r="S48" s="115"/>
      <c r="T48" s="115"/>
    </row>
    <row r="49" spans="1:20" ht="17.100000000000001" customHeight="1" x14ac:dyDescent="0.25">
      <c r="A49" s="245" t="s">
        <v>52</v>
      </c>
      <c r="B49" s="269"/>
      <c r="C49" s="280">
        <f>+K21</f>
        <v>0</v>
      </c>
      <c r="D49" s="282">
        <f>+M21</f>
        <v>0</v>
      </c>
      <c r="E49" s="14"/>
      <c r="F49" s="20"/>
      <c r="G49" s="2"/>
      <c r="H49" s="166"/>
      <c r="I49" s="257" t="s">
        <v>32</v>
      </c>
      <c r="J49" s="264"/>
      <c r="K49" s="270">
        <v>0</v>
      </c>
      <c r="L49" s="265"/>
      <c r="M49" s="14"/>
      <c r="O49" s="115"/>
      <c r="P49" s="115"/>
      <c r="Q49" s="115"/>
      <c r="R49" s="115"/>
      <c r="S49" s="115"/>
      <c r="T49" s="115"/>
    </row>
    <row r="50" spans="1:20" ht="17.100000000000001" customHeight="1" x14ac:dyDescent="0.25">
      <c r="A50" s="245" t="s">
        <v>53</v>
      </c>
      <c r="B50" s="269"/>
      <c r="C50" s="280">
        <f>+K26</f>
        <v>0</v>
      </c>
      <c r="D50" s="282">
        <f>+M26</f>
        <v>0</v>
      </c>
      <c r="E50" s="14"/>
      <c r="F50" s="2"/>
      <c r="G50" s="2"/>
      <c r="H50" s="174"/>
      <c r="I50" s="169" t="s">
        <v>33</v>
      </c>
      <c r="J50" s="187"/>
      <c r="K50" s="270">
        <v>0</v>
      </c>
      <c r="L50" s="2"/>
      <c r="M50" s="14"/>
      <c r="O50" s="370"/>
      <c r="P50" s="115"/>
      <c r="Q50" s="115"/>
      <c r="R50" s="115"/>
      <c r="S50" s="115"/>
      <c r="T50" s="115"/>
    </row>
    <row r="51" spans="1:20" ht="17.100000000000001" customHeight="1" thickBot="1" x14ac:dyDescent="0.3">
      <c r="A51" s="184" t="s">
        <v>20</v>
      </c>
      <c r="B51" s="384"/>
      <c r="C51" s="385">
        <f>+K31</f>
        <v>0</v>
      </c>
      <c r="D51" s="386">
        <f>+M31</f>
        <v>0</v>
      </c>
      <c r="E51" s="2"/>
      <c r="F51" s="2"/>
      <c r="G51" s="2"/>
      <c r="H51" s="176"/>
      <c r="I51" s="171" t="s">
        <v>34</v>
      </c>
      <c r="J51" s="165"/>
      <c r="K51" s="387">
        <v>0</v>
      </c>
      <c r="L51" s="321"/>
      <c r="M51" s="2"/>
      <c r="O51" s="115"/>
      <c r="P51" s="115"/>
      <c r="Q51" s="115"/>
      <c r="R51" s="115"/>
      <c r="S51" s="115"/>
      <c r="T51" s="115"/>
    </row>
    <row r="52" spans="1:20" ht="17.100000000000001" customHeight="1" thickBot="1" x14ac:dyDescent="0.3">
      <c r="A52" s="181"/>
      <c r="B52" s="181"/>
      <c r="C52" s="140"/>
      <c r="D52" s="141"/>
      <c r="E52" s="2"/>
      <c r="F52" s="2"/>
      <c r="G52" s="2"/>
      <c r="H52" s="729" t="s">
        <v>77</v>
      </c>
      <c r="I52" s="730"/>
      <c r="J52" s="731"/>
      <c r="K52" s="252">
        <f>SUM(K39:K51)</f>
        <v>110457.89</v>
      </c>
      <c r="L52" s="2"/>
      <c r="M52" s="2"/>
      <c r="O52" s="115"/>
      <c r="P52" s="115"/>
      <c r="Q52" s="115"/>
      <c r="R52" s="115"/>
      <c r="S52" s="115"/>
      <c r="T52" s="115"/>
    </row>
    <row r="53" spans="1:20" ht="17.100000000000001" customHeight="1" thickBot="1" x14ac:dyDescent="0.3">
      <c r="A53" s="181"/>
      <c r="B53" s="181"/>
      <c r="C53" s="140"/>
      <c r="D53" s="141"/>
      <c r="E53" s="2"/>
      <c r="F53" s="2"/>
      <c r="G53" s="2"/>
      <c r="H53" s="2"/>
      <c r="I53" s="2"/>
      <c r="J53" s="2"/>
      <c r="K53" s="2"/>
      <c r="L53" s="2"/>
      <c r="M53" s="2"/>
      <c r="O53" s="115"/>
      <c r="P53" s="115"/>
      <c r="Q53" s="115"/>
      <c r="R53" s="115"/>
      <c r="S53" s="115"/>
      <c r="T53" s="115"/>
    </row>
    <row r="54" spans="1:20" ht="17.100000000000001" customHeight="1" thickBot="1" x14ac:dyDescent="0.3">
      <c r="A54" s="178" t="s">
        <v>81</v>
      </c>
      <c r="B54" s="185"/>
      <c r="C54" s="305">
        <f>SUM(C39:C51)</f>
        <v>31748.148000000001</v>
      </c>
      <c r="D54" s="177">
        <f>SUM(D39:D51)</f>
        <v>677338.42660000012</v>
      </c>
      <c r="E54" s="2"/>
      <c r="F54" s="2"/>
      <c r="G54" s="2"/>
      <c r="H54" s="719" t="s">
        <v>67</v>
      </c>
      <c r="I54" s="720"/>
      <c r="J54" s="721"/>
      <c r="K54" s="157">
        <f>+D54+K52</f>
        <v>787796.31660000014</v>
      </c>
      <c r="L54" s="2"/>
      <c r="M54" s="2"/>
      <c r="O54" s="115"/>
      <c r="P54" s="115"/>
      <c r="Q54" s="115"/>
      <c r="R54" s="115"/>
      <c r="S54" s="115"/>
      <c r="T54" s="115"/>
    </row>
    <row r="55" spans="1:20" ht="17.100000000000001" customHeight="1" x14ac:dyDescent="0.25">
      <c r="A55" s="181"/>
      <c r="B55" s="181"/>
      <c r="E55" s="2"/>
      <c r="F55" s="2"/>
      <c r="G55" s="2"/>
      <c r="H55" s="14"/>
      <c r="I55" s="14"/>
      <c r="J55" s="14"/>
      <c r="K55" s="14"/>
      <c r="L55" s="14"/>
      <c r="M55" s="2"/>
    </row>
    <row r="56" spans="1:20" x14ac:dyDescent="0.25">
      <c r="D56" s="139"/>
    </row>
    <row r="57" spans="1:20" x14ac:dyDescent="0.25">
      <c r="C57" s="92"/>
      <c r="D57" s="139"/>
      <c r="J57" s="139"/>
      <c r="K57" s="139"/>
    </row>
  </sheetData>
  <mergeCells count="33">
    <mergeCell ref="H54:J54"/>
    <mergeCell ref="A31:C31"/>
    <mergeCell ref="H31:J31"/>
    <mergeCell ref="A33:C33"/>
    <mergeCell ref="H33:J33"/>
    <mergeCell ref="C37:C38"/>
    <mergeCell ref="D37:D38"/>
    <mergeCell ref="H52:J52"/>
    <mergeCell ref="O10:S10"/>
    <mergeCell ref="O9:S9"/>
    <mergeCell ref="A26:C26"/>
    <mergeCell ref="H26:J26"/>
    <mergeCell ref="A17:C17"/>
    <mergeCell ref="H17:J17"/>
    <mergeCell ref="A21:C21"/>
    <mergeCell ref="H21:J21"/>
    <mergeCell ref="H9:J9"/>
    <mergeCell ref="A13:C13"/>
    <mergeCell ref="H13:J13"/>
    <mergeCell ref="A9:C9"/>
    <mergeCell ref="A1:M2"/>
    <mergeCell ref="A4:F4"/>
    <mergeCell ref="H4:M4"/>
    <mergeCell ref="A5:A6"/>
    <mergeCell ref="B5:B6"/>
    <mergeCell ref="D5:D6"/>
    <mergeCell ref="E5:E6"/>
    <mergeCell ref="F5:F6"/>
    <mergeCell ref="H5:H6"/>
    <mergeCell ref="I5:I6"/>
    <mergeCell ref="K5:K6"/>
    <mergeCell ref="L5:L6"/>
    <mergeCell ref="M5:M6"/>
  </mergeCells>
  <printOptions horizontalCentered="1"/>
  <pageMargins left="0.11811023622047245" right="0.11811023622047245" top="0.74803149606299213" bottom="0.35433070866141736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FACTURACION  MOQUEGUA</vt:lpstr>
      <vt:lpstr>FACTURACION TABLONES</vt:lpstr>
      <vt:lpstr>FACTURACION OTRAS NAVES </vt:lpstr>
      <vt:lpstr>'FACTURACION  MOQUEGUA'!Área_de_impresión</vt:lpstr>
      <vt:lpstr>'FACTURACION OTRAS NAVES '!Área_de_impresión</vt:lpstr>
      <vt:lpstr>'FACTURACION TABLONES'!Área_de_impresión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Elena Castro</cp:lastModifiedBy>
  <cp:lastPrinted>2026-06-17T20:23:29Z</cp:lastPrinted>
  <dcterms:created xsi:type="dcterms:W3CDTF">2011-04-13T20:07:30Z</dcterms:created>
  <dcterms:modified xsi:type="dcterms:W3CDTF">2026-06-17T21:01:34Z</dcterms:modified>
</cp:coreProperties>
</file>
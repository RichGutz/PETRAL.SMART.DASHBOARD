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uti\PETRAL.SMART.DASHBOARD\Exceles.Petral\"/>
    </mc:Choice>
  </mc:AlternateContent>
  <xr:revisionPtr revIDLastSave="0" documentId="13_ncr:1_{14C1CF35-AB86-4C6F-BC05-683A01E6CD98}" xr6:coauthVersionLast="47" xr6:coauthVersionMax="47" xr10:uidLastSave="{00000000-0000-0000-0000-000000000000}"/>
  <bookViews>
    <workbookView xWindow="-23148" yWindow="-108" windowWidth="23256" windowHeight="12576" tabRatio="617" activeTab="3" xr2:uid="{00000000-000D-0000-FFFF-FFFF00000000}"/>
  </bookViews>
  <sheets>
    <sheet name="CONSOLIDADO " sheetId="7" r:id="rId1"/>
    <sheet name="BT MOQUEGUA MEC " sheetId="2" r:id="rId2"/>
    <sheet name="BT TABLONES JN" sheetId="5" r:id="rId3"/>
    <sheet name="BT HUEMUL-CONCON TRADER" sheetId="11" r:id="rId4"/>
  </sheets>
  <definedNames>
    <definedName name="_xlnm.Print_Area" localSheetId="3">'BT HUEMUL-CONCON TRADER'!$A$1:$N$28</definedName>
    <definedName name="_xlnm.Print_Area" localSheetId="1">'BT MOQUEGUA MEC '!$A$1:$Q$30</definedName>
    <definedName name="_xlnm.Print_Area" localSheetId="2">'BT TABLONES JN'!$A$1:$O$39</definedName>
    <definedName name="_xlnm.Print_Area" localSheetId="0">'CONSOLIDADO '!$A$2:$N$34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7" l="1"/>
  <c r="G6" i="7"/>
  <c r="F15" i="7" l="1"/>
  <c r="F17" i="7" l="1"/>
  <c r="F16" i="7"/>
  <c r="F6" i="7"/>
  <c r="F20" i="11"/>
  <c r="F8" i="5"/>
  <c r="F8" i="7" s="1"/>
  <c r="N22" i="5"/>
  <c r="N23" i="5"/>
  <c r="R23" i="5"/>
  <c r="B24" i="5"/>
  <c r="C24" i="5"/>
  <c r="D24" i="5"/>
  <c r="E24" i="5"/>
  <c r="F24" i="5"/>
  <c r="G24" i="5"/>
  <c r="H24" i="5"/>
  <c r="I24" i="5"/>
  <c r="J24" i="5"/>
  <c r="K24" i="5"/>
  <c r="L24" i="5"/>
  <c r="M24" i="5"/>
  <c r="G6" i="5"/>
  <c r="D61" i="11"/>
  <c r="D57" i="11"/>
  <c r="D51" i="11"/>
  <c r="B50" i="11"/>
  <c r="B51" i="11" s="1"/>
  <c r="D48" i="11"/>
  <c r="B47" i="11"/>
  <c r="B48" i="11" s="1"/>
  <c r="G47" i="11" s="1"/>
  <c r="C45" i="11"/>
  <c r="B45" i="11"/>
  <c r="M31" i="11"/>
  <c r="M24" i="11"/>
  <c r="L24" i="11"/>
  <c r="K24" i="11"/>
  <c r="J24" i="11"/>
  <c r="I24" i="11"/>
  <c r="G24" i="11"/>
  <c r="F24" i="11"/>
  <c r="N23" i="11"/>
  <c r="N22" i="11"/>
  <c r="M20" i="11"/>
  <c r="M26" i="11" s="1"/>
  <c r="L20" i="11"/>
  <c r="L26" i="11" s="1"/>
  <c r="K20" i="11"/>
  <c r="J20" i="11"/>
  <c r="J26" i="11" s="1"/>
  <c r="I20" i="11"/>
  <c r="G20" i="11"/>
  <c r="G26" i="11" s="1"/>
  <c r="N19" i="11"/>
  <c r="N18" i="11"/>
  <c r="N16" i="11"/>
  <c r="M12" i="11"/>
  <c r="L12" i="11"/>
  <c r="K12" i="11"/>
  <c r="J12" i="11"/>
  <c r="I12" i="11"/>
  <c r="N12" i="11" s="1"/>
  <c r="G12" i="11"/>
  <c r="F12" i="11"/>
  <c r="N11" i="11"/>
  <c r="M10" i="11"/>
  <c r="M14" i="11" s="1"/>
  <c r="L10" i="11"/>
  <c r="K10" i="11"/>
  <c r="K14" i="11" s="1"/>
  <c r="J10" i="11"/>
  <c r="I10" i="11"/>
  <c r="F10" i="11"/>
  <c r="N7" i="11"/>
  <c r="G10" i="11"/>
  <c r="G14" i="11" s="1"/>
  <c r="N5" i="11"/>
  <c r="F26" i="11" l="1"/>
  <c r="F28" i="11" s="1"/>
  <c r="L14" i="11"/>
  <c r="I26" i="11"/>
  <c r="K26" i="11"/>
  <c r="K28" i="11" s="1"/>
  <c r="I14" i="11"/>
  <c r="N24" i="11"/>
  <c r="J14" i="11"/>
  <c r="J28" i="11" s="1"/>
  <c r="N24" i="5"/>
  <c r="G28" i="11"/>
  <c r="M28" i="11"/>
  <c r="F14" i="11"/>
  <c r="N10" i="11"/>
  <c r="N14" i="11"/>
  <c r="I28" i="11"/>
  <c r="L28" i="11"/>
  <c r="N20" i="11"/>
  <c r="N6" i="11"/>
  <c r="N8" i="11"/>
  <c r="N17" i="11"/>
  <c r="N26" i="11" l="1"/>
  <c r="N28" i="11"/>
  <c r="F20" i="5" l="1"/>
  <c r="D17" i="5" l="1"/>
  <c r="W17" i="2" l="1"/>
  <c r="W13" i="2"/>
  <c r="B12" i="2"/>
  <c r="B8" i="7"/>
  <c r="B14" i="7" l="1"/>
  <c r="L12" i="2" l="1"/>
  <c r="M12" i="2"/>
  <c r="L16" i="2"/>
  <c r="M16" i="2"/>
  <c r="M18" i="2" l="1"/>
  <c r="L18" i="2"/>
  <c r="K20" i="5"/>
  <c r="J10" i="5"/>
  <c r="J20" i="5"/>
  <c r="C10" i="5" l="1"/>
  <c r="D10" i="5"/>
  <c r="E10" i="5"/>
  <c r="F10" i="5"/>
  <c r="G10" i="5"/>
  <c r="H10" i="5"/>
  <c r="I10" i="5"/>
  <c r="I20" i="5" l="1"/>
  <c r="B16" i="2" l="1"/>
  <c r="G7" i="7" l="1"/>
  <c r="E20" i="5" l="1"/>
  <c r="D16" i="2"/>
  <c r="D12" i="2"/>
  <c r="D18" i="2" l="1"/>
  <c r="C20" i="5" l="1"/>
  <c r="B20" i="5"/>
  <c r="C16" i="7" l="1"/>
  <c r="N16" i="7" s="1"/>
  <c r="N19" i="5"/>
  <c r="N9" i="5" l="1"/>
  <c r="J12" i="5" l="1"/>
  <c r="J14" i="5" s="1"/>
  <c r="I12" i="5"/>
  <c r="J26" i="5" l="1"/>
  <c r="J28" i="5" s="1"/>
  <c r="I14" i="5"/>
  <c r="I26" i="5"/>
  <c r="I28" i="5" l="1"/>
  <c r="J12" i="2"/>
  <c r="H20" i="5"/>
  <c r="I12" i="2" l="1"/>
  <c r="G12" i="2" l="1"/>
  <c r="G16" i="2"/>
  <c r="H12" i="2"/>
  <c r="G18" i="2" l="1"/>
  <c r="G20" i="5" l="1"/>
  <c r="G12" i="5"/>
  <c r="F12" i="5"/>
  <c r="F14" i="5" l="1"/>
  <c r="G14" i="5"/>
  <c r="F26" i="5"/>
  <c r="G26" i="5"/>
  <c r="G28" i="5" l="1"/>
  <c r="F28" i="5"/>
  <c r="F16" i="2"/>
  <c r="F7" i="7"/>
  <c r="D61" i="5" l="1"/>
  <c r="N13" i="2" l="1"/>
  <c r="E6" i="7"/>
  <c r="B50" i="5" l="1"/>
  <c r="B51" i="5" s="1"/>
  <c r="D57" i="5"/>
  <c r="B47" i="5"/>
  <c r="B48" i="5" s="1"/>
  <c r="D48" i="5"/>
  <c r="D51" i="5"/>
  <c r="C45" i="5"/>
  <c r="B45" i="5"/>
  <c r="E7" i="7"/>
  <c r="E12" i="2"/>
  <c r="E16" i="2"/>
  <c r="E18" i="2" l="1"/>
  <c r="G47" i="5"/>
  <c r="C14" i="7" l="1"/>
  <c r="D14" i="7"/>
  <c r="D20" i="5" l="1"/>
  <c r="C26" i="5"/>
  <c r="D12" i="5"/>
  <c r="C12" i="5"/>
  <c r="B12" i="5"/>
  <c r="B10" i="5"/>
  <c r="B14" i="5" l="1"/>
  <c r="C14" i="5"/>
  <c r="C28" i="5" s="1"/>
  <c r="D26" i="5"/>
  <c r="D14" i="5"/>
  <c r="B26" i="5"/>
  <c r="D28" i="5" l="1"/>
  <c r="B28" i="5"/>
  <c r="B6" i="7"/>
  <c r="K10" i="5"/>
  <c r="L10" i="5"/>
  <c r="M10" i="5"/>
  <c r="E12" i="5"/>
  <c r="E14" i="5" s="1"/>
  <c r="H12" i="5"/>
  <c r="K12" i="5"/>
  <c r="L12" i="5"/>
  <c r="M12" i="5"/>
  <c r="M14" i="5" l="1"/>
  <c r="H14" i="5"/>
  <c r="L14" i="5"/>
  <c r="K14" i="5"/>
  <c r="N5" i="2" l="1"/>
  <c r="L20" i="5" l="1"/>
  <c r="M20" i="5"/>
  <c r="M26" i="5" l="1"/>
  <c r="M28" i="5" s="1"/>
  <c r="L26" i="5"/>
  <c r="L28" i="5" s="1"/>
  <c r="M14" i="7" l="1"/>
  <c r="N8" i="5" l="1"/>
  <c r="K14" i="7" l="1"/>
  <c r="L14" i="7"/>
  <c r="K13" i="7"/>
  <c r="L13" i="7"/>
  <c r="M13" i="7"/>
  <c r="K10" i="7"/>
  <c r="L10" i="7"/>
  <c r="M10" i="7"/>
  <c r="K9" i="7"/>
  <c r="L9" i="7"/>
  <c r="M9" i="7"/>
  <c r="K8" i="7"/>
  <c r="L8" i="7"/>
  <c r="M8" i="7"/>
  <c r="M7" i="7"/>
  <c r="L7" i="7"/>
  <c r="K7" i="7"/>
  <c r="K6" i="7"/>
  <c r="L6" i="7"/>
  <c r="M6" i="7"/>
  <c r="C6" i="7"/>
  <c r="C7" i="7"/>
  <c r="D7" i="7"/>
  <c r="H7" i="7"/>
  <c r="I7" i="7"/>
  <c r="J7" i="7"/>
  <c r="B7" i="7"/>
  <c r="N7" i="7" l="1"/>
  <c r="I16" i="2" l="1"/>
  <c r="I18" i="2" s="1"/>
  <c r="C15" i="7"/>
  <c r="D15" i="7"/>
  <c r="E15" i="7"/>
  <c r="G15" i="7"/>
  <c r="H15" i="7"/>
  <c r="I15" i="7"/>
  <c r="J15" i="7"/>
  <c r="K15" i="7"/>
  <c r="L15" i="7"/>
  <c r="M15" i="7"/>
  <c r="B15" i="7"/>
  <c r="G14" i="7"/>
  <c r="H14" i="7"/>
  <c r="I14" i="7"/>
  <c r="J14" i="7"/>
  <c r="D13" i="7"/>
  <c r="E13" i="7"/>
  <c r="G13" i="7"/>
  <c r="H13" i="7"/>
  <c r="I13" i="7"/>
  <c r="J13" i="7"/>
  <c r="B13" i="7"/>
  <c r="J10" i="7"/>
  <c r="I10" i="7"/>
  <c r="H10" i="7"/>
  <c r="G10" i="7"/>
  <c r="F10" i="7"/>
  <c r="E10" i="7"/>
  <c r="D10" i="7"/>
  <c r="C10" i="7"/>
  <c r="B10" i="7"/>
  <c r="J9" i="7"/>
  <c r="I9" i="7"/>
  <c r="H9" i="7"/>
  <c r="G9" i="7"/>
  <c r="F9" i="7"/>
  <c r="E9" i="7"/>
  <c r="D9" i="7"/>
  <c r="C9" i="7"/>
  <c r="B9" i="7"/>
  <c r="J8" i="7"/>
  <c r="I8" i="7"/>
  <c r="H8" i="7"/>
  <c r="G8" i="7"/>
  <c r="E8" i="7"/>
  <c r="D8" i="7"/>
  <c r="C8" i="7"/>
  <c r="H6" i="7"/>
  <c r="D6" i="7"/>
  <c r="G11" i="7" l="1"/>
  <c r="F11" i="7"/>
  <c r="H11" i="7"/>
  <c r="C11" i="7"/>
  <c r="E11" i="7"/>
  <c r="M11" i="7"/>
  <c r="N15" i="7"/>
  <c r="D11" i="7"/>
  <c r="B17" i="7" l="1"/>
  <c r="B18" i="7" l="1"/>
  <c r="N6" i="5" l="1"/>
  <c r="N7" i="5"/>
  <c r="N10" i="7"/>
  <c r="N18" i="5"/>
  <c r="K26" i="5"/>
  <c r="K28" i="5" s="1"/>
  <c r="M31" i="5"/>
  <c r="L17" i="7" l="1"/>
  <c r="L18" i="7" s="1"/>
  <c r="C17" i="7"/>
  <c r="E14" i="7"/>
  <c r="E17" i="7"/>
  <c r="J17" i="7"/>
  <c r="J18" i="7" s="1"/>
  <c r="K17" i="7"/>
  <c r="K18" i="7" s="1"/>
  <c r="N11" i="5"/>
  <c r="K11" i="7"/>
  <c r="D17" i="7"/>
  <c r="D18" i="7" s="1"/>
  <c r="D20" i="7" s="1"/>
  <c r="I17" i="7"/>
  <c r="I18" i="7" s="1"/>
  <c r="J6" i="7"/>
  <c r="J11" i="7" s="1"/>
  <c r="F13" i="7"/>
  <c r="H26" i="5"/>
  <c r="H28" i="5" s="1"/>
  <c r="H17" i="7"/>
  <c r="H18" i="7" s="1"/>
  <c r="H20" i="7" s="1"/>
  <c r="C13" i="7"/>
  <c r="I6" i="7"/>
  <c r="G18" i="7"/>
  <c r="G20" i="7" s="1"/>
  <c r="F14" i="7"/>
  <c r="N9" i="7"/>
  <c r="L11" i="7"/>
  <c r="N16" i="5"/>
  <c r="E26" i="5"/>
  <c r="E28" i="5" s="1"/>
  <c r="N5" i="5"/>
  <c r="N17" i="5"/>
  <c r="N12" i="5"/>
  <c r="F18" i="7" l="1"/>
  <c r="F20" i="7" s="1"/>
  <c r="N6" i="7"/>
  <c r="L20" i="7"/>
  <c r="N14" i="7"/>
  <c r="E18" i="7"/>
  <c r="E20" i="7" s="1"/>
  <c r="M17" i="7"/>
  <c r="M18" i="7" s="1"/>
  <c r="M20" i="7" s="1"/>
  <c r="I11" i="7"/>
  <c r="K20" i="7"/>
  <c r="J20" i="7"/>
  <c r="C18" i="7"/>
  <c r="N13" i="7"/>
  <c r="N20" i="5"/>
  <c r="N17" i="7" l="1"/>
  <c r="I20" i="7"/>
  <c r="C20" i="7"/>
  <c r="N18" i="7"/>
  <c r="N26" i="5"/>
  <c r="K16" i="2" l="1"/>
  <c r="C16" i="2" l="1"/>
  <c r="N11" i="2" l="1"/>
  <c r="N9" i="2"/>
  <c r="N8" i="2"/>
  <c r="N15" i="2"/>
  <c r="K12" i="2"/>
  <c r="K18" i="2" s="1"/>
  <c r="J16" i="2" l="1"/>
  <c r="J18" i="2" s="1"/>
  <c r="H16" i="2"/>
  <c r="H18" i="2" s="1"/>
  <c r="N14" i="2"/>
  <c r="F12" i="2"/>
  <c r="F18" i="2" s="1"/>
  <c r="C12" i="2"/>
  <c r="N10" i="2"/>
  <c r="N7" i="2"/>
  <c r="N6" i="2"/>
  <c r="N12" i="2" l="1"/>
  <c r="B18" i="2"/>
  <c r="C18" i="2"/>
  <c r="N16" i="2"/>
  <c r="N18" i="2" l="1"/>
  <c r="N10" i="5"/>
  <c r="N14" i="5" l="1"/>
  <c r="N28" i="5" l="1"/>
  <c r="N8" i="7" l="1"/>
  <c r="B11" i="7"/>
  <c r="N11" i="7" s="1"/>
  <c r="B20" i="7" l="1"/>
  <c r="N2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muellaje, marcona, segundos ingresos, </t>
        </r>
      </text>
    </comment>
    <comment ref="A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demora ácido, demora aceite, demora otros buques
</t>
        </r>
      </text>
    </comment>
  </commentList>
</comments>
</file>

<file path=xl/sharedStrings.xml><?xml version="1.0" encoding="utf-8"?>
<sst xmlns="http://schemas.openxmlformats.org/spreadsheetml/2006/main" count="166" uniqueCount="103">
  <si>
    <t>ENERO</t>
  </si>
  <si>
    <t xml:space="preserve">MARZO </t>
  </si>
  <si>
    <t xml:space="preserve">ABRIL </t>
  </si>
  <si>
    <t>MAYO</t>
  </si>
  <si>
    <t>Margen de Operación</t>
  </si>
  <si>
    <t>Facturación flete Moquegua</t>
  </si>
  <si>
    <t>Total Ingresos</t>
  </si>
  <si>
    <t>TOTAL</t>
  </si>
  <si>
    <t>CONCEPTO</t>
  </si>
  <si>
    <t xml:space="preserve">AGOSTO </t>
  </si>
  <si>
    <t>Facturación reintegro Marcona</t>
  </si>
  <si>
    <t>Demora aceite vegetal</t>
  </si>
  <si>
    <t xml:space="preserve">Reintegro por segundo ingreso </t>
  </si>
  <si>
    <t xml:space="preserve">Ingresos Otros Buques </t>
  </si>
  <si>
    <t xml:space="preserve">Otros Ingresos Combustible </t>
  </si>
  <si>
    <t xml:space="preserve">Otros Ingresos </t>
  </si>
  <si>
    <t>Total Egresos</t>
  </si>
  <si>
    <t xml:space="preserve"> Margen de Operación</t>
  </si>
  <si>
    <t xml:space="preserve">                         </t>
  </si>
  <si>
    <t xml:space="preserve">Otros ingresos </t>
  </si>
  <si>
    <t xml:space="preserve">Facturación ingresos de puerto </t>
  </si>
  <si>
    <t>Facturación flete</t>
  </si>
  <si>
    <t>Montos expresados en US$</t>
  </si>
  <si>
    <t xml:space="preserve">Costos portuarios </t>
  </si>
  <si>
    <t>Bunker</t>
  </si>
  <si>
    <r>
      <t>Costos portuarios Moquegua</t>
    </r>
    <r>
      <rPr>
        <i/>
        <sz val="10"/>
        <color theme="1"/>
        <rFont val="Arial"/>
        <family val="2"/>
      </rPr>
      <t xml:space="preserve"> </t>
    </r>
  </si>
  <si>
    <t>Nota:</t>
  </si>
  <si>
    <t xml:space="preserve">1-15 enero </t>
  </si>
  <si>
    <t>15 Dic - 15 Enero per day (total usd 334,812.20)</t>
  </si>
  <si>
    <t>15 Ene - 15 Feb per day (total usd 333,513.04)</t>
  </si>
  <si>
    <t xml:space="preserve">15 -31 enero </t>
  </si>
  <si>
    <t xml:space="preserve">Mes </t>
  </si>
  <si>
    <t>15 Feb - 15 Mar per day (total usd 129,172.75)</t>
  </si>
  <si>
    <t xml:space="preserve">1-15 febrero </t>
  </si>
  <si>
    <t>Provisión por demoras y gastos portuarios de Sandra Galvez.</t>
  </si>
  <si>
    <t>En base a la provisión por demoras y gastos portuarios de Sandra Galvez.</t>
  </si>
  <si>
    <t xml:space="preserve">MAYO </t>
  </si>
  <si>
    <r>
      <t>Demora ácido sulfúrico</t>
    </r>
    <r>
      <rPr>
        <i/>
        <sz val="10"/>
        <rFont val="Arial"/>
        <family val="2"/>
      </rPr>
      <t xml:space="preserve"> </t>
    </r>
  </si>
  <si>
    <t>AGOSTO</t>
  </si>
  <si>
    <t xml:space="preserve">SETIEMBRE </t>
  </si>
  <si>
    <t xml:space="preserve">OCTUBRE </t>
  </si>
  <si>
    <t xml:space="preserve">Demoras </t>
  </si>
  <si>
    <t xml:space="preserve">NOVIEMBRE </t>
  </si>
  <si>
    <t xml:space="preserve">DICIEMBRE </t>
  </si>
  <si>
    <t>NOVIEMBRE</t>
  </si>
  <si>
    <t>Reintegro Muellaje / Recalada muelle adicional / Full speeed</t>
  </si>
  <si>
    <t>Costo por demora otras naves</t>
  </si>
  <si>
    <t xml:space="preserve">ENERO </t>
  </si>
  <si>
    <t xml:space="preserve">FEBRERO </t>
  </si>
  <si>
    <t>MARZO</t>
  </si>
  <si>
    <t>Facturación por segundo ingreso puerto/cambio de muelle</t>
  </si>
  <si>
    <t>Comisiones varias / Otros costos directos</t>
  </si>
  <si>
    <t xml:space="preserve">Facturación aceite vegetal </t>
  </si>
  <si>
    <t>Bunker Tablones</t>
  </si>
  <si>
    <t>Tasa de demora: USD 20,000</t>
  </si>
  <si>
    <t>Facturación flete Tablones</t>
  </si>
  <si>
    <t xml:space="preserve">Egresos otros buques </t>
  </si>
  <si>
    <t xml:space="preserve">Tasa de demora: USD 20,000 </t>
  </si>
  <si>
    <t>Bunker Moquegua y Tablones</t>
  </si>
  <si>
    <t>Facturacion otros</t>
  </si>
  <si>
    <t>OCTUBRE</t>
  </si>
  <si>
    <t>Gastos portuarios: En el mes de enero se consideró el pago por Light dues 2026</t>
  </si>
  <si>
    <t>En el mes de enero se consideró el pago por light dues 2026</t>
  </si>
  <si>
    <t>DICIEMBRE</t>
  </si>
  <si>
    <t>Costos arriendo nave HUEMUL V. 105 (Ultranav)</t>
  </si>
  <si>
    <t>Costo arriendo otras naves - Huemul V.105</t>
  </si>
  <si>
    <t>Demora Huemul V.105 Ultranav (aproximada)</t>
  </si>
  <si>
    <t>Sandra</t>
  </si>
  <si>
    <t>JUNIO (*)</t>
  </si>
  <si>
    <t>JULIO (**)</t>
  </si>
  <si>
    <t xml:space="preserve">(**) Proyección a Julio: </t>
  </si>
  <si>
    <t xml:space="preserve">(*) Proyección a Junio: </t>
  </si>
  <si>
    <r>
      <t xml:space="preserve">B/T MOQUEGUA - MARGEN DE OPERACIÓN - </t>
    </r>
    <r>
      <rPr>
        <b/>
        <i/>
        <sz val="12"/>
        <color theme="1"/>
        <rFont val="Arial"/>
        <family val="2"/>
      </rPr>
      <t>PROYECTADO A JULIO 2026</t>
    </r>
  </si>
  <si>
    <t>Otros costos</t>
  </si>
  <si>
    <t>(*) Proyección Junio: Un viaje de exportación y dos viajes de cabotaje - uno es NEXA</t>
  </si>
  <si>
    <t>(**) Proyección Julio: Tres viajes de exportación y un viaje de cabotaje</t>
  </si>
  <si>
    <t>Moquegua:  Un viaje de exportación y dos viajes de cabotaje (uno es NEXA)</t>
  </si>
  <si>
    <t xml:space="preserve">Moquegua:  Tres viajes de exportación y un viaje de cabotaje </t>
  </si>
  <si>
    <t>Tablones:  Dos viajes de exportación y un viaje de cabotaje</t>
  </si>
  <si>
    <t xml:space="preserve">Reintegro de muellaje Tablones </t>
  </si>
  <si>
    <r>
      <t xml:space="preserve">B/T TABLONES  MARGEN DE OPERACIÓN - </t>
    </r>
    <r>
      <rPr>
        <b/>
        <i/>
        <sz val="12"/>
        <color theme="1"/>
        <rFont val="Arial"/>
        <family val="2"/>
      </rPr>
      <t>PROYECTADO A JULIO 2026</t>
    </r>
  </si>
  <si>
    <t xml:space="preserve">Demora Tablones </t>
  </si>
  <si>
    <t>Otros ingresos</t>
  </si>
  <si>
    <t xml:space="preserve">Bunker </t>
  </si>
  <si>
    <t>Demora a Huemul V.105</t>
  </si>
  <si>
    <t>MAYO (*)</t>
  </si>
  <si>
    <t>JUNIO (**)</t>
  </si>
  <si>
    <t xml:space="preserve">(*) Proyección a Junio:  Cuatro viajes de exportación </t>
  </si>
  <si>
    <t>(**) Proyección a Julio:  Dos viajes de exportación y un viaje de cabotaje</t>
  </si>
  <si>
    <t xml:space="preserve">Tablones:  Cuatro viajes de exportación </t>
  </si>
  <si>
    <t>Comisiones Varias / otros costos</t>
  </si>
  <si>
    <t xml:space="preserve">Ingresos </t>
  </si>
  <si>
    <r>
      <t xml:space="preserve"> B/T HUEMUL - B/T CONCON TRADER MARGEN DE OPERACIÓN - </t>
    </r>
    <r>
      <rPr>
        <b/>
        <i/>
        <sz val="12"/>
        <color theme="1"/>
        <rFont val="Arial"/>
        <family val="2"/>
      </rPr>
      <t>PROYECTADO A JUNIO 2026</t>
    </r>
  </si>
  <si>
    <t xml:space="preserve">B/T Moquegua /  B/T Tablones  /                    B/T Huemul  / B/T Concon Trader </t>
  </si>
  <si>
    <t xml:space="preserve">(*) Mayo: B/T Huemul viaje 105 a SPCC ruta Ilo - Mejillones   </t>
  </si>
  <si>
    <t>(**) Proyección a Junio:  B/T Concon Trader viaje 166 a SPCC ruta Ilo - Mejillones</t>
  </si>
  <si>
    <t>Facturación flete Huemul V. 105 y Concon Trader V.166</t>
  </si>
  <si>
    <t>Reintegro de muellaje HUEMUL V.105 y Concon Trader V.166</t>
  </si>
  <si>
    <t>Demora Huemul V.105 y Concon Trader V.166</t>
  </si>
  <si>
    <t>Costos demora Huemul V.105 y Concon Trader V.166</t>
  </si>
  <si>
    <t>Costo arriendo Huemul V.105 y Concon Trader V. 166</t>
  </si>
  <si>
    <t>Fecha: 11.06.2026</t>
  </si>
  <si>
    <r>
      <t xml:space="preserve">B/T MOQUEGUA - B/T TABLONES - B/T HUEMUL - B/T CONCON TRADER MARGEN DE OPERACIÓN CONSOLIDADO - </t>
    </r>
    <r>
      <rPr>
        <b/>
        <i/>
        <sz val="11.5"/>
        <color theme="1"/>
        <rFont val="Arial"/>
        <family val="2"/>
      </rPr>
      <t>PROYECTADO A JULIO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</si>
</sst>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$-540A]#,##0.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1.5"/>
      <color theme="1"/>
      <name val="Arial"/>
      <family val="2"/>
    </font>
    <font>
      <sz val="11"/>
      <name val="Calibri"/>
      <family val="2"/>
      <scheme val="minor"/>
    </font>
    <font>
      <b/>
      <u/>
      <sz val="11"/>
      <color theme="1"/>
      <name val="Arial"/>
      <family val="2"/>
    </font>
    <font>
      <b/>
      <i/>
      <sz val="12"/>
      <color theme="1"/>
      <name val="Arial"/>
      <family val="2"/>
    </font>
    <font>
      <i/>
      <sz val="10"/>
      <name val="Arial"/>
      <family val="2"/>
    </font>
    <font>
      <b/>
      <sz val="11.5"/>
      <name val="Arial"/>
      <family val="2"/>
    </font>
    <font>
      <sz val="11"/>
      <color theme="1"/>
      <name val="Arial"/>
      <family val="2"/>
    </font>
    <font>
      <b/>
      <i/>
      <sz val="11.5"/>
      <name val="Arial"/>
      <family val="2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name val="Arial"/>
      <family val="2"/>
    </font>
    <font>
      <i/>
      <sz val="11"/>
      <color theme="0"/>
      <name val="Calibri"/>
      <family val="2"/>
      <scheme val="minor"/>
    </font>
    <font>
      <b/>
      <sz val="11"/>
      <color rgb="FF0000FF"/>
      <name val="Arial"/>
      <family val="2"/>
    </font>
    <font>
      <b/>
      <sz val="11"/>
      <color rgb="FFFF0066"/>
      <name val="Arial"/>
      <family val="2"/>
    </font>
    <font>
      <sz val="10"/>
      <color rgb="FFFF0000"/>
      <name val="Arial"/>
      <family val="2"/>
    </font>
    <font>
      <b/>
      <sz val="10.5"/>
      <color theme="1"/>
      <name val="Arial"/>
      <family val="2"/>
    </font>
    <font>
      <b/>
      <sz val="12"/>
      <name val="Arial"/>
      <family val="2"/>
    </font>
    <font>
      <b/>
      <sz val="11.5"/>
      <color rgb="FFE40000"/>
      <name val="Arial"/>
      <family val="2"/>
    </font>
    <font>
      <b/>
      <i/>
      <sz val="11.5"/>
      <color theme="1"/>
      <name val="Arial"/>
      <family val="2"/>
    </font>
    <font>
      <b/>
      <sz val="11"/>
      <color rgb="FF191919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BE0000"/>
      <name val="Arial"/>
      <family val="2"/>
    </font>
    <font>
      <b/>
      <sz val="11"/>
      <color rgb="FFE40000"/>
      <name val="Arial"/>
      <family val="2"/>
    </font>
    <font>
      <b/>
      <i/>
      <sz val="11.5"/>
      <color rgb="FFE4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0" fontId="8" fillId="0" borderId="0"/>
    <xf numFmtId="0" fontId="10" fillId="0" borderId="0"/>
  </cellStyleXfs>
  <cellXfs count="243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10" xfId="0" applyFont="1" applyBorder="1"/>
    <xf numFmtId="0" fontId="3" fillId="0" borderId="12" xfId="0" applyFont="1" applyBorder="1"/>
    <xf numFmtId="0" fontId="2" fillId="3" borderId="7" xfId="0" applyFont="1" applyFill="1" applyBorder="1" applyAlignment="1">
      <alignment horizontal="right"/>
    </xf>
    <xf numFmtId="0" fontId="3" fillId="0" borderId="15" xfId="0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right"/>
    </xf>
    <xf numFmtId="164" fontId="2" fillId="4" borderId="0" xfId="0" applyNumberFormat="1" applyFont="1" applyFill="1"/>
    <xf numFmtId="164" fontId="7" fillId="4" borderId="0" xfId="0" applyNumberFormat="1" applyFont="1" applyFill="1"/>
    <xf numFmtId="0" fontId="1" fillId="4" borderId="0" xfId="0" applyFont="1" applyFill="1"/>
    <xf numFmtId="0" fontId="0" fillId="4" borderId="0" xfId="0" applyFill="1"/>
    <xf numFmtId="164" fontId="0" fillId="0" borderId="0" xfId="0" applyNumberFormat="1"/>
    <xf numFmtId="0" fontId="2" fillId="5" borderId="7" xfId="0" applyFont="1" applyFill="1" applyBorder="1" applyAlignment="1">
      <alignment horizontal="right"/>
    </xf>
    <xf numFmtId="164" fontId="5" fillId="4" borderId="0" xfId="0" applyNumberFormat="1" applyFont="1" applyFill="1"/>
    <xf numFmtId="43" fontId="3" fillId="0" borderId="4" xfId="1" applyFont="1" applyBorder="1"/>
    <xf numFmtId="43" fontId="10" fillId="4" borderId="4" xfId="1" applyFont="1" applyFill="1" applyBorder="1"/>
    <xf numFmtId="43" fontId="10" fillId="0" borderId="4" xfId="1" applyFont="1" applyFill="1" applyBorder="1"/>
    <xf numFmtId="43" fontId="3" fillId="0" borderId="4" xfId="1" applyFont="1" applyFill="1" applyBorder="1"/>
    <xf numFmtId="0" fontId="3" fillId="0" borderId="17" xfId="0" applyFont="1" applyBorder="1"/>
    <xf numFmtId="0" fontId="3" fillId="0" borderId="23" xfId="0" applyFont="1" applyBorder="1"/>
    <xf numFmtId="43" fontId="5" fillId="0" borderId="4" xfId="1" applyFont="1" applyFill="1" applyBorder="1"/>
    <xf numFmtId="43" fontId="3" fillId="0" borderId="24" xfId="1" applyFont="1" applyBorder="1"/>
    <xf numFmtId="43" fontId="3" fillId="0" borderId="24" xfId="1" applyFont="1" applyFill="1" applyBorder="1"/>
    <xf numFmtId="0" fontId="0" fillId="0" borderId="27" xfId="0" applyBorder="1"/>
    <xf numFmtId="43" fontId="4" fillId="7" borderId="29" xfId="1" applyFont="1" applyFill="1" applyBorder="1"/>
    <xf numFmtId="0" fontId="3" fillId="4" borderId="0" xfId="0" applyFont="1" applyFill="1"/>
    <xf numFmtId="164" fontId="3" fillId="4" borderId="0" xfId="0" applyNumberFormat="1" applyFont="1" applyFill="1"/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43" fontId="3" fillId="0" borderId="25" xfId="1" applyFont="1" applyBorder="1"/>
    <xf numFmtId="43" fontId="3" fillId="0" borderId="11" xfId="1" applyFont="1" applyBorder="1"/>
    <xf numFmtId="43" fontId="2" fillId="5" borderId="8" xfId="1" applyFont="1" applyFill="1" applyBorder="1"/>
    <xf numFmtId="43" fontId="2" fillId="5" borderId="9" xfId="1" applyFont="1" applyFill="1" applyBorder="1"/>
    <xf numFmtId="43" fontId="4" fillId="7" borderId="26" xfId="1" applyFont="1" applyFill="1" applyBorder="1"/>
    <xf numFmtId="0" fontId="7" fillId="0" borderId="0" xfId="0" applyFont="1"/>
    <xf numFmtId="0" fontId="2" fillId="0" borderId="0" xfId="0" applyFont="1"/>
    <xf numFmtId="43" fontId="3" fillId="0" borderId="0" xfId="1" applyFont="1"/>
    <xf numFmtId="43" fontId="0" fillId="0" borderId="0" xfId="1" applyFont="1"/>
    <xf numFmtId="0" fontId="1" fillId="0" borderId="0" xfId="0" applyFont="1"/>
    <xf numFmtId="0" fontId="3" fillId="0" borderId="30" xfId="0" applyFont="1" applyBorder="1"/>
    <xf numFmtId="0" fontId="4" fillId="4" borderId="0" xfId="0" applyFont="1" applyFill="1" applyAlignment="1">
      <alignment horizontal="right"/>
    </xf>
    <xf numFmtId="0" fontId="3" fillId="7" borderId="10" xfId="0" applyFont="1" applyFill="1" applyBorder="1"/>
    <xf numFmtId="43" fontId="3" fillId="0" borderId="6" xfId="1" applyFont="1" applyBorder="1"/>
    <xf numFmtId="43" fontId="10" fillId="4" borderId="6" xfId="1" applyFont="1" applyFill="1" applyBorder="1"/>
    <xf numFmtId="43" fontId="3" fillId="0" borderId="6" xfId="1" applyFont="1" applyFill="1" applyBorder="1"/>
    <xf numFmtId="43" fontId="3" fillId="0" borderId="13" xfId="1" applyFont="1" applyBorder="1"/>
    <xf numFmtId="43" fontId="0" fillId="0" borderId="0" xfId="0" applyNumberFormat="1"/>
    <xf numFmtId="43" fontId="3" fillId="4" borderId="4" xfId="1" applyFont="1" applyFill="1" applyBorder="1"/>
    <xf numFmtId="43" fontId="3" fillId="0" borderId="5" xfId="1" applyFont="1" applyBorder="1"/>
    <xf numFmtId="43" fontId="3" fillId="4" borderId="5" xfId="1" applyFont="1" applyFill="1" applyBorder="1"/>
    <xf numFmtId="43" fontId="3" fillId="4" borderId="6" xfId="1" applyFont="1" applyFill="1" applyBorder="1"/>
    <xf numFmtId="43" fontId="4" fillId="5" borderId="8" xfId="1" applyFont="1" applyFill="1" applyBorder="1"/>
    <xf numFmtId="43" fontId="3" fillId="0" borderId="14" xfId="1" applyFont="1" applyBorder="1"/>
    <xf numFmtId="43" fontId="3" fillId="4" borderId="14" xfId="1" applyFont="1" applyFill="1" applyBorder="1"/>
    <xf numFmtId="43" fontId="2" fillId="3" borderId="8" xfId="1" applyFont="1" applyFill="1" applyBorder="1"/>
    <xf numFmtId="43" fontId="2" fillId="3" borderId="9" xfId="1" applyFont="1" applyFill="1" applyBorder="1"/>
    <xf numFmtId="43" fontId="3" fillId="0" borderId="0" xfId="1" applyFont="1" applyBorder="1"/>
    <xf numFmtId="43" fontId="0" fillId="4" borderId="0" xfId="1" applyFont="1" applyFill="1"/>
    <xf numFmtId="43" fontId="0" fillId="0" borderId="18" xfId="1" applyFont="1" applyBorder="1"/>
    <xf numFmtId="43" fontId="4" fillId="5" borderId="33" xfId="1" applyFont="1" applyFill="1" applyBorder="1"/>
    <xf numFmtId="43" fontId="4" fillId="5" borderId="14" xfId="1" applyFont="1" applyFill="1" applyBorder="1"/>
    <xf numFmtId="0" fontId="3" fillId="0" borderId="28" xfId="0" applyFont="1" applyBorder="1"/>
    <xf numFmtId="43" fontId="3" fillId="0" borderId="26" xfId="1" applyFont="1" applyBorder="1"/>
    <xf numFmtId="43" fontId="4" fillId="4" borderId="0" xfId="1" applyFont="1" applyFill="1" applyBorder="1"/>
    <xf numFmtId="43" fontId="3" fillId="4" borderId="0" xfId="1" applyFont="1" applyFill="1" applyBorder="1"/>
    <xf numFmtId="0" fontId="3" fillId="4" borderId="10" xfId="0" applyFont="1" applyFill="1" applyBorder="1"/>
    <xf numFmtId="43" fontId="3" fillId="0" borderId="29" xfId="1" applyFont="1" applyFill="1" applyBorder="1"/>
    <xf numFmtId="43" fontId="4" fillId="5" borderId="9" xfId="1" applyFont="1" applyFill="1" applyBorder="1"/>
    <xf numFmtId="43" fontId="3" fillId="0" borderId="5" xfId="1" applyFont="1" applyFill="1" applyBorder="1"/>
    <xf numFmtId="43" fontId="4" fillId="7" borderId="8" xfId="1" applyFont="1" applyFill="1" applyBorder="1"/>
    <xf numFmtId="43" fontId="4" fillId="7" borderId="9" xfId="1" applyFont="1" applyFill="1" applyBorder="1"/>
    <xf numFmtId="43" fontId="10" fillId="4" borderId="16" xfId="1" applyFont="1" applyFill="1" applyBorder="1"/>
    <xf numFmtId="43" fontId="10" fillId="4" borderId="32" xfId="1" applyFont="1" applyFill="1" applyBorder="1"/>
    <xf numFmtId="43" fontId="6" fillId="7" borderId="9" xfId="1" applyFont="1" applyFill="1" applyBorder="1"/>
    <xf numFmtId="43" fontId="3" fillId="4" borderId="24" xfId="1" applyFont="1" applyFill="1" applyBorder="1"/>
    <xf numFmtId="43" fontId="0" fillId="4" borderId="0" xfId="0" applyNumberFormat="1" applyFill="1"/>
    <xf numFmtId="43" fontId="3" fillId="4" borderId="0" xfId="0" applyNumberFormat="1" applyFont="1" applyFill="1"/>
    <xf numFmtId="0" fontId="2" fillId="4" borderId="0" xfId="0" applyFont="1" applyFill="1"/>
    <xf numFmtId="43" fontId="3" fillId="0" borderId="31" xfId="1" applyFont="1" applyBorder="1"/>
    <xf numFmtId="43" fontId="5" fillId="0" borderId="4" xfId="1" applyFont="1" applyBorder="1"/>
    <xf numFmtId="43" fontId="5" fillId="0" borderId="5" xfId="1" applyFont="1" applyFill="1" applyBorder="1"/>
    <xf numFmtId="43" fontId="5" fillId="0" borderId="5" xfId="1" applyFont="1" applyBorder="1"/>
    <xf numFmtId="43" fontId="5" fillId="0" borderId="14" xfId="1" applyFont="1" applyBorder="1"/>
    <xf numFmtId="43" fontId="10" fillId="4" borderId="5" xfId="1" applyFont="1" applyFill="1" applyBorder="1"/>
    <xf numFmtId="0" fontId="4" fillId="7" borderId="7" xfId="0" applyFont="1" applyFill="1" applyBorder="1"/>
    <xf numFmtId="43" fontId="22" fillId="3" borderId="8" xfId="1" applyFont="1" applyFill="1" applyBorder="1"/>
    <xf numFmtId="22" fontId="0" fillId="0" borderId="0" xfId="0" applyNumberFormat="1"/>
    <xf numFmtId="2" fontId="0" fillId="0" borderId="0" xfId="0" applyNumberFormat="1"/>
    <xf numFmtId="17" fontId="0" fillId="0" borderId="0" xfId="0" applyNumberFormat="1"/>
    <xf numFmtId="43" fontId="1" fillId="0" borderId="0" xfId="1" applyFont="1"/>
    <xf numFmtId="43" fontId="24" fillId="3" borderId="8" xfId="1" applyFont="1" applyFill="1" applyBorder="1"/>
    <xf numFmtId="43" fontId="7" fillId="3" borderId="8" xfId="1" applyFont="1" applyFill="1" applyBorder="1"/>
    <xf numFmtId="0" fontId="5" fillId="0" borderId="0" xfId="0" applyFont="1"/>
    <xf numFmtId="43" fontId="6" fillId="7" borderId="8" xfId="1" applyFont="1" applyFill="1" applyBorder="1"/>
    <xf numFmtId="43" fontId="21" fillId="4" borderId="16" xfId="1" applyFont="1" applyFill="1" applyBorder="1"/>
    <xf numFmtId="43" fontId="6" fillId="4" borderId="0" xfId="1" applyFont="1" applyFill="1" applyBorder="1"/>
    <xf numFmtId="43" fontId="5" fillId="0" borderId="6" xfId="1" applyFont="1" applyFill="1" applyBorder="1"/>
    <xf numFmtId="0" fontId="25" fillId="0" borderId="0" xfId="0" applyFont="1"/>
    <xf numFmtId="0" fontId="25" fillId="4" borderId="0" xfId="0" applyFont="1" applyFill="1"/>
    <xf numFmtId="43" fontId="6" fillId="5" borderId="8" xfId="1" applyFont="1" applyFill="1" applyBorder="1"/>
    <xf numFmtId="0" fontId="10" fillId="9" borderId="12" xfId="0" applyFont="1" applyFill="1" applyBorder="1"/>
    <xf numFmtId="0" fontId="10" fillId="9" borderId="10" xfId="0" applyFont="1" applyFill="1" applyBorder="1"/>
    <xf numFmtId="0" fontId="10" fillId="2" borderId="10" xfId="0" applyFont="1" applyFill="1" applyBorder="1"/>
    <xf numFmtId="0" fontId="10" fillId="10" borderId="10" xfId="0" applyFont="1" applyFill="1" applyBorder="1"/>
    <xf numFmtId="0" fontId="10" fillId="10" borderId="4" xfId="0" applyFont="1" applyFill="1" applyBorder="1"/>
    <xf numFmtId="43" fontId="5" fillId="4" borderId="4" xfId="1" applyFont="1" applyFill="1" applyBorder="1"/>
    <xf numFmtId="0" fontId="7" fillId="4" borderId="0" xfId="0" applyFont="1" applyFill="1"/>
    <xf numFmtId="0" fontId="23" fillId="4" borderId="0" xfId="0" applyFont="1" applyFill="1"/>
    <xf numFmtId="0" fontId="19" fillId="4" borderId="0" xfId="0" applyFont="1" applyFill="1"/>
    <xf numFmtId="49" fontId="7" fillId="4" borderId="0" xfId="0" applyNumberFormat="1" applyFont="1" applyFill="1"/>
    <xf numFmtId="3" fontId="0" fillId="4" borderId="0" xfId="0" applyNumberFormat="1" applyFill="1"/>
    <xf numFmtId="164" fontId="0" fillId="4" borderId="0" xfId="0" applyNumberFormat="1" applyFill="1"/>
    <xf numFmtId="0" fontId="5" fillId="4" borderId="0" xfId="0" applyFont="1" applyFill="1"/>
    <xf numFmtId="43" fontId="3" fillId="7" borderId="25" xfId="1" applyFont="1" applyFill="1" applyBorder="1"/>
    <xf numFmtId="43" fontId="3" fillId="7" borderId="11" xfId="1" applyFont="1" applyFill="1" applyBorder="1"/>
    <xf numFmtId="43" fontId="3" fillId="7" borderId="26" xfId="1" applyFont="1" applyFill="1" applyBorder="1"/>
    <xf numFmtId="43" fontId="3" fillId="7" borderId="31" xfId="1" applyFont="1" applyFill="1" applyBorder="1"/>
    <xf numFmtId="43" fontId="10" fillId="0" borderId="6" xfId="1" applyFont="1" applyFill="1" applyBorder="1"/>
    <xf numFmtId="0" fontId="8" fillId="0" borderId="0" xfId="2"/>
    <xf numFmtId="43" fontId="8" fillId="0" borderId="0" xfId="1"/>
    <xf numFmtId="43" fontId="6" fillId="7" borderId="29" xfId="1" applyFont="1" applyFill="1" applyBorder="1"/>
    <xf numFmtId="43" fontId="10" fillId="0" borderId="24" xfId="1" applyFont="1" applyFill="1" applyBorder="1"/>
    <xf numFmtId="43" fontId="10" fillId="0" borderId="5" xfId="1" applyFont="1" applyFill="1" applyBorder="1"/>
    <xf numFmtId="43" fontId="10" fillId="0" borderId="16" xfId="1" applyFont="1" applyFill="1" applyBorder="1"/>
    <xf numFmtId="43" fontId="18" fillId="0" borderId="0" xfId="1" applyFont="1" applyFill="1"/>
    <xf numFmtId="43" fontId="3" fillId="4" borderId="0" xfId="1" applyFont="1" applyFill="1"/>
    <xf numFmtId="0" fontId="18" fillId="4" borderId="0" xfId="0" applyFont="1" applyFill="1"/>
    <xf numFmtId="43" fontId="9" fillId="4" borderId="0" xfId="1" applyFont="1" applyFill="1"/>
    <xf numFmtId="0" fontId="9" fillId="4" borderId="0" xfId="0" applyFont="1" applyFill="1"/>
    <xf numFmtId="43" fontId="26" fillId="4" borderId="0" xfId="1" applyFont="1" applyFill="1"/>
    <xf numFmtId="43" fontId="5" fillId="0" borderId="16" xfId="1" applyFont="1" applyFill="1" applyBorder="1"/>
    <xf numFmtId="43" fontId="8" fillId="0" borderId="0" xfId="1" applyFont="1"/>
    <xf numFmtId="43" fontId="12" fillId="7" borderId="8" xfId="1" applyFont="1" applyFill="1" applyBorder="1"/>
    <xf numFmtId="43" fontId="11" fillId="5" borderId="8" xfId="1" applyFont="1" applyFill="1" applyBorder="1"/>
    <xf numFmtId="43" fontId="5" fillId="4" borderId="6" xfId="1" applyFont="1" applyFill="1" applyBorder="1"/>
    <xf numFmtId="43" fontId="7" fillId="5" borderId="8" xfId="1" applyFont="1" applyFill="1" applyBorder="1"/>
    <xf numFmtId="43" fontId="25" fillId="4" borderId="0" xfId="1" applyFont="1" applyFill="1"/>
    <xf numFmtId="43" fontId="25" fillId="0" borderId="0" xfId="1" applyFont="1"/>
    <xf numFmtId="43" fontId="10" fillId="0" borderId="14" xfId="1" applyFont="1" applyFill="1" applyBorder="1"/>
    <xf numFmtId="43" fontId="5" fillId="4" borderId="0" xfId="0" applyNumberFormat="1" applyFont="1" applyFill="1"/>
    <xf numFmtId="43" fontId="4" fillId="4" borderId="0" xfId="1" applyFont="1" applyFill="1"/>
    <xf numFmtId="43" fontId="5" fillId="4" borderId="0" xfId="1" applyFont="1" applyFill="1"/>
    <xf numFmtId="43" fontId="25" fillId="0" borderId="0" xfId="1" applyFont="1" applyBorder="1"/>
    <xf numFmtId="43" fontId="8" fillId="4" borderId="0" xfId="1" applyFont="1" applyFill="1"/>
    <xf numFmtId="43" fontId="8" fillId="0" borderId="0" xfId="1" applyFont="1" applyBorder="1"/>
    <xf numFmtId="0" fontId="28" fillId="4" borderId="0" xfId="0" applyFont="1" applyFill="1"/>
    <xf numFmtId="0" fontId="27" fillId="4" borderId="0" xfId="0" applyFont="1" applyFill="1"/>
    <xf numFmtId="43" fontId="11" fillId="3" borderId="8" xfId="1" applyFont="1" applyFill="1" applyBorder="1"/>
    <xf numFmtId="43" fontId="16" fillId="0" borderId="24" xfId="1" applyFont="1" applyFill="1" applyBorder="1"/>
    <xf numFmtId="43" fontId="21" fillId="4" borderId="4" xfId="1" applyFont="1" applyFill="1" applyBorder="1"/>
    <xf numFmtId="43" fontId="5" fillId="4" borderId="24" xfId="1" applyFont="1" applyFill="1" applyBorder="1"/>
    <xf numFmtId="43" fontId="5" fillId="0" borderId="24" xfId="1" applyFont="1" applyBorder="1"/>
    <xf numFmtId="0" fontId="2" fillId="2" borderId="35" xfId="0" applyFont="1" applyFill="1" applyBorder="1" applyAlignment="1">
      <alignment horizontal="center" vertical="center"/>
    </xf>
    <xf numFmtId="43" fontId="5" fillId="4" borderId="36" xfId="1" applyFont="1" applyFill="1" applyBorder="1"/>
    <xf numFmtId="43" fontId="25" fillId="0" borderId="37" xfId="1" applyFont="1" applyBorder="1"/>
    <xf numFmtId="43" fontId="5" fillId="4" borderId="38" xfId="1" applyFont="1" applyFill="1" applyBorder="1"/>
    <xf numFmtId="43" fontId="25" fillId="0" borderId="38" xfId="1" applyFont="1" applyBorder="1"/>
    <xf numFmtId="43" fontId="21" fillId="4" borderId="37" xfId="1" applyFont="1" applyFill="1" applyBorder="1"/>
    <xf numFmtId="43" fontId="5" fillId="4" borderId="37" xfId="1" applyFont="1" applyFill="1" applyBorder="1"/>
    <xf numFmtId="43" fontId="6" fillId="5" borderId="35" xfId="1" applyFont="1" applyFill="1" applyBorder="1"/>
    <xf numFmtId="0" fontId="2" fillId="2" borderId="34" xfId="0" applyFont="1" applyFill="1" applyBorder="1" applyAlignment="1">
      <alignment horizontal="center" vertical="center"/>
    </xf>
    <xf numFmtId="43" fontId="3" fillId="2" borderId="39" xfId="1" applyFont="1" applyFill="1" applyBorder="1"/>
    <xf numFmtId="43" fontId="3" fillId="2" borderId="40" xfId="1" applyFont="1" applyFill="1" applyBorder="1"/>
    <xf numFmtId="43" fontId="4" fillId="5" borderId="34" xfId="1" applyFont="1" applyFill="1" applyBorder="1"/>
    <xf numFmtId="43" fontId="7" fillId="3" borderId="35" xfId="1" applyFont="1" applyFill="1" applyBorder="1"/>
    <xf numFmtId="43" fontId="2" fillId="3" borderId="34" xfId="1" applyFont="1" applyFill="1" applyBorder="1"/>
    <xf numFmtId="0" fontId="3" fillId="4" borderId="30" xfId="0" applyFont="1" applyFill="1" applyBorder="1"/>
    <xf numFmtId="43" fontId="3" fillId="7" borderId="13" xfId="1" applyFont="1" applyFill="1" applyBorder="1"/>
    <xf numFmtId="43" fontId="10" fillId="4" borderId="24" xfId="1" applyFont="1" applyFill="1" applyBorder="1"/>
    <xf numFmtId="43" fontId="10" fillId="0" borderId="29" xfId="1" applyFont="1" applyFill="1" applyBorder="1"/>
    <xf numFmtId="43" fontId="3" fillId="4" borderId="29" xfId="1" applyFont="1" applyFill="1" applyBorder="1"/>
    <xf numFmtId="49" fontId="2" fillId="4" borderId="0" xfId="0" applyNumberFormat="1" applyFont="1" applyFill="1"/>
    <xf numFmtId="0" fontId="29" fillId="4" borderId="0" xfId="0" applyFont="1" applyFill="1"/>
    <xf numFmtId="0" fontId="30" fillId="4" borderId="0" xfId="0" applyFont="1" applyFill="1"/>
    <xf numFmtId="0" fontId="11" fillId="4" borderId="0" xfId="0" applyFont="1" applyFill="1"/>
    <xf numFmtId="43" fontId="12" fillId="0" borderId="4" xfId="1" applyFont="1" applyFill="1" applyBorder="1"/>
    <xf numFmtId="43" fontId="31" fillId="0" borderId="4" xfId="1" applyFont="1" applyBorder="1"/>
    <xf numFmtId="0" fontId="27" fillId="13" borderId="0" xfId="0" applyFont="1" applyFill="1"/>
    <xf numFmtId="0" fontId="4" fillId="7" borderId="28" xfId="0" applyFont="1" applyFill="1" applyBorder="1" applyAlignment="1">
      <alignment horizontal="right"/>
    </xf>
    <xf numFmtId="0" fontId="17" fillId="3" borderId="7" xfId="0" applyFont="1" applyFill="1" applyBorder="1" applyAlignment="1">
      <alignment horizontal="right"/>
    </xf>
    <xf numFmtId="0" fontId="2" fillId="5" borderId="15" xfId="0" applyFont="1" applyFill="1" applyBorder="1" applyAlignment="1">
      <alignment horizontal="right"/>
    </xf>
    <xf numFmtId="0" fontId="32" fillId="4" borderId="0" xfId="0" applyFont="1" applyFill="1"/>
    <xf numFmtId="43" fontId="18" fillId="4" borderId="0" xfId="1" applyFont="1" applyFill="1"/>
    <xf numFmtId="43" fontId="18" fillId="0" borderId="0" xfId="1" applyFont="1"/>
    <xf numFmtId="43" fontId="33" fillId="3" borderId="9" xfId="1" applyFont="1" applyFill="1" applyBorder="1"/>
    <xf numFmtId="43" fontId="10" fillId="0" borderId="14" xfId="1" applyFont="1" applyBorder="1"/>
    <xf numFmtId="43" fontId="34" fillId="3" borderId="8" xfId="1" applyFont="1" applyFill="1" applyBorder="1"/>
    <xf numFmtId="43" fontId="4" fillId="4" borderId="8" xfId="1" applyFont="1" applyFill="1" applyBorder="1"/>
    <xf numFmtId="43" fontId="4" fillId="4" borderId="29" xfId="1" applyFont="1" applyFill="1" applyBorder="1"/>
    <xf numFmtId="164" fontId="13" fillId="4" borderId="0" xfId="0" applyNumberFormat="1" applyFont="1" applyFill="1" applyAlignment="1">
      <alignment horizontal="center"/>
    </xf>
    <xf numFmtId="164" fontId="13" fillId="4" borderId="0" xfId="0" applyNumberFormat="1" applyFont="1" applyFill="1" applyAlignment="1">
      <alignment horizontal="right"/>
    </xf>
    <xf numFmtId="164" fontId="25" fillId="4" borderId="0" xfId="0" applyNumberFormat="1" applyFont="1" applyFill="1"/>
    <xf numFmtId="0" fontId="13" fillId="4" borderId="0" xfId="0" applyFont="1" applyFill="1" applyAlignment="1">
      <alignment horizontal="center"/>
    </xf>
    <xf numFmtId="43" fontId="36" fillId="3" borderId="8" xfId="1" applyFont="1" applyFill="1" applyBorder="1"/>
    <xf numFmtId="43" fontId="3" fillId="4" borderId="4" xfId="1" applyFont="1" applyFill="1" applyBorder="1" applyAlignment="1">
      <alignment horizontal="right"/>
    </xf>
    <xf numFmtId="43" fontId="3" fillId="7" borderId="8" xfId="1" applyFont="1" applyFill="1" applyBorder="1"/>
    <xf numFmtId="43" fontId="3" fillId="7" borderId="29" xfId="1" applyFont="1" applyFill="1" applyBorder="1"/>
    <xf numFmtId="43" fontId="4" fillId="9" borderId="4" xfId="1" applyFont="1" applyFill="1" applyBorder="1"/>
    <xf numFmtId="43" fontId="3" fillId="9" borderId="4" xfId="1" applyFont="1" applyFill="1" applyBorder="1"/>
    <xf numFmtId="43" fontId="5" fillId="9" borderId="4" xfId="1" applyFont="1" applyFill="1" applyBorder="1"/>
    <xf numFmtId="43" fontId="12" fillId="4" borderId="4" xfId="1" applyFont="1" applyFill="1" applyBorder="1"/>
    <xf numFmtId="0" fontId="37" fillId="0" borderId="0" xfId="0" applyFont="1"/>
    <xf numFmtId="0" fontId="3" fillId="9" borderId="10" xfId="0" applyFont="1" applyFill="1" applyBorder="1"/>
    <xf numFmtId="43" fontId="3" fillId="4" borderId="11" xfId="1" applyFont="1" applyFill="1" applyBorder="1"/>
    <xf numFmtId="0" fontId="3" fillId="9" borderId="23" xfId="0" applyFont="1" applyFill="1" applyBorder="1"/>
    <xf numFmtId="4" fontId="1" fillId="0" borderId="0" xfId="0" applyNumberFormat="1" applyFont="1"/>
    <xf numFmtId="43" fontId="4" fillId="4" borderId="4" xfId="1" applyFont="1" applyFill="1" applyBorder="1"/>
    <xf numFmtId="0" fontId="3" fillId="4" borderId="23" xfId="0" applyFont="1" applyFill="1" applyBorder="1"/>
    <xf numFmtId="43" fontId="38" fillId="5" borderId="8" xfId="1" applyFont="1" applyFill="1" applyBorder="1"/>
    <xf numFmtId="43" fontId="12" fillId="0" borderId="29" xfId="1" applyFont="1" applyFill="1" applyBorder="1"/>
    <xf numFmtId="43" fontId="4" fillId="7" borderId="14" xfId="1" applyFont="1" applyFill="1" applyBorder="1"/>
    <xf numFmtId="43" fontId="12" fillId="7" borderId="14" xfId="1" applyFont="1" applyFill="1" applyBorder="1"/>
    <xf numFmtId="43" fontId="4" fillId="4" borderId="14" xfId="1" applyFont="1" applyFill="1" applyBorder="1"/>
    <xf numFmtId="43" fontId="6" fillId="7" borderId="14" xfId="1" applyFont="1" applyFill="1" applyBorder="1"/>
    <xf numFmtId="43" fontId="4" fillId="7" borderId="22" xfId="1" applyFont="1" applyFill="1" applyBorder="1"/>
    <xf numFmtId="0" fontId="3" fillId="4" borderId="28" xfId="0" applyFont="1" applyFill="1" applyBorder="1"/>
    <xf numFmtId="43" fontId="5" fillId="0" borderId="29" xfId="1" applyFont="1" applyBorder="1"/>
    <xf numFmtId="0" fontId="2" fillId="7" borderId="15" xfId="0" applyFont="1" applyFill="1" applyBorder="1" applyAlignment="1">
      <alignment horizontal="right"/>
    </xf>
    <xf numFmtId="43" fontId="39" fillId="3" borderId="9" xfId="1" applyFont="1" applyFill="1" applyBorder="1"/>
    <xf numFmtId="43" fontId="0" fillId="0" borderId="0" xfId="1" applyFont="1" applyBorder="1"/>
    <xf numFmtId="0" fontId="4" fillId="7" borderId="15" xfId="0" applyFont="1" applyFill="1" applyBorder="1" applyAlignment="1">
      <alignment horizontal="right"/>
    </xf>
    <xf numFmtId="43" fontId="40" fillId="3" borderId="8" xfId="1" applyFont="1" applyFill="1" applyBorder="1"/>
    <xf numFmtId="0" fontId="13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11" borderId="21" xfId="0" applyFont="1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colors>
    <mruColors>
      <color rgb="FFFFCCCC"/>
      <color rgb="FF0000FF"/>
      <color rgb="FF00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Q40"/>
  <sheetViews>
    <sheetView showGridLines="0" topLeftCell="A10" zoomScaleNormal="100" zoomScaleSheetLayoutView="90" workbookViewId="0">
      <selection activeCell="B20" sqref="B20"/>
    </sheetView>
  </sheetViews>
  <sheetFormatPr defaultColWidth="11.44140625" defaultRowHeight="14.4" x14ac:dyDescent="0.3"/>
  <cols>
    <col min="1" max="1" width="42.88671875" customWidth="1"/>
    <col min="2" max="2" width="22.109375" customWidth="1"/>
    <col min="3" max="3" width="22.44140625" customWidth="1"/>
    <col min="4" max="4" width="23.5546875" customWidth="1"/>
    <col min="5" max="5" width="20.5546875" style="102" customWidth="1"/>
    <col min="6" max="6" width="23.33203125" customWidth="1"/>
    <col min="7" max="7" width="21.6640625" customWidth="1"/>
    <col min="8" max="8" width="20.88671875" customWidth="1"/>
    <col min="9" max="9" width="19.109375" customWidth="1"/>
    <col min="10" max="10" width="20" style="102" hidden="1" customWidth="1"/>
    <col min="11" max="11" width="20.33203125" style="102" hidden="1" customWidth="1"/>
    <col min="12" max="12" width="20.6640625" hidden="1" customWidth="1"/>
    <col min="13" max="13" width="24.44140625" hidden="1" customWidth="1"/>
    <col min="14" max="14" width="24.33203125" customWidth="1"/>
    <col min="15" max="15" width="2.33203125" customWidth="1"/>
    <col min="16" max="16" width="13.33203125" bestFit="1" customWidth="1"/>
    <col min="17" max="17" width="13.109375" bestFit="1" customWidth="1"/>
  </cols>
  <sheetData>
    <row r="1" spans="1:15" ht="20.100000000000001" customHeight="1" thickBot="1" x14ac:dyDescent="0.35">
      <c r="A1" s="1"/>
      <c r="B1" s="1"/>
      <c r="C1" s="1"/>
      <c r="D1" s="1"/>
      <c r="E1" s="97"/>
      <c r="F1" s="1"/>
      <c r="G1" s="1"/>
      <c r="H1" s="1"/>
      <c r="I1" s="1"/>
      <c r="O1" s="14"/>
    </row>
    <row r="2" spans="1:15" ht="21.75" customHeight="1" thickBot="1" x14ac:dyDescent="0.35">
      <c r="A2" s="230" t="s">
        <v>102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2"/>
      <c r="O2" s="14"/>
    </row>
    <row r="3" spans="1:15" ht="11.25" customHeight="1" thickBot="1" x14ac:dyDescent="0.35">
      <c r="A3" s="1"/>
      <c r="B3" s="1"/>
      <c r="C3" s="2"/>
      <c r="D3" s="1"/>
      <c r="E3" s="97"/>
      <c r="F3" s="1"/>
      <c r="G3" s="1"/>
      <c r="H3" s="1"/>
      <c r="I3" s="1"/>
      <c r="O3" s="14"/>
    </row>
    <row r="4" spans="1:15" ht="18" customHeight="1" x14ac:dyDescent="0.3">
      <c r="A4" s="233" t="s">
        <v>93</v>
      </c>
      <c r="B4" s="235" t="s">
        <v>47</v>
      </c>
      <c r="C4" s="236" t="s">
        <v>48</v>
      </c>
      <c r="D4" s="236" t="s">
        <v>49</v>
      </c>
      <c r="E4" s="236" t="s">
        <v>2</v>
      </c>
      <c r="F4" s="236" t="s">
        <v>36</v>
      </c>
      <c r="G4" s="236" t="s">
        <v>68</v>
      </c>
      <c r="H4" s="236" t="s">
        <v>69</v>
      </c>
      <c r="I4" s="236" t="s">
        <v>38</v>
      </c>
      <c r="J4" s="236" t="s">
        <v>39</v>
      </c>
      <c r="K4" s="236" t="s">
        <v>60</v>
      </c>
      <c r="L4" s="236" t="s">
        <v>42</v>
      </c>
      <c r="M4" s="236" t="s">
        <v>63</v>
      </c>
      <c r="N4" s="238" t="s">
        <v>7</v>
      </c>
      <c r="O4" s="14"/>
    </row>
    <row r="5" spans="1:15" ht="30" customHeight="1" thickBot="1" x14ac:dyDescent="0.35">
      <c r="A5" s="234"/>
      <c r="B5" s="234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9"/>
      <c r="O5" s="14"/>
    </row>
    <row r="6" spans="1:15" ht="18" customHeight="1" x14ac:dyDescent="0.3">
      <c r="A6" s="23" t="s">
        <v>21</v>
      </c>
      <c r="B6" s="25">
        <f>+SUM('BT MOQUEGUA MEC '!B5:B6)+'BT TABLONES JN'!B5</f>
        <v>1041229.75</v>
      </c>
      <c r="C6" s="25">
        <f>+SUM('BT MOQUEGUA MEC '!C5:C6)+'BT TABLONES JN'!C5</f>
        <v>1827319</v>
      </c>
      <c r="D6" s="25">
        <f>+SUM('BT MOQUEGUA MEC '!D5:D6)+'BT TABLONES JN'!D5</f>
        <v>1992698</v>
      </c>
      <c r="E6" s="25">
        <f>+SUM('BT MOQUEGUA MEC '!E5:E6)+'BT TABLONES JN'!E5</f>
        <v>1361977.19</v>
      </c>
      <c r="F6" s="25">
        <f>+SUM('BT MOQUEGUA MEC '!F5:F6)+'BT TABLONES JN'!F5+'BT HUEMUL-CONCON TRADER'!F5</f>
        <v>2170960</v>
      </c>
      <c r="G6" s="25">
        <f>+SUM('BT MOQUEGUA MEC '!G5:G6)+'BT TABLONES JN'!G5+'BT HUEMUL-CONCON TRADER'!G5</f>
        <v>2439971.5300000003</v>
      </c>
      <c r="H6" s="25">
        <f>+SUM('BT MOQUEGUA MEC '!H5:H6)+'BT TABLONES JN'!H5</f>
        <v>1826435</v>
      </c>
      <c r="I6" s="25">
        <f>+SUM('BT MOQUEGUA MEC '!I5:I6)+'BT TABLONES JN'!I5</f>
        <v>0</v>
      </c>
      <c r="J6" s="25">
        <f>+SUM('BT MOQUEGUA MEC '!J5:J6)+'BT TABLONES JN'!J5</f>
        <v>0</v>
      </c>
      <c r="K6" s="25">
        <f>+SUM('BT MOQUEGUA MEC '!K5:K6)+'BT TABLONES JN'!K5</f>
        <v>0</v>
      </c>
      <c r="L6" s="25">
        <f>+SUM('BT MOQUEGUA MEC '!L5:L6)+'BT TABLONES JN'!L5</f>
        <v>0</v>
      </c>
      <c r="M6" s="79">
        <f>+SUM('BT MOQUEGUA MEC '!M5:M6)+'BT TABLONES JN'!M5</f>
        <v>0</v>
      </c>
      <c r="N6" s="118">
        <f>SUM(B6:M6)</f>
        <v>12660590.469999999</v>
      </c>
      <c r="O6" s="14"/>
    </row>
    <row r="7" spans="1:15" ht="18" customHeight="1" x14ac:dyDescent="0.3">
      <c r="A7" s="4" t="s">
        <v>20</v>
      </c>
      <c r="B7" s="47">
        <f>+SUM('BT MOQUEGUA MEC '!B7:B9)+'BT TABLONES JN'!B6+'BT TABLONES JN'!B7</f>
        <v>76148</v>
      </c>
      <c r="C7" s="47">
        <f>+SUM('BT MOQUEGUA MEC '!C7:C9)+'BT TABLONES JN'!C6+'BT TABLONES JN'!C7</f>
        <v>68523</v>
      </c>
      <c r="D7" s="47">
        <f>+SUM('BT MOQUEGUA MEC '!D7:D9)+'BT TABLONES JN'!D6+'BT TABLONES JN'!D7</f>
        <v>103740</v>
      </c>
      <c r="E7" s="47">
        <f>+SUM('BT MOQUEGUA MEC '!E7:E9)+'BT TABLONES JN'!E6+'BT TABLONES JN'!E7</f>
        <v>76378</v>
      </c>
      <c r="F7" s="47">
        <f>+SUM('BT MOQUEGUA MEC '!F7:F9)+'BT TABLONES JN'!F6+'BT TABLONES JN'!F7</f>
        <v>66224</v>
      </c>
      <c r="G7" s="47">
        <f>+SUM('BT MOQUEGUA MEC '!G7:G9)+'BT TABLONES JN'!G6+'BT TABLONES JN'!G7</f>
        <v>104100</v>
      </c>
      <c r="H7" s="47">
        <f>+SUM('BT MOQUEGUA MEC '!H7:H9)+'BT TABLONES JN'!H6+'BT TABLONES JN'!H7</f>
        <v>82000</v>
      </c>
      <c r="I7" s="47">
        <f>+SUM('BT MOQUEGUA MEC '!I7:I9)+'BT TABLONES JN'!I6+'BT TABLONES JN'!I7</f>
        <v>0</v>
      </c>
      <c r="J7" s="47">
        <f>+SUM('BT MOQUEGUA MEC '!J7:J9)+'BT TABLONES JN'!J6+'BT TABLONES JN'!J7</f>
        <v>0</v>
      </c>
      <c r="K7" s="47">
        <f>+SUM('BT MOQUEGUA MEC '!K7:K9)+'BT TABLONES JN'!K6+'BT TABLONES JN'!K7</f>
        <v>0</v>
      </c>
      <c r="L7" s="47">
        <f>+SUM('BT MOQUEGUA MEC '!L7:L9)+'BT TABLONES JN'!L6+'BT TABLONES JN'!L7</f>
        <v>0</v>
      </c>
      <c r="M7" s="55">
        <f>+SUM('BT MOQUEGUA MEC '!M7:M9)+'BT TABLONES JN'!M6+'BT TABLONES JN'!M7</f>
        <v>0</v>
      </c>
      <c r="N7" s="119">
        <f t="shared" ref="N7:N10" si="0">SUM(B7:M7)</f>
        <v>577113</v>
      </c>
      <c r="O7" s="14"/>
    </row>
    <row r="8" spans="1:15" ht="18" customHeight="1" x14ac:dyDescent="0.3">
      <c r="A8" s="4" t="s">
        <v>41</v>
      </c>
      <c r="B8" s="47">
        <f>+'BT MOQUEGUA MEC '!B10+'BT MOQUEGUA MEC '!B11+'BT TABLONES JN'!B8</f>
        <v>604689</v>
      </c>
      <c r="C8" s="47">
        <f>+SUM('BT MOQUEGUA MEC '!C10:C11)+'BT TABLONES JN'!C8</f>
        <v>215350</v>
      </c>
      <c r="D8" s="47">
        <f>+SUM('BT MOQUEGUA MEC '!D10:D11)+'BT TABLONES JN'!D8</f>
        <v>562537</v>
      </c>
      <c r="E8" s="47">
        <f>+SUM('BT MOQUEGUA MEC '!E10:E11)+'BT TABLONES JN'!E8</f>
        <v>484965</v>
      </c>
      <c r="F8" s="47">
        <f>+SUM('BT MOQUEGUA MEC '!F10:F11)+'BT TABLONES JN'!F8+'BT HUEMUL-CONCON TRADER'!F8</f>
        <v>465646</v>
      </c>
      <c r="G8" s="47">
        <f>+SUM('BT MOQUEGUA MEC '!G10:G11)+'BT TABLONES JN'!G8</f>
        <v>185299.47999999998</v>
      </c>
      <c r="H8" s="47">
        <f>+SUM('BT MOQUEGUA MEC '!H10:H11)+'BT TABLONES JN'!H8</f>
        <v>100000</v>
      </c>
      <c r="I8" s="47">
        <f>+SUM('BT MOQUEGUA MEC '!I10:I11)+'BT TABLONES JN'!I8</f>
        <v>0</v>
      </c>
      <c r="J8" s="47">
        <f>+SUM('BT MOQUEGUA MEC '!J10:J11)+'BT TABLONES JN'!J8</f>
        <v>0</v>
      </c>
      <c r="K8" s="47">
        <f>+SUM('BT MOQUEGUA MEC '!K10:K11)+'BT TABLONES JN'!K8</f>
        <v>0</v>
      </c>
      <c r="L8" s="47">
        <f>+SUM('BT MOQUEGUA MEC '!L10:L11)+'BT TABLONES JN'!L8</f>
        <v>0</v>
      </c>
      <c r="M8" s="55">
        <f>+SUM('BT MOQUEGUA MEC '!M10:M11)+'BT TABLONES JN'!M8</f>
        <v>0</v>
      </c>
      <c r="N8" s="119">
        <f t="shared" si="0"/>
        <v>2618486.48</v>
      </c>
      <c r="O8" s="14"/>
    </row>
    <row r="9" spans="1:15" ht="18" customHeight="1" x14ac:dyDescent="0.3">
      <c r="A9" s="4" t="s">
        <v>59</v>
      </c>
      <c r="B9" s="18">
        <f>+'BT TABLONES JN'!B9</f>
        <v>0</v>
      </c>
      <c r="C9" s="18">
        <f>+'BT TABLONES JN'!C9</f>
        <v>0</v>
      </c>
      <c r="D9" s="18">
        <f>+'BT TABLONES JN'!D9</f>
        <v>0</v>
      </c>
      <c r="E9" s="84">
        <f>+'BT TABLONES JN'!E9</f>
        <v>0</v>
      </c>
      <c r="F9" s="18">
        <f>+'BT TABLONES JN'!F9</f>
        <v>0</v>
      </c>
      <c r="G9" s="18">
        <f>+'BT TABLONES JN'!G9</f>
        <v>0</v>
      </c>
      <c r="H9" s="18">
        <f>+'BT TABLONES JN'!H9</f>
        <v>0</v>
      </c>
      <c r="I9" s="18">
        <f>+'BT TABLONES JN'!I9</f>
        <v>0</v>
      </c>
      <c r="J9" s="18">
        <f>+'BT TABLONES JN'!J9</f>
        <v>0</v>
      </c>
      <c r="K9" s="18">
        <f>+'BT TABLONES JN'!K9</f>
        <v>0</v>
      </c>
      <c r="L9" s="18">
        <f>+'BT TABLONES JN'!L9</f>
        <v>0</v>
      </c>
      <c r="M9" s="52">
        <f>+'BT TABLONES JN'!M9</f>
        <v>0</v>
      </c>
      <c r="N9" s="119">
        <f t="shared" si="0"/>
        <v>0</v>
      </c>
      <c r="O9" s="14"/>
    </row>
    <row r="10" spans="1:15" ht="18" customHeight="1" thickBot="1" x14ac:dyDescent="0.35">
      <c r="A10" s="66" t="s">
        <v>19</v>
      </c>
      <c r="B10" s="57">
        <f>+'BT TABLONES JN'!B11</f>
        <v>0</v>
      </c>
      <c r="C10" s="57">
        <f>+'BT TABLONES JN'!C11</f>
        <v>0</v>
      </c>
      <c r="D10" s="57">
        <f>+'BT TABLONES JN'!D11</f>
        <v>0</v>
      </c>
      <c r="E10" s="87">
        <f>+'BT TABLONES JN'!E11</f>
        <v>0</v>
      </c>
      <c r="F10" s="57">
        <f>+'BT TABLONES JN'!F11</f>
        <v>0</v>
      </c>
      <c r="G10" s="57">
        <f>+'BT TABLONES JN'!G11</f>
        <v>0</v>
      </c>
      <c r="H10" s="57">
        <f>+'BT TABLONES JN'!H11</f>
        <v>0</v>
      </c>
      <c r="I10" s="57">
        <f>+'BT TABLONES JN'!I11</f>
        <v>0</v>
      </c>
      <c r="J10" s="57">
        <f>+'BT TABLONES JN'!J11</f>
        <v>0</v>
      </c>
      <c r="K10" s="57">
        <f>+'BT TABLONES JN'!K11</f>
        <v>0</v>
      </c>
      <c r="L10" s="57">
        <f>+'BT TABLONES JN'!L11</f>
        <v>0</v>
      </c>
      <c r="M10" s="58">
        <f>+'BT TABLONES JN'!M11</f>
        <v>0</v>
      </c>
      <c r="N10" s="120">
        <f t="shared" si="0"/>
        <v>0</v>
      </c>
      <c r="O10" s="14"/>
    </row>
    <row r="11" spans="1:15" ht="18" customHeight="1" thickBot="1" x14ac:dyDescent="0.35">
      <c r="A11" s="185" t="s">
        <v>6</v>
      </c>
      <c r="B11" s="65">
        <f t="shared" ref="B11:M11" si="1">SUM(B6:B10)</f>
        <v>1722066.75</v>
      </c>
      <c r="C11" s="65">
        <f t="shared" si="1"/>
        <v>2111192</v>
      </c>
      <c r="D11" s="65">
        <f t="shared" si="1"/>
        <v>2658975</v>
      </c>
      <c r="E11" s="65">
        <f t="shared" si="1"/>
        <v>1923320.19</v>
      </c>
      <c r="F11" s="65">
        <f>SUM(F6:F10)</f>
        <v>2702830</v>
      </c>
      <c r="G11" s="65">
        <f>SUM(G6:G10)</f>
        <v>2729371.0100000002</v>
      </c>
      <c r="H11" s="65">
        <f t="shared" si="1"/>
        <v>2008435</v>
      </c>
      <c r="I11" s="65">
        <f t="shared" si="1"/>
        <v>0</v>
      </c>
      <c r="J11" s="65">
        <f>SUM(J6:J10)</f>
        <v>0</v>
      </c>
      <c r="K11" s="65">
        <f t="shared" si="1"/>
        <v>0</v>
      </c>
      <c r="L11" s="65">
        <f t="shared" si="1"/>
        <v>0</v>
      </c>
      <c r="M11" s="65">
        <f t="shared" si="1"/>
        <v>0</v>
      </c>
      <c r="N11" s="64">
        <f>SUM(B11:M11)</f>
        <v>15856189.949999999</v>
      </c>
      <c r="O11" s="14"/>
    </row>
    <row r="12" spans="1:15" ht="18" customHeight="1" thickBot="1" x14ac:dyDescent="0.35">
      <c r="A12" s="14"/>
      <c r="B12" s="14"/>
      <c r="C12" s="14"/>
      <c r="D12" s="14"/>
      <c r="E12" s="103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ht="18" customHeight="1" x14ac:dyDescent="0.3">
      <c r="A13" s="23" t="s">
        <v>58</v>
      </c>
      <c r="B13" s="25">
        <f>-(+'BT MOQUEGUA MEC '!B13+'BT TABLONES JN'!B16)</f>
        <v>-177692</v>
      </c>
      <c r="C13" s="25">
        <f>-(+'BT MOQUEGUA MEC '!C13+'BT TABLONES JN'!C16)</f>
        <v>-232202</v>
      </c>
      <c r="D13" s="25">
        <f>-(+'BT MOQUEGUA MEC '!D13+'BT TABLONES JN'!D16)</f>
        <v>-187359</v>
      </c>
      <c r="E13" s="25">
        <f>-(+'BT MOQUEGUA MEC '!E13+'BT TABLONES JN'!E16)</f>
        <v>-189899</v>
      </c>
      <c r="F13" s="25">
        <f>-(+'BT MOQUEGUA MEC '!F13+'BT TABLONES JN'!F16)</f>
        <v>-237922</v>
      </c>
      <c r="G13" s="25">
        <f>-(+'BT MOQUEGUA MEC '!G13+'BT TABLONES JN'!G16)</f>
        <v>-300000</v>
      </c>
      <c r="H13" s="25">
        <f>-(+'BT MOQUEGUA MEC '!H13+'BT TABLONES JN'!H16)</f>
        <v>-310000</v>
      </c>
      <c r="I13" s="25">
        <f>-(+'BT MOQUEGUA MEC '!I13+'BT TABLONES JN'!I16)</f>
        <v>0</v>
      </c>
      <c r="J13" s="25">
        <f>-(+'BT MOQUEGUA MEC '!J13+'BT TABLONES JN'!J16)</f>
        <v>0</v>
      </c>
      <c r="K13" s="25">
        <f>-(+'BT MOQUEGUA MEC '!K13+'BT TABLONES JN'!K16)</f>
        <v>0</v>
      </c>
      <c r="L13" s="25">
        <f>-(+'BT MOQUEGUA MEC '!L13+'BT TABLONES JN'!L16)</f>
        <v>0</v>
      </c>
      <c r="M13" s="79">
        <f>-(+'BT MOQUEGUA MEC '!M13+'BT TABLONES JN'!M16)</f>
        <v>0</v>
      </c>
      <c r="N13" s="118">
        <f>SUM(B13:M13)</f>
        <v>-1635074</v>
      </c>
      <c r="O13" s="14"/>
    </row>
    <row r="14" spans="1:15" ht="18" customHeight="1" x14ac:dyDescent="0.3">
      <c r="A14" s="4" t="s">
        <v>23</v>
      </c>
      <c r="B14" s="18">
        <f>-(+'BT MOQUEGUA MEC '!B14+'BT TABLONES JN'!B17)</f>
        <v>-315780</v>
      </c>
      <c r="C14" s="18">
        <f>-(+'BT MOQUEGUA MEC '!C14+'BT TABLONES JN'!C17)</f>
        <v>-483482</v>
      </c>
      <c r="D14" s="18">
        <f>-(+'BT MOQUEGUA MEC '!D14+'BT TABLONES JN'!D17)</f>
        <v>-393685</v>
      </c>
      <c r="E14" s="18">
        <f>-(+SUM('BT MOQUEGUA MEC '!E14)+'BT TABLONES JN'!E17)</f>
        <v>-259361</v>
      </c>
      <c r="F14" s="18">
        <f>-(+SUM('BT MOQUEGUA MEC '!F14)+'BT TABLONES JN'!F17)</f>
        <v>-330840</v>
      </c>
      <c r="G14" s="18">
        <f>-(+SUM('BT MOQUEGUA MEC '!G14)+'BT TABLONES JN'!G17)</f>
        <v>-450000</v>
      </c>
      <c r="H14" s="18">
        <f>-(+SUM('BT MOQUEGUA MEC '!H14)+'BT TABLONES JN'!H17)</f>
        <v>-448000</v>
      </c>
      <c r="I14" s="18">
        <f>-(+SUM('BT MOQUEGUA MEC '!I14)+'BT TABLONES JN'!I17)</f>
        <v>0</v>
      </c>
      <c r="J14" s="18">
        <f>-(+SUM('BT MOQUEGUA MEC '!J14)+'BT TABLONES JN'!J17)</f>
        <v>0</v>
      </c>
      <c r="K14" s="21">
        <f>-(+SUM('BT MOQUEGUA MEC '!K14)+'BT TABLONES JN'!K17)</f>
        <v>0</v>
      </c>
      <c r="L14" s="21">
        <f>-(+SUM('BT MOQUEGUA MEC '!L14)+'BT TABLONES JN'!L17)</f>
        <v>0</v>
      </c>
      <c r="M14" s="52">
        <f>-(+SUM('BT MOQUEGUA MEC '!M14)+'BT TABLONES JN'!M17)</f>
        <v>0</v>
      </c>
      <c r="N14" s="119">
        <f>SUM(B14:M14)</f>
        <v>-2681148</v>
      </c>
      <c r="O14" s="14"/>
    </row>
    <row r="15" spans="1:15" ht="18" customHeight="1" x14ac:dyDescent="0.3">
      <c r="A15" s="4" t="s">
        <v>90</v>
      </c>
      <c r="B15" s="21">
        <f>-(+'BT MOQUEGUA MEC '!B15)</f>
        <v>0</v>
      </c>
      <c r="C15" s="21">
        <f>-(+'BT MOQUEGUA MEC '!C15)</f>
        <v>0</v>
      </c>
      <c r="D15" s="21">
        <f>-(+'BT MOQUEGUA MEC '!D15)</f>
        <v>0</v>
      </c>
      <c r="E15" s="24">
        <f>-(+'BT MOQUEGUA MEC '!E15)</f>
        <v>0</v>
      </c>
      <c r="F15" s="21">
        <f>-'BT TABLONES JN'!F19</f>
        <v>-1015</v>
      </c>
      <c r="G15" s="21">
        <f>-(+'BT MOQUEGUA MEC '!G15)</f>
        <v>0</v>
      </c>
      <c r="H15" s="21">
        <f>-(+'BT MOQUEGUA MEC '!H15)</f>
        <v>0</v>
      </c>
      <c r="I15" s="21">
        <f>-(+'BT MOQUEGUA MEC '!I15)</f>
        <v>0</v>
      </c>
      <c r="J15" s="21">
        <f>-(+'BT MOQUEGUA MEC '!J15)</f>
        <v>0</v>
      </c>
      <c r="K15" s="21">
        <f>-(+'BT MOQUEGUA MEC '!K15)</f>
        <v>0</v>
      </c>
      <c r="L15" s="21">
        <f>-(+'BT MOQUEGUA MEC '!L15)</f>
        <v>0</v>
      </c>
      <c r="M15" s="52">
        <f>-(+'BT MOQUEGUA MEC '!M15)</f>
        <v>0</v>
      </c>
      <c r="N15" s="119">
        <f t="shared" ref="N15:N18" si="2">SUM(B15:M15)</f>
        <v>-1015</v>
      </c>
      <c r="O15" s="14"/>
    </row>
    <row r="16" spans="1:15" ht="18" customHeight="1" x14ac:dyDescent="0.3">
      <c r="A16" s="5" t="s">
        <v>84</v>
      </c>
      <c r="B16" s="47"/>
      <c r="C16" s="47">
        <f>+'BT TABLONES JN'!C19</f>
        <v>0</v>
      </c>
      <c r="D16" s="47"/>
      <c r="E16" s="47"/>
      <c r="F16" s="47">
        <f>-'BT HUEMUL-CONCON TRADER'!F17</f>
        <v>-112500</v>
      </c>
      <c r="G16" s="47"/>
      <c r="H16" s="47"/>
      <c r="I16" s="47"/>
      <c r="J16" s="47"/>
      <c r="K16" s="47"/>
      <c r="L16" s="47"/>
      <c r="M16" s="55"/>
      <c r="N16" s="172">
        <f>SUM(B16:M16)</f>
        <v>-112500</v>
      </c>
      <c r="O16" s="14"/>
    </row>
    <row r="17" spans="1:17" ht="18" customHeight="1" thickBot="1" x14ac:dyDescent="0.35">
      <c r="A17" s="44" t="s">
        <v>65</v>
      </c>
      <c r="B17" s="73">
        <f>-(+'BT TABLONES JN'!B24)</f>
        <v>0</v>
      </c>
      <c r="C17" s="73">
        <f>-(+'BT TABLONES JN'!C24)</f>
        <v>0</v>
      </c>
      <c r="D17" s="73">
        <f>-(+'BT TABLONES JN'!D24)</f>
        <v>0</v>
      </c>
      <c r="E17" s="73">
        <f>-(+'BT TABLONES JN'!E24)</f>
        <v>0</v>
      </c>
      <c r="F17" s="73">
        <f>-'BT HUEMUL-CONCON TRADER'!F18</f>
        <v>-417912</v>
      </c>
      <c r="G17" s="73">
        <f>-'BT HUEMUL-CONCON TRADER'!G18</f>
        <v>-359800</v>
      </c>
      <c r="H17" s="73">
        <f>-(+'BT TABLONES JN'!H24)</f>
        <v>0</v>
      </c>
      <c r="I17" s="73">
        <f>-(+'BT TABLONES JN'!I24)</f>
        <v>0</v>
      </c>
      <c r="J17" s="73">
        <f>-(+'BT TABLONES JN'!J24)</f>
        <v>0</v>
      </c>
      <c r="K17" s="73">
        <f>-(+'BT TABLONES JN'!K24)</f>
        <v>0</v>
      </c>
      <c r="L17" s="73">
        <f>-(+'BT TABLONES JN'!L24)</f>
        <v>0</v>
      </c>
      <c r="M17" s="54">
        <f>-(+'BT TABLONES JN'!M24)</f>
        <v>0</v>
      </c>
      <c r="N17" s="121">
        <f t="shared" si="2"/>
        <v>-777712</v>
      </c>
      <c r="O17" s="14"/>
    </row>
    <row r="18" spans="1:17" ht="18" customHeight="1" thickBot="1" x14ac:dyDescent="0.35">
      <c r="A18" s="16" t="s">
        <v>16</v>
      </c>
      <c r="B18" s="56">
        <f t="shared" ref="B18:M18" si="3">+SUM(B13:B17)</f>
        <v>-493472</v>
      </c>
      <c r="C18" s="56">
        <f t="shared" si="3"/>
        <v>-715684</v>
      </c>
      <c r="D18" s="56">
        <f t="shared" si="3"/>
        <v>-581044</v>
      </c>
      <c r="E18" s="56">
        <f t="shared" si="3"/>
        <v>-449260</v>
      </c>
      <c r="F18" s="56">
        <f t="shared" si="3"/>
        <v>-1100189</v>
      </c>
      <c r="G18" s="56">
        <f t="shared" si="3"/>
        <v>-1109800</v>
      </c>
      <c r="H18" s="56">
        <f t="shared" si="3"/>
        <v>-758000</v>
      </c>
      <c r="I18" s="56">
        <f t="shared" si="3"/>
        <v>0</v>
      </c>
      <c r="J18" s="56">
        <f t="shared" si="3"/>
        <v>0</v>
      </c>
      <c r="K18" s="56">
        <f t="shared" si="3"/>
        <v>0</v>
      </c>
      <c r="L18" s="56">
        <f t="shared" si="3"/>
        <v>0</v>
      </c>
      <c r="M18" s="56">
        <f t="shared" si="3"/>
        <v>0</v>
      </c>
      <c r="N18" s="72">
        <f t="shared" si="2"/>
        <v>-5207449</v>
      </c>
      <c r="O18" s="14"/>
      <c r="P18" s="15"/>
    </row>
    <row r="19" spans="1:17" ht="14.25" customHeight="1" thickBot="1" x14ac:dyDescent="0.35">
      <c r="A19" s="45"/>
      <c r="B19" s="68"/>
      <c r="C19" s="68"/>
      <c r="D19" s="68"/>
      <c r="E19" s="100"/>
      <c r="F19" s="100"/>
      <c r="G19" s="100"/>
      <c r="H19" s="68"/>
      <c r="I19" s="68"/>
      <c r="J19" s="68"/>
      <c r="K19" s="68"/>
      <c r="L19" s="68"/>
      <c r="M19" s="68"/>
      <c r="N19" s="69"/>
      <c r="O19" s="14"/>
      <c r="P19" s="14"/>
      <c r="Q19" s="14"/>
    </row>
    <row r="20" spans="1:17" ht="21.75" customHeight="1" thickBot="1" x14ac:dyDescent="0.35">
      <c r="A20" s="6" t="s">
        <v>4</v>
      </c>
      <c r="B20" s="59">
        <f t="shared" ref="B20:M20" si="4">+B11+B18</f>
        <v>1228594.75</v>
      </c>
      <c r="C20" s="59">
        <f t="shared" si="4"/>
        <v>1395508</v>
      </c>
      <c r="D20" s="59">
        <f t="shared" si="4"/>
        <v>2077931</v>
      </c>
      <c r="E20" s="59">
        <f t="shared" si="4"/>
        <v>1474060.19</v>
      </c>
      <c r="F20" s="59">
        <f t="shared" si="4"/>
        <v>1602641</v>
      </c>
      <c r="G20" s="59">
        <f t="shared" si="4"/>
        <v>1619571.0100000002</v>
      </c>
      <c r="H20" s="59">
        <f t="shared" si="4"/>
        <v>1250435</v>
      </c>
      <c r="I20" s="59">
        <f t="shared" si="4"/>
        <v>0</v>
      </c>
      <c r="J20" s="59">
        <f t="shared" si="4"/>
        <v>0</v>
      </c>
      <c r="K20" s="59">
        <f t="shared" si="4"/>
        <v>0</v>
      </c>
      <c r="L20" s="96">
        <f t="shared" si="4"/>
        <v>0</v>
      </c>
      <c r="M20" s="96">
        <f t="shared" si="4"/>
        <v>0</v>
      </c>
      <c r="N20" s="60">
        <f t="shared" ref="N20" si="5">SUM(B20:M20)</f>
        <v>10648740.949999999</v>
      </c>
      <c r="O20" s="14"/>
    </row>
    <row r="21" spans="1:17" ht="12.75" customHeight="1" x14ac:dyDescent="0.3">
      <c r="A21" s="10"/>
      <c r="B21" s="11"/>
      <c r="C21" s="11"/>
      <c r="D21" s="11"/>
      <c r="E21" s="12"/>
      <c r="F21" s="11"/>
      <c r="G21" s="11"/>
      <c r="H21" s="11"/>
      <c r="I21" s="11"/>
      <c r="J21" s="12"/>
      <c r="K21" s="12"/>
      <c r="L21" s="12"/>
      <c r="M21" s="12"/>
      <c r="N21" s="11"/>
      <c r="O21" s="14"/>
    </row>
    <row r="22" spans="1:17" ht="15.75" customHeight="1" x14ac:dyDescent="0.3">
      <c r="A22" s="82" t="s">
        <v>101</v>
      </c>
      <c r="B22" s="11"/>
      <c r="C22" s="11"/>
      <c r="D22" s="11"/>
      <c r="E22" s="12"/>
      <c r="F22" s="11"/>
      <c r="G22" s="11"/>
      <c r="H22" s="11"/>
      <c r="I22" s="11"/>
      <c r="J22" s="12"/>
      <c r="K22" s="12"/>
      <c r="L22" s="12"/>
      <c r="M22" s="12"/>
      <c r="N22" s="11"/>
      <c r="O22" s="14"/>
    </row>
    <row r="23" spans="1:17" ht="18.600000000000001" customHeight="1" x14ac:dyDescent="0.3">
      <c r="A23" s="186" t="s">
        <v>54</v>
      </c>
      <c r="B23" s="11"/>
      <c r="C23" s="11"/>
      <c r="D23" s="11"/>
      <c r="E23" s="12"/>
      <c r="F23" s="11"/>
      <c r="G23" s="11"/>
      <c r="H23" s="11"/>
      <c r="I23" s="11"/>
      <c r="J23" s="12"/>
      <c r="K23" s="12"/>
      <c r="L23" s="12"/>
      <c r="M23" s="194"/>
      <c r="N23" s="195"/>
      <c r="O23" s="14"/>
    </row>
    <row r="24" spans="1:17" ht="18.600000000000001" customHeight="1" x14ac:dyDescent="0.3">
      <c r="A24" s="39"/>
      <c r="B24" s="112"/>
      <c r="C24" s="80"/>
      <c r="D24" s="80"/>
      <c r="E24" s="103"/>
      <c r="F24" s="14"/>
      <c r="G24" s="80"/>
      <c r="H24" s="14"/>
      <c r="I24" s="14"/>
      <c r="J24" s="103"/>
      <c r="K24" s="196"/>
      <c r="L24" s="80"/>
      <c r="M24" s="197"/>
      <c r="N24" s="195"/>
      <c r="O24" s="14"/>
    </row>
    <row r="25" spans="1:17" x14ac:dyDescent="0.3">
      <c r="A25" s="182" t="s">
        <v>71</v>
      </c>
      <c r="B25" s="131"/>
      <c r="C25" s="80"/>
      <c r="D25" s="14"/>
      <c r="E25" s="150"/>
      <c r="F25" s="133"/>
      <c r="G25" s="14"/>
      <c r="H25" s="14"/>
      <c r="I25" s="14"/>
      <c r="J25" s="103"/>
      <c r="K25" s="103"/>
      <c r="L25" s="14"/>
      <c r="M25" s="14"/>
      <c r="N25" s="14"/>
      <c r="O25" s="14"/>
    </row>
    <row r="26" spans="1:17" x14ac:dyDescent="0.3">
      <c r="A26" s="151" t="s">
        <v>89</v>
      </c>
      <c r="B26" s="131"/>
      <c r="C26" s="80"/>
      <c r="D26" s="14"/>
      <c r="E26" s="150"/>
      <c r="F26" s="133"/>
      <c r="G26" s="14"/>
      <c r="H26" s="14"/>
      <c r="I26" s="14"/>
      <c r="J26" s="103"/>
      <c r="K26" s="103"/>
      <c r="L26" s="14"/>
      <c r="M26" s="14"/>
      <c r="N26" s="14"/>
      <c r="O26" s="14"/>
    </row>
    <row r="27" spans="1:17" x14ac:dyDescent="0.3">
      <c r="A27" s="151" t="s">
        <v>76</v>
      </c>
      <c r="B27" s="131"/>
      <c r="C27" s="80"/>
      <c r="D27" s="14"/>
      <c r="E27" s="150"/>
      <c r="F27" s="133"/>
      <c r="G27" s="14"/>
      <c r="H27" s="14"/>
      <c r="I27" s="14"/>
      <c r="J27" s="103"/>
      <c r="K27" s="103"/>
      <c r="L27" s="14"/>
      <c r="M27" s="14"/>
      <c r="N27" s="14"/>
      <c r="O27" s="14"/>
    </row>
    <row r="28" spans="1:17" x14ac:dyDescent="0.3">
      <c r="A28" s="151"/>
      <c r="B28" s="131"/>
      <c r="C28" s="80"/>
      <c r="D28" s="14"/>
      <c r="E28" s="150"/>
      <c r="F28" s="133"/>
      <c r="G28" s="14"/>
      <c r="H28" s="14"/>
      <c r="I28" s="14"/>
      <c r="J28" s="103"/>
      <c r="K28" s="103"/>
      <c r="L28" s="14"/>
      <c r="M28" s="14"/>
      <c r="N28" s="14"/>
      <c r="O28" s="14"/>
    </row>
    <row r="29" spans="1:17" x14ac:dyDescent="0.3">
      <c r="A29" s="182" t="s">
        <v>70</v>
      </c>
      <c r="B29" s="131"/>
      <c r="C29" s="80"/>
      <c r="D29" s="14"/>
      <c r="E29" s="150"/>
      <c r="F29" s="133"/>
      <c r="G29" s="14"/>
      <c r="H29" s="14"/>
      <c r="I29" s="14"/>
      <c r="J29" s="103"/>
      <c r="K29" s="103"/>
      <c r="L29" s="14"/>
      <c r="M29" s="14"/>
      <c r="N29" s="14"/>
      <c r="O29" s="14"/>
    </row>
    <row r="30" spans="1:17" x14ac:dyDescent="0.3">
      <c r="A30" s="151" t="s">
        <v>78</v>
      </c>
      <c r="B30" s="131"/>
      <c r="C30" s="80"/>
      <c r="D30" s="14"/>
      <c r="E30" s="150"/>
      <c r="F30" s="133"/>
      <c r="G30" s="14"/>
      <c r="H30" s="14"/>
      <c r="I30" s="14"/>
      <c r="J30" s="103"/>
      <c r="K30" s="103"/>
      <c r="L30" s="14"/>
      <c r="M30" s="14"/>
      <c r="N30" s="14"/>
      <c r="O30" s="14"/>
    </row>
    <row r="31" spans="1:17" x14ac:dyDescent="0.3">
      <c r="A31" s="151" t="s">
        <v>77</v>
      </c>
      <c r="B31" s="131"/>
      <c r="C31" s="80"/>
      <c r="D31" s="14"/>
      <c r="E31" s="150"/>
      <c r="F31" s="133"/>
      <c r="G31" s="14"/>
      <c r="H31" s="14"/>
      <c r="I31" s="14"/>
      <c r="J31" s="103"/>
      <c r="K31" s="103"/>
      <c r="L31" s="14"/>
      <c r="M31" s="14"/>
      <c r="N31" s="14"/>
      <c r="O31" s="14"/>
    </row>
    <row r="32" spans="1:17" x14ac:dyDescent="0.3">
      <c r="A32" s="151"/>
      <c r="B32" s="131"/>
      <c r="C32" s="80"/>
      <c r="D32" s="14"/>
      <c r="E32" s="150"/>
      <c r="F32" s="133"/>
      <c r="G32" s="14"/>
      <c r="H32" s="14"/>
      <c r="I32" s="14"/>
      <c r="J32" s="103"/>
      <c r="K32" s="103"/>
      <c r="L32" s="14"/>
      <c r="M32" s="14"/>
      <c r="N32" s="14"/>
      <c r="O32" s="14"/>
    </row>
    <row r="33" spans="1:15" x14ac:dyDescent="0.3">
      <c r="A33" s="111" t="s">
        <v>35</v>
      </c>
      <c r="B33" s="14"/>
      <c r="C33" s="14"/>
      <c r="D33" s="14"/>
      <c r="E33" s="103"/>
      <c r="F33" s="14"/>
      <c r="G33" s="14"/>
      <c r="H33" s="14"/>
      <c r="I33" s="14"/>
      <c r="J33" s="103"/>
      <c r="K33" s="103"/>
      <c r="L33" s="14"/>
      <c r="M33" s="14"/>
      <c r="N33" s="14"/>
      <c r="O33" s="14"/>
    </row>
    <row r="34" spans="1:15" ht="16.5" customHeight="1" x14ac:dyDescent="0.3">
      <c r="A34" s="111" t="s">
        <v>62</v>
      </c>
      <c r="B34" s="14"/>
      <c r="C34" s="14"/>
      <c r="D34" s="14"/>
      <c r="E34" s="103"/>
      <c r="F34" s="14"/>
      <c r="G34" s="14"/>
      <c r="H34" s="14"/>
      <c r="I34" s="14"/>
      <c r="J34" s="103"/>
      <c r="K34" s="103"/>
      <c r="L34" s="14"/>
      <c r="M34" s="14"/>
      <c r="N34" s="14"/>
      <c r="O34" s="14"/>
    </row>
    <row r="35" spans="1:15" x14ac:dyDescent="0.3">
      <c r="A35" s="179"/>
      <c r="B35" s="14"/>
      <c r="C35" s="14"/>
      <c r="D35" s="14"/>
      <c r="E35" s="103"/>
      <c r="F35" s="14"/>
      <c r="G35" s="14"/>
      <c r="H35" s="14"/>
      <c r="I35" s="14"/>
      <c r="J35" s="103"/>
      <c r="K35" s="103"/>
      <c r="L35" s="14"/>
      <c r="M35" s="14"/>
      <c r="N35" s="14"/>
    </row>
    <row r="37" spans="1:15" x14ac:dyDescent="0.3">
      <c r="H37" s="51"/>
    </row>
    <row r="38" spans="1:15" x14ac:dyDescent="0.3">
      <c r="H38" s="51"/>
    </row>
    <row r="39" spans="1:15" x14ac:dyDescent="0.3">
      <c r="H39" s="51"/>
    </row>
    <row r="40" spans="1:15" x14ac:dyDescent="0.3">
      <c r="H40" s="51"/>
    </row>
  </sheetData>
  <mergeCells count="15">
    <mergeCell ref="A2:N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rintOptions horizontalCentered="1"/>
  <pageMargins left="0" right="0" top="0.74803149606299213" bottom="0" header="0.31496062992125984" footer="0.31496062992125984"/>
  <pageSetup paperSize="9" scale="6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W35"/>
  <sheetViews>
    <sheetView showGridLines="0" zoomScale="108" zoomScaleNormal="108" zoomScaleSheetLayoutView="100" workbookViewId="0">
      <selection activeCell="A20" sqref="A20"/>
    </sheetView>
  </sheetViews>
  <sheetFormatPr defaultColWidth="11.44140625" defaultRowHeight="14.4" x14ac:dyDescent="0.3"/>
  <cols>
    <col min="1" max="1" width="53.88671875" customWidth="1"/>
    <col min="2" max="2" width="21.88671875" customWidth="1"/>
    <col min="3" max="3" width="19.109375" customWidth="1"/>
    <col min="4" max="4" width="18.44140625" customWidth="1"/>
    <col min="5" max="5" width="20" customWidth="1"/>
    <col min="6" max="6" width="19" customWidth="1"/>
    <col min="7" max="7" width="18.33203125" customWidth="1"/>
    <col min="8" max="8" width="19" customWidth="1"/>
    <col min="9" max="9" width="18.88671875" customWidth="1"/>
    <col min="10" max="10" width="18.88671875" hidden="1" customWidth="1"/>
    <col min="11" max="11" width="19.109375" style="102" hidden="1" customWidth="1"/>
    <col min="12" max="12" width="19" hidden="1" customWidth="1"/>
    <col min="13" max="13" width="18.109375" hidden="1" customWidth="1"/>
    <col min="14" max="14" width="19.44140625" customWidth="1"/>
    <col min="15" max="15" width="19.5546875" customWidth="1"/>
    <col min="16" max="16" width="13.33203125" hidden="1" customWidth="1"/>
    <col min="17" max="17" width="11.44140625" hidden="1" customWidth="1"/>
    <col min="18" max="18" width="1.88671875" customWidth="1"/>
  </cols>
  <sheetData>
    <row r="1" spans="1:23" ht="20.100000000000001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O1" s="14"/>
      <c r="P1" s="14"/>
      <c r="Q1" s="14"/>
      <c r="R1" s="14"/>
    </row>
    <row r="2" spans="1:23" ht="20.100000000000001" customHeight="1" thickBot="1" x14ac:dyDescent="0.35">
      <c r="A2" s="240" t="s">
        <v>72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2"/>
      <c r="O2" s="14"/>
      <c r="P2" s="14"/>
      <c r="Q2" s="14"/>
      <c r="R2" s="14"/>
    </row>
    <row r="3" spans="1:23" ht="20.100000000000001" customHeight="1" thickBot="1" x14ac:dyDescent="0.35">
      <c r="A3" s="1"/>
      <c r="B3" s="1"/>
      <c r="C3" s="2"/>
      <c r="D3" s="1"/>
      <c r="E3" s="1"/>
      <c r="F3" s="1"/>
      <c r="G3" s="1"/>
      <c r="H3" s="1"/>
      <c r="I3" s="1"/>
      <c r="O3" s="14"/>
      <c r="P3" s="14"/>
      <c r="Q3" s="14"/>
      <c r="R3" s="14"/>
    </row>
    <row r="4" spans="1:23" ht="22.5" customHeight="1" thickBot="1" x14ac:dyDescent="0.35">
      <c r="A4" s="8" t="s">
        <v>8</v>
      </c>
      <c r="B4" s="9" t="s">
        <v>47</v>
      </c>
      <c r="C4" s="9" t="s">
        <v>48</v>
      </c>
      <c r="D4" s="9" t="s">
        <v>1</v>
      </c>
      <c r="E4" s="9" t="s">
        <v>2</v>
      </c>
      <c r="F4" s="9" t="s">
        <v>36</v>
      </c>
      <c r="G4" s="9" t="s">
        <v>68</v>
      </c>
      <c r="H4" s="9" t="s">
        <v>69</v>
      </c>
      <c r="I4" s="9" t="s">
        <v>9</v>
      </c>
      <c r="J4" s="9" t="s">
        <v>39</v>
      </c>
      <c r="K4" s="9" t="s">
        <v>40</v>
      </c>
      <c r="L4" s="9" t="s">
        <v>42</v>
      </c>
      <c r="M4" s="157" t="s">
        <v>43</v>
      </c>
      <c r="N4" s="165" t="s">
        <v>7</v>
      </c>
      <c r="O4" s="14"/>
      <c r="P4" s="14"/>
      <c r="Q4" s="14"/>
      <c r="R4" s="14"/>
    </row>
    <row r="5" spans="1:23" ht="20.100000000000001" customHeight="1" x14ac:dyDescent="0.3">
      <c r="A5" s="105" t="s">
        <v>5</v>
      </c>
      <c r="B5" s="47">
        <v>197160</v>
      </c>
      <c r="C5" s="47">
        <v>1018422</v>
      </c>
      <c r="D5" s="55">
        <v>1132813</v>
      </c>
      <c r="E5" s="48">
        <v>547916</v>
      </c>
      <c r="F5" s="49">
        <v>1220212</v>
      </c>
      <c r="G5" s="122">
        <v>972970</v>
      </c>
      <c r="H5" s="18">
        <v>1013180</v>
      </c>
      <c r="I5" s="122"/>
      <c r="J5" s="122"/>
      <c r="K5" s="122"/>
      <c r="L5" s="139"/>
      <c r="M5" s="158"/>
      <c r="N5" s="166">
        <f>SUM(B5:M5)</f>
        <v>6102673</v>
      </c>
      <c r="O5" s="62"/>
      <c r="P5" s="14"/>
      <c r="Q5" s="14"/>
      <c r="R5" s="14"/>
    </row>
    <row r="6" spans="1:23" ht="20.100000000000001" customHeight="1" x14ac:dyDescent="0.3">
      <c r="A6" s="106" t="s">
        <v>52</v>
      </c>
      <c r="B6" s="52"/>
      <c r="C6" s="18"/>
      <c r="D6" s="52"/>
      <c r="E6" s="19"/>
      <c r="F6" s="21"/>
      <c r="G6" s="20"/>
      <c r="H6" s="18"/>
      <c r="I6" s="20"/>
      <c r="J6" s="20"/>
      <c r="K6" s="20"/>
      <c r="L6" s="110"/>
      <c r="M6" s="159"/>
      <c r="N6" s="167">
        <f t="shared" ref="N6:N16" si="0">SUM(B6:M6)</f>
        <v>0</v>
      </c>
      <c r="O6" s="14"/>
      <c r="P6" s="14"/>
      <c r="Q6" s="14"/>
      <c r="R6" s="14"/>
    </row>
    <row r="7" spans="1:23" ht="20.100000000000001" customHeight="1" x14ac:dyDescent="0.3">
      <c r="A7" s="107" t="s">
        <v>45</v>
      </c>
      <c r="B7" s="18">
        <v>22301</v>
      </c>
      <c r="C7" s="18">
        <v>6766</v>
      </c>
      <c r="D7" s="52">
        <v>77437</v>
      </c>
      <c r="E7" s="19">
        <v>21218</v>
      </c>
      <c r="F7" s="21">
        <v>32657</v>
      </c>
      <c r="G7" s="20">
        <v>24100</v>
      </c>
      <c r="H7" s="18">
        <v>42000</v>
      </c>
      <c r="I7" s="20"/>
      <c r="J7" s="20"/>
      <c r="K7" s="20"/>
      <c r="L7" s="139"/>
      <c r="M7" s="158"/>
      <c r="N7" s="167">
        <f t="shared" si="0"/>
        <v>226479</v>
      </c>
      <c r="O7" s="62"/>
      <c r="P7" s="14"/>
      <c r="Q7" s="14"/>
      <c r="R7" s="14"/>
    </row>
    <row r="8" spans="1:23" ht="20.100000000000001" customHeight="1" x14ac:dyDescent="0.3">
      <c r="A8" s="107" t="s">
        <v>10</v>
      </c>
      <c r="B8" s="52"/>
      <c r="C8" s="18"/>
      <c r="D8" s="19"/>
      <c r="E8" s="19"/>
      <c r="F8" s="21"/>
      <c r="G8" s="127"/>
      <c r="H8" s="127"/>
      <c r="I8" s="127"/>
      <c r="J8" s="127"/>
      <c r="K8" s="122"/>
      <c r="L8" s="110"/>
      <c r="M8" s="160"/>
      <c r="N8" s="167">
        <f t="shared" si="0"/>
        <v>0</v>
      </c>
      <c r="O8" s="14"/>
      <c r="P8" s="14"/>
      <c r="Q8" s="14"/>
      <c r="R8" s="14"/>
    </row>
    <row r="9" spans="1:23" ht="20.100000000000001" customHeight="1" x14ac:dyDescent="0.3">
      <c r="A9" s="107" t="s">
        <v>50</v>
      </c>
      <c r="B9" s="53"/>
      <c r="C9" s="18"/>
      <c r="D9" s="52"/>
      <c r="E9" s="52"/>
      <c r="F9" s="88"/>
      <c r="G9" s="127"/>
      <c r="H9" s="18"/>
      <c r="I9" s="21"/>
      <c r="J9" s="20"/>
      <c r="K9" s="122"/>
      <c r="L9" s="139"/>
      <c r="M9" s="161"/>
      <c r="N9" s="167">
        <f t="shared" si="0"/>
        <v>0</v>
      </c>
      <c r="O9" s="14"/>
      <c r="P9" s="14"/>
      <c r="Q9" s="14"/>
      <c r="R9" s="14"/>
    </row>
    <row r="10" spans="1:23" ht="20.100000000000001" customHeight="1" x14ac:dyDescent="0.3">
      <c r="A10" s="108" t="s">
        <v>37</v>
      </c>
      <c r="B10" s="52">
        <v>331565</v>
      </c>
      <c r="C10" s="52">
        <v>130225</v>
      </c>
      <c r="D10" s="19">
        <v>226211</v>
      </c>
      <c r="E10" s="19">
        <v>296524</v>
      </c>
      <c r="F10" s="19">
        <v>61681</v>
      </c>
      <c r="G10" s="19">
        <v>111000</v>
      </c>
      <c r="H10" s="19">
        <v>50000</v>
      </c>
      <c r="I10" s="52"/>
      <c r="J10" s="19"/>
      <c r="K10" s="19"/>
      <c r="L10" s="154"/>
      <c r="M10" s="162"/>
      <c r="N10" s="167">
        <f t="shared" si="0"/>
        <v>1207206</v>
      </c>
      <c r="O10" s="80"/>
      <c r="P10" s="14"/>
      <c r="Q10" s="14"/>
      <c r="R10" s="14"/>
    </row>
    <row r="11" spans="1:23" ht="20.100000000000001" customHeight="1" thickBot="1" x14ac:dyDescent="0.35">
      <c r="A11" s="109" t="s">
        <v>11</v>
      </c>
      <c r="B11" s="181"/>
      <c r="C11" s="18"/>
      <c r="D11" s="52"/>
      <c r="E11" s="52"/>
      <c r="F11" s="21"/>
      <c r="G11" s="19"/>
      <c r="H11" s="52"/>
      <c r="I11" s="21"/>
      <c r="J11" s="20"/>
      <c r="K11" s="20"/>
      <c r="L11" s="110"/>
      <c r="M11" s="163"/>
      <c r="N11" s="167">
        <f t="shared" si="0"/>
        <v>0</v>
      </c>
      <c r="O11" s="14"/>
      <c r="P11" s="14"/>
      <c r="Q11" s="14"/>
      <c r="R11" s="14"/>
    </row>
    <row r="12" spans="1:23" ht="18" customHeight="1" thickBot="1" x14ac:dyDescent="0.35">
      <c r="A12" s="16" t="s">
        <v>6</v>
      </c>
      <c r="B12" s="56">
        <f>SUM(B5:B11)</f>
        <v>551026</v>
      </c>
      <c r="C12" s="56">
        <f>SUM(C5:C10)</f>
        <v>1155413</v>
      </c>
      <c r="D12" s="56">
        <f>SUM(D5:D11)</f>
        <v>1436461</v>
      </c>
      <c r="E12" s="56">
        <f t="shared" ref="E12:I12" si="1">SUM(E5:E11)</f>
        <v>865658</v>
      </c>
      <c r="F12" s="56">
        <f t="shared" si="1"/>
        <v>1314550</v>
      </c>
      <c r="G12" s="56">
        <f t="shared" si="1"/>
        <v>1108070</v>
      </c>
      <c r="H12" s="56">
        <f t="shared" si="1"/>
        <v>1105180</v>
      </c>
      <c r="I12" s="56">
        <f t="shared" si="1"/>
        <v>0</v>
      </c>
      <c r="J12" s="56">
        <f>SUM(J5:J11)</f>
        <v>0</v>
      </c>
      <c r="K12" s="56">
        <f>SUM(K5:K11)</f>
        <v>0</v>
      </c>
      <c r="L12" s="104">
        <f>SUM(L5:L11)</f>
        <v>0</v>
      </c>
      <c r="M12" s="164">
        <f>SUM(M5:M11)</f>
        <v>0</v>
      </c>
      <c r="N12" s="168">
        <f>SUM(B12:M12)</f>
        <v>7536358</v>
      </c>
      <c r="O12" s="14"/>
      <c r="P12" s="14"/>
      <c r="Q12" s="14"/>
      <c r="R12" s="14"/>
    </row>
    <row r="13" spans="1:23" ht="20.100000000000001" customHeight="1" x14ac:dyDescent="0.3">
      <c r="A13" s="5" t="s">
        <v>24</v>
      </c>
      <c r="B13" s="47">
        <v>58114</v>
      </c>
      <c r="C13" s="47">
        <v>104267</v>
      </c>
      <c r="D13" s="48">
        <v>109571</v>
      </c>
      <c r="E13" s="55">
        <v>82632</v>
      </c>
      <c r="F13" s="122">
        <v>99174</v>
      </c>
      <c r="G13" s="48">
        <v>120000</v>
      </c>
      <c r="H13" s="48">
        <v>145000</v>
      </c>
      <c r="I13" s="55"/>
      <c r="J13" s="48"/>
      <c r="K13" s="48"/>
      <c r="L13" s="139"/>
      <c r="M13" s="158"/>
      <c r="N13" s="166">
        <f>SUM(B13:M13)</f>
        <v>718758</v>
      </c>
      <c r="O13" s="14"/>
      <c r="P13" s="14"/>
      <c r="Q13" s="14"/>
      <c r="R13" s="14"/>
      <c r="W13">
        <f>SUM(S13:V13)</f>
        <v>0</v>
      </c>
    </row>
    <row r="14" spans="1:23" ht="20.100000000000001" customHeight="1" x14ac:dyDescent="0.3">
      <c r="A14" s="46" t="s">
        <v>25</v>
      </c>
      <c r="B14" s="52">
        <v>55351</v>
      </c>
      <c r="C14" s="52">
        <v>166092</v>
      </c>
      <c r="D14" s="52">
        <v>337777</v>
      </c>
      <c r="E14" s="19">
        <v>62342</v>
      </c>
      <c r="F14" s="19">
        <v>219414</v>
      </c>
      <c r="G14" s="19">
        <v>158000</v>
      </c>
      <c r="H14" s="52">
        <v>243000</v>
      </c>
      <c r="I14" s="52"/>
      <c r="J14" s="19"/>
      <c r="K14" s="19"/>
      <c r="L14" s="110"/>
      <c r="M14" s="163"/>
      <c r="N14" s="167">
        <f t="shared" si="0"/>
        <v>1241976</v>
      </c>
      <c r="O14" s="14"/>
      <c r="P14" s="17"/>
      <c r="Q14" s="14"/>
      <c r="R14" s="14"/>
    </row>
    <row r="15" spans="1:23" ht="20.100000000000001" customHeight="1" thickBot="1" x14ac:dyDescent="0.35">
      <c r="A15" s="7" t="s">
        <v>51</v>
      </c>
      <c r="B15" s="57"/>
      <c r="C15" s="57"/>
      <c r="D15" s="58"/>
      <c r="E15" s="57"/>
      <c r="F15" s="57"/>
      <c r="G15" s="143"/>
      <c r="H15" s="190"/>
      <c r="I15" s="143"/>
      <c r="J15" s="49"/>
      <c r="K15" s="48"/>
      <c r="L15" s="139"/>
      <c r="M15" s="158"/>
      <c r="N15" s="167">
        <f t="shared" si="0"/>
        <v>0</v>
      </c>
      <c r="O15" s="14"/>
      <c r="P15" s="116"/>
      <c r="Q15" s="14"/>
      <c r="R15" s="14"/>
    </row>
    <row r="16" spans="1:23" ht="20.100000000000001" customHeight="1" thickBot="1" x14ac:dyDescent="0.35">
      <c r="A16" s="16" t="s">
        <v>16</v>
      </c>
      <c r="B16" s="56">
        <f t="shared" ref="B16:G16" si="2">SUM(B13:B15)</f>
        <v>113465</v>
      </c>
      <c r="C16" s="56">
        <f t="shared" si="2"/>
        <v>270359</v>
      </c>
      <c r="D16" s="56">
        <f t="shared" si="2"/>
        <v>447348</v>
      </c>
      <c r="E16" s="56">
        <f t="shared" si="2"/>
        <v>144974</v>
      </c>
      <c r="F16" s="56">
        <f t="shared" si="2"/>
        <v>318588</v>
      </c>
      <c r="G16" s="56">
        <f t="shared" si="2"/>
        <v>278000</v>
      </c>
      <c r="H16" s="56">
        <f t="shared" ref="H16:M16" si="3">SUM(H13:H15)</f>
        <v>388000</v>
      </c>
      <c r="I16" s="56">
        <f t="shared" si="3"/>
        <v>0</v>
      </c>
      <c r="J16" s="56">
        <f t="shared" si="3"/>
        <v>0</v>
      </c>
      <c r="K16" s="56">
        <f t="shared" si="3"/>
        <v>0</v>
      </c>
      <c r="L16" s="104">
        <f t="shared" si="3"/>
        <v>0</v>
      </c>
      <c r="M16" s="164">
        <f t="shared" si="3"/>
        <v>0</v>
      </c>
      <c r="N16" s="168">
        <f t="shared" si="0"/>
        <v>1960734</v>
      </c>
      <c r="O16" s="14"/>
      <c r="P16" s="14"/>
      <c r="Q16" s="14"/>
      <c r="R16" s="14"/>
    </row>
    <row r="17" spans="1:23" ht="20.100000000000001" customHeight="1" thickBot="1" x14ac:dyDescent="0.35">
      <c r="A17" s="3"/>
      <c r="B17" s="61"/>
      <c r="C17" s="61"/>
      <c r="D17" s="61"/>
      <c r="E17" s="61"/>
      <c r="F17" s="61"/>
      <c r="G17" s="61"/>
      <c r="H17" s="61"/>
      <c r="I17" s="61"/>
      <c r="J17" s="149"/>
      <c r="K17" s="149"/>
      <c r="L17" s="147"/>
      <c r="M17" s="147"/>
      <c r="N17" s="61"/>
      <c r="O17" s="14"/>
      <c r="P17" s="14"/>
      <c r="Q17" s="14"/>
      <c r="R17" s="14"/>
      <c r="W17">
        <f>+V17*3</f>
        <v>0</v>
      </c>
    </row>
    <row r="18" spans="1:23" ht="22.5" customHeight="1" thickBot="1" x14ac:dyDescent="0.35">
      <c r="A18" s="6" t="s">
        <v>4</v>
      </c>
      <c r="B18" s="198">
        <f t="shared" ref="B18:M18" si="4">+B12-B16</f>
        <v>437561</v>
      </c>
      <c r="C18" s="59">
        <f t="shared" si="4"/>
        <v>885054</v>
      </c>
      <c r="D18" s="152">
        <f>+D12-D16</f>
        <v>989113</v>
      </c>
      <c r="E18" s="59">
        <f>+E12-E16</f>
        <v>720684</v>
      </c>
      <c r="F18" s="59">
        <f t="shared" si="4"/>
        <v>995962</v>
      </c>
      <c r="G18" s="96">
        <f>+G12-G16</f>
        <v>830070</v>
      </c>
      <c r="H18" s="96">
        <f t="shared" si="4"/>
        <v>717180</v>
      </c>
      <c r="I18" s="59">
        <f t="shared" si="4"/>
        <v>0</v>
      </c>
      <c r="J18" s="59">
        <f t="shared" si="4"/>
        <v>0</v>
      </c>
      <c r="K18" s="152">
        <f t="shared" si="4"/>
        <v>0</v>
      </c>
      <c r="L18" s="96">
        <f t="shared" si="4"/>
        <v>0</v>
      </c>
      <c r="M18" s="169">
        <f t="shared" si="4"/>
        <v>0</v>
      </c>
      <c r="N18" s="170">
        <f>SUM(B18:M18)</f>
        <v>5575624</v>
      </c>
      <c r="O18" s="14"/>
      <c r="P18" s="14"/>
      <c r="Q18" s="14"/>
      <c r="R18" s="14"/>
    </row>
    <row r="19" spans="1:23" ht="12" customHeight="1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2"/>
      <c r="L19" s="13"/>
      <c r="M19" s="13"/>
      <c r="N19" s="11"/>
      <c r="O19" s="14"/>
      <c r="P19" s="14"/>
      <c r="Q19" s="14"/>
      <c r="R19" s="14"/>
    </row>
    <row r="20" spans="1:23" ht="15.75" customHeight="1" x14ac:dyDescent="0.3">
      <c r="A20" s="82" t="s">
        <v>101</v>
      </c>
      <c r="B20" s="11"/>
      <c r="C20" s="11"/>
      <c r="D20" s="11"/>
      <c r="E20" s="11"/>
      <c r="F20" s="11"/>
      <c r="G20" s="11"/>
      <c r="H20" s="11"/>
      <c r="I20" s="11"/>
      <c r="J20" s="11"/>
      <c r="K20" s="12"/>
      <c r="L20" s="13"/>
      <c r="M20" s="13"/>
      <c r="N20" s="11"/>
      <c r="O20" s="14"/>
      <c r="P20" s="14"/>
      <c r="Q20" s="14"/>
      <c r="R20" s="14"/>
      <c r="S20" s="14"/>
      <c r="T20" s="14"/>
    </row>
    <row r="21" spans="1:23" ht="15.75" customHeight="1" x14ac:dyDescent="0.3">
      <c r="A21" s="82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2"/>
      <c r="L21" s="13"/>
      <c r="M21" s="13"/>
      <c r="N21" s="11"/>
      <c r="O21" s="14"/>
      <c r="P21" s="14"/>
      <c r="Q21" s="14"/>
      <c r="R21" s="14"/>
      <c r="S21" s="14"/>
      <c r="T21" s="14"/>
    </row>
    <row r="22" spans="1:23" ht="15.75" customHeight="1" x14ac:dyDescent="0.3">
      <c r="A22" s="179" t="s">
        <v>57</v>
      </c>
      <c r="B22" s="11"/>
      <c r="C22" s="11"/>
      <c r="D22" s="11"/>
      <c r="E22" s="11"/>
      <c r="F22" s="11"/>
      <c r="G22" s="11"/>
      <c r="H22" s="11"/>
      <c r="I22" s="11"/>
      <c r="J22" s="11"/>
      <c r="K22" s="12"/>
      <c r="L22" s="13"/>
      <c r="M22" s="13"/>
      <c r="N22" s="11"/>
      <c r="O22" s="14"/>
      <c r="P22" s="14"/>
      <c r="Q22" s="14"/>
      <c r="R22" s="14"/>
      <c r="S22" s="14"/>
      <c r="T22" s="14"/>
    </row>
    <row r="23" spans="1:23" ht="10.5" customHeight="1" x14ac:dyDescent="0.3">
      <c r="A23" s="178"/>
      <c r="B23" s="11"/>
      <c r="C23" s="11"/>
      <c r="D23" s="11"/>
      <c r="E23" s="11"/>
      <c r="F23" s="11"/>
      <c r="G23" s="11"/>
      <c r="H23" s="11"/>
      <c r="I23" s="11"/>
      <c r="J23" s="11"/>
      <c r="K23" s="12"/>
      <c r="L23" s="13"/>
      <c r="M23" s="13"/>
      <c r="N23" s="11"/>
      <c r="O23" s="14"/>
      <c r="P23" s="14"/>
      <c r="Q23" s="14"/>
      <c r="R23" s="14"/>
      <c r="S23" s="14"/>
      <c r="T23" s="14"/>
    </row>
    <row r="24" spans="1:23" x14ac:dyDescent="0.3">
      <c r="A24" s="113" t="s">
        <v>26</v>
      </c>
      <c r="B24" s="14"/>
      <c r="C24" s="14"/>
      <c r="D24" s="148"/>
      <c r="E24" s="14"/>
      <c r="F24" s="14"/>
      <c r="G24" s="14"/>
      <c r="H24" s="14"/>
      <c r="I24" s="80"/>
      <c r="J24" s="14"/>
      <c r="K24" s="103"/>
      <c r="L24" s="14"/>
      <c r="M24" s="14"/>
      <c r="N24" s="14"/>
      <c r="O24" s="14"/>
      <c r="P24" s="14"/>
      <c r="Q24" s="14"/>
      <c r="R24" s="14"/>
      <c r="S24" s="14"/>
      <c r="T24" s="14"/>
    </row>
    <row r="25" spans="1:23" ht="15" customHeight="1" x14ac:dyDescent="0.3">
      <c r="A25" s="151" t="s">
        <v>74</v>
      </c>
      <c r="B25" s="114"/>
      <c r="C25" s="114"/>
      <c r="D25" s="176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4"/>
      <c r="P25" s="14"/>
      <c r="Q25" s="14"/>
      <c r="R25" s="14"/>
      <c r="S25" s="14"/>
      <c r="T25" s="14"/>
    </row>
    <row r="26" spans="1:23" ht="15" customHeight="1" x14ac:dyDescent="0.3">
      <c r="A26" s="151" t="s">
        <v>75</v>
      </c>
      <c r="B26" s="114"/>
      <c r="C26" s="114"/>
      <c r="D26" s="176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4"/>
      <c r="P26" s="14"/>
      <c r="Q26" s="14"/>
      <c r="R26" s="14"/>
      <c r="S26" s="14"/>
      <c r="T26" s="14"/>
    </row>
    <row r="27" spans="1:23" ht="13.5" customHeight="1" x14ac:dyDescent="0.3">
      <c r="A27" s="151"/>
      <c r="B27" s="114"/>
      <c r="C27" s="114"/>
      <c r="D27" s="176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4"/>
      <c r="P27" s="14"/>
      <c r="Q27" s="14"/>
      <c r="R27" s="14"/>
      <c r="S27" s="14"/>
      <c r="T27" s="14"/>
    </row>
    <row r="28" spans="1:23" ht="17.25" customHeight="1" x14ac:dyDescent="0.3">
      <c r="A28" s="111" t="s">
        <v>34</v>
      </c>
      <c r="B28" s="114"/>
      <c r="C28" s="114"/>
      <c r="D28" s="176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4"/>
      <c r="P28" s="14"/>
      <c r="Q28" s="14"/>
      <c r="R28" s="14"/>
      <c r="S28" s="14"/>
      <c r="T28" s="14"/>
    </row>
    <row r="29" spans="1:23" ht="17.25" customHeight="1" x14ac:dyDescent="0.3">
      <c r="A29" s="111" t="s">
        <v>61</v>
      </c>
      <c r="B29" s="114"/>
      <c r="C29" s="114"/>
      <c r="D29" s="176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4"/>
      <c r="P29" s="14"/>
      <c r="Q29" s="14"/>
      <c r="R29" s="14"/>
      <c r="S29" s="14"/>
      <c r="T29" s="14"/>
    </row>
    <row r="30" spans="1:23" x14ac:dyDescent="0.3">
      <c r="A30" s="111"/>
      <c r="B30" s="14"/>
      <c r="C30" s="14"/>
      <c r="D30" s="14"/>
      <c r="E30" s="14"/>
      <c r="F30" s="14"/>
      <c r="G30" s="14"/>
      <c r="H30" s="14"/>
      <c r="I30" s="14"/>
      <c r="J30" s="14"/>
      <c r="K30" s="103"/>
      <c r="L30" s="14"/>
      <c r="M30" s="14"/>
      <c r="N30" s="14"/>
      <c r="O30" s="14"/>
      <c r="P30" s="14"/>
      <c r="Q30" s="14"/>
      <c r="R30" s="14"/>
      <c r="S30" s="14"/>
      <c r="T30" s="14"/>
    </row>
    <row r="31" spans="1:23" x14ac:dyDescent="0.3">
      <c r="A31" s="14"/>
      <c r="B31" s="14"/>
      <c r="C31" s="14"/>
      <c r="D31" s="14"/>
      <c r="E31" s="14"/>
      <c r="F31" s="115"/>
      <c r="G31" s="14"/>
      <c r="H31" s="14"/>
      <c r="I31" s="14"/>
      <c r="J31" s="14"/>
      <c r="K31" s="103"/>
      <c r="L31" s="14"/>
      <c r="M31" s="14"/>
      <c r="N31" s="14"/>
      <c r="O31" s="14"/>
      <c r="P31" s="14"/>
      <c r="Q31" s="14"/>
      <c r="R31" s="14"/>
      <c r="S31" s="14"/>
      <c r="T31" s="14"/>
    </row>
    <row r="32" spans="1:23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03"/>
      <c r="L32" s="14"/>
      <c r="M32" s="14"/>
      <c r="N32" s="14"/>
      <c r="O32" s="14"/>
      <c r="P32" s="14"/>
      <c r="Q32" s="14"/>
      <c r="R32" s="14"/>
      <c r="S32" s="14"/>
      <c r="T32" s="14"/>
    </row>
    <row r="33" spans="1:20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03"/>
      <c r="L33" s="14"/>
      <c r="M33" s="14"/>
      <c r="N33" s="14"/>
      <c r="O33" s="14"/>
      <c r="P33" s="14"/>
      <c r="Q33" s="14"/>
      <c r="R33" s="14"/>
      <c r="S33" s="14"/>
      <c r="T33" s="14"/>
    </row>
    <row r="34" spans="1:20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03"/>
      <c r="L34" s="14"/>
      <c r="M34" s="14"/>
      <c r="N34" s="14"/>
      <c r="O34" s="14"/>
      <c r="P34" s="14"/>
      <c r="Q34" s="14"/>
      <c r="R34" s="14"/>
      <c r="S34" s="14"/>
      <c r="T34" s="14"/>
    </row>
    <row r="35" spans="1:20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03"/>
      <c r="L35" s="14"/>
      <c r="M35" s="14"/>
      <c r="N35" s="14"/>
      <c r="O35" s="14"/>
      <c r="P35" s="14"/>
      <c r="Q35" s="14"/>
      <c r="R35" s="14"/>
      <c r="S35" s="14"/>
      <c r="T35" s="14"/>
    </row>
  </sheetData>
  <mergeCells count="1">
    <mergeCell ref="A2:N2"/>
  </mergeCells>
  <printOptions horizontalCentered="1"/>
  <pageMargins left="0.31496062992125984" right="0.11811023622047245" top="0.74803149606299213" bottom="0.35433070866141736" header="0.31496062992125984" footer="0.31496062992125984"/>
  <pageSetup paperSize="9" scale="5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  <pageSetUpPr fitToPage="1"/>
  </sheetPr>
  <dimension ref="A1:R61"/>
  <sheetViews>
    <sheetView showGridLines="0" topLeftCell="A13" zoomScaleNormal="100" zoomScaleSheetLayoutView="90" workbookViewId="0">
      <selection activeCell="B31" sqref="B31"/>
    </sheetView>
  </sheetViews>
  <sheetFormatPr defaultColWidth="11.44140625" defaultRowHeight="14.4" x14ac:dyDescent="0.3"/>
  <cols>
    <col min="1" max="1" width="49.88671875" customWidth="1"/>
    <col min="2" max="2" width="20.33203125" customWidth="1"/>
    <col min="3" max="3" width="20.88671875" customWidth="1"/>
    <col min="4" max="4" width="20.33203125" customWidth="1"/>
    <col min="5" max="5" width="21.33203125" customWidth="1"/>
    <col min="6" max="6" width="20.44140625" customWidth="1"/>
    <col min="7" max="7" width="18.33203125" customWidth="1"/>
    <col min="8" max="8" width="18.33203125" style="102" customWidth="1"/>
    <col min="9" max="9" width="18.44140625" customWidth="1"/>
    <col min="10" max="10" width="0.109375" style="102" hidden="1" customWidth="1"/>
    <col min="11" max="11" width="19.88671875" hidden="1" customWidth="1"/>
    <col min="12" max="12" width="20.88671875" hidden="1" customWidth="1"/>
    <col min="13" max="13" width="19.33203125" hidden="1" customWidth="1"/>
    <col min="14" max="14" width="19.33203125" customWidth="1"/>
    <col min="15" max="15" width="6.5546875" customWidth="1"/>
    <col min="16" max="16" width="16" bestFit="1" customWidth="1"/>
  </cols>
  <sheetData>
    <row r="1" spans="1:18" ht="20.100000000000001" customHeight="1" thickBot="1" x14ac:dyDescent="0.35">
      <c r="A1" s="29"/>
      <c r="B1" s="29"/>
      <c r="C1" s="29"/>
      <c r="D1" s="29"/>
      <c r="E1" s="29"/>
      <c r="F1" s="29"/>
      <c r="G1" s="29"/>
      <c r="H1" s="117"/>
      <c r="I1" s="29"/>
      <c r="J1" s="103"/>
      <c r="K1" s="14"/>
      <c r="L1" s="14"/>
      <c r="M1" s="14"/>
      <c r="N1" s="14"/>
    </row>
    <row r="2" spans="1:18" ht="20.25" customHeight="1" thickBot="1" x14ac:dyDescent="0.35">
      <c r="A2" s="227" t="s">
        <v>80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9"/>
      <c r="O2" s="14"/>
    </row>
    <row r="3" spans="1:18" ht="20.100000000000001" customHeight="1" thickBot="1" x14ac:dyDescent="0.35">
      <c r="A3" s="29"/>
      <c r="B3" s="29"/>
      <c r="C3" s="30"/>
      <c r="D3" s="29"/>
      <c r="E3" s="29"/>
      <c r="F3" s="29"/>
      <c r="G3" s="29"/>
      <c r="H3" s="117"/>
      <c r="K3" s="14"/>
      <c r="L3" s="14"/>
      <c r="M3" s="14"/>
      <c r="N3" s="14"/>
      <c r="O3" s="14"/>
    </row>
    <row r="4" spans="1:18" ht="25.5" customHeight="1" thickBot="1" x14ac:dyDescent="0.35">
      <c r="A4" s="31" t="s">
        <v>8</v>
      </c>
      <c r="B4" s="32" t="s">
        <v>0</v>
      </c>
      <c r="C4" s="32" t="s">
        <v>48</v>
      </c>
      <c r="D4" s="32" t="s">
        <v>1</v>
      </c>
      <c r="E4" s="32" t="s">
        <v>2</v>
      </c>
      <c r="F4" s="32" t="s">
        <v>3</v>
      </c>
      <c r="G4" s="32" t="s">
        <v>68</v>
      </c>
      <c r="H4" s="32" t="s">
        <v>69</v>
      </c>
      <c r="I4" s="32" t="s">
        <v>38</v>
      </c>
      <c r="J4" s="32" t="s">
        <v>39</v>
      </c>
      <c r="K4" s="32" t="s">
        <v>40</v>
      </c>
      <c r="L4" s="32" t="s">
        <v>44</v>
      </c>
      <c r="M4" s="32" t="s">
        <v>43</v>
      </c>
      <c r="N4" s="33" t="s">
        <v>7</v>
      </c>
      <c r="O4" s="14"/>
      <c r="Q4" s="43"/>
    </row>
    <row r="5" spans="1:18" ht="20.100000000000001" customHeight="1" x14ac:dyDescent="0.3">
      <c r="A5" s="5" t="s">
        <v>55</v>
      </c>
      <c r="B5" s="47">
        <v>844069.75</v>
      </c>
      <c r="C5" s="48">
        <v>808897</v>
      </c>
      <c r="D5" s="48">
        <v>859885</v>
      </c>
      <c r="E5" s="48">
        <v>814061.19</v>
      </c>
      <c r="F5" s="122">
        <v>588616</v>
      </c>
      <c r="G5" s="122">
        <v>1177621.53</v>
      </c>
      <c r="H5" s="47">
        <v>813255</v>
      </c>
      <c r="I5" s="55"/>
      <c r="J5" s="122"/>
      <c r="K5" s="122"/>
      <c r="L5" s="139"/>
      <c r="M5" s="101"/>
      <c r="N5" s="50">
        <f t="shared" ref="N5:N9" si="0">SUM(B5:M5)</f>
        <v>5906405.4699999997</v>
      </c>
      <c r="O5" s="62"/>
    </row>
    <row r="6" spans="1:18" ht="20.100000000000001" customHeight="1" x14ac:dyDescent="0.3">
      <c r="A6" s="70" t="s">
        <v>79</v>
      </c>
      <c r="B6" s="18">
        <v>53847</v>
      </c>
      <c r="C6" s="19">
        <v>61757</v>
      </c>
      <c r="D6" s="19">
        <v>26303</v>
      </c>
      <c r="E6" s="19">
        <v>55160</v>
      </c>
      <c r="F6" s="19">
        <v>33567</v>
      </c>
      <c r="G6" s="20">
        <f>80000</f>
        <v>80000</v>
      </c>
      <c r="H6" s="18">
        <v>40000</v>
      </c>
      <c r="I6" s="52"/>
      <c r="J6" s="20"/>
      <c r="K6" s="20"/>
      <c r="L6" s="110"/>
      <c r="M6" s="24"/>
      <c r="N6" s="35">
        <f t="shared" si="0"/>
        <v>350634</v>
      </c>
      <c r="O6" s="134"/>
      <c r="P6" s="206"/>
    </row>
    <row r="7" spans="1:18" ht="20.100000000000001" customHeight="1" x14ac:dyDescent="0.3">
      <c r="A7" s="4" t="s">
        <v>12</v>
      </c>
      <c r="B7" s="18"/>
      <c r="C7" s="52"/>
      <c r="D7" s="19"/>
      <c r="E7" s="52"/>
      <c r="F7" s="20"/>
      <c r="G7" s="20"/>
      <c r="H7" s="18"/>
      <c r="I7" s="52"/>
      <c r="J7" s="20"/>
      <c r="K7" s="20"/>
      <c r="L7" s="84"/>
      <c r="M7" s="154"/>
      <c r="N7" s="35">
        <f t="shared" si="0"/>
        <v>0</v>
      </c>
      <c r="O7" s="14"/>
      <c r="P7" s="42"/>
    </row>
    <row r="8" spans="1:18" ht="19.5" customHeight="1" thickBot="1" x14ac:dyDescent="0.35">
      <c r="A8" s="70" t="s">
        <v>81</v>
      </c>
      <c r="B8" s="52">
        <v>273124</v>
      </c>
      <c r="C8" s="19">
        <v>85125</v>
      </c>
      <c r="D8" s="19">
        <v>336326</v>
      </c>
      <c r="E8" s="19">
        <v>188441</v>
      </c>
      <c r="F8" s="19">
        <f>293507</f>
        <v>293507</v>
      </c>
      <c r="G8" s="19">
        <v>74299.48</v>
      </c>
      <c r="H8" s="19">
        <v>50000</v>
      </c>
      <c r="I8" s="19"/>
      <c r="J8" s="19"/>
      <c r="K8" s="19"/>
      <c r="L8" s="154"/>
      <c r="M8" s="154"/>
      <c r="N8" s="35">
        <f t="shared" si="0"/>
        <v>1300822.48</v>
      </c>
      <c r="O8" s="14"/>
      <c r="P8" s="206"/>
    </row>
    <row r="9" spans="1:18" ht="19.5" customHeight="1" thickBot="1" x14ac:dyDescent="0.35">
      <c r="A9" s="171" t="s">
        <v>82</v>
      </c>
      <c r="B9" s="53"/>
      <c r="C9" s="88"/>
      <c r="D9" s="88"/>
      <c r="E9" s="54"/>
      <c r="F9" s="88"/>
      <c r="G9" s="127"/>
      <c r="H9" s="88"/>
      <c r="I9" s="88"/>
      <c r="J9" s="127"/>
      <c r="K9" s="127"/>
      <c r="L9" s="85"/>
      <c r="M9" s="86"/>
      <c r="N9" s="83">
        <f t="shared" si="0"/>
        <v>0</v>
      </c>
      <c r="O9" s="14"/>
      <c r="P9" s="51"/>
      <c r="R9" s="210"/>
    </row>
    <row r="10" spans="1:18" ht="18.75" customHeight="1" thickBot="1" x14ac:dyDescent="0.35">
      <c r="A10" s="89" t="s">
        <v>91</v>
      </c>
      <c r="B10" s="74">
        <f t="shared" ref="B10:M10" si="1">+SUM(B5:B9)</f>
        <v>1171040.75</v>
      </c>
      <c r="C10" s="74">
        <f t="shared" si="1"/>
        <v>955779</v>
      </c>
      <c r="D10" s="74">
        <f t="shared" si="1"/>
        <v>1222514</v>
      </c>
      <c r="E10" s="74">
        <f t="shared" si="1"/>
        <v>1057662.19</v>
      </c>
      <c r="F10" s="74">
        <f t="shared" si="1"/>
        <v>915690</v>
      </c>
      <c r="G10" s="74">
        <f t="shared" si="1"/>
        <v>1331921.01</v>
      </c>
      <c r="H10" s="74">
        <f t="shared" si="1"/>
        <v>903255</v>
      </c>
      <c r="I10" s="192">
        <f t="shared" si="1"/>
        <v>0</v>
      </c>
      <c r="J10" s="74">
        <f>+SUM(J5:J9)</f>
        <v>0</v>
      </c>
      <c r="K10" s="74">
        <f t="shared" si="1"/>
        <v>0</v>
      </c>
      <c r="L10" s="98">
        <f t="shared" si="1"/>
        <v>0</v>
      </c>
      <c r="M10" s="98">
        <f t="shared" si="1"/>
        <v>0</v>
      </c>
      <c r="N10" s="75">
        <f>+SUM(B10:M10)</f>
        <v>7557861.9499999993</v>
      </c>
      <c r="O10" s="14"/>
    </row>
    <row r="11" spans="1:18" ht="20.25" hidden="1" customHeight="1" x14ac:dyDescent="0.3">
      <c r="A11" s="22"/>
      <c r="B11" s="76"/>
      <c r="C11" s="76"/>
      <c r="D11" s="76"/>
      <c r="E11" s="76"/>
      <c r="F11" s="76"/>
      <c r="G11" s="128"/>
      <c r="H11" s="76"/>
      <c r="I11" s="76"/>
      <c r="J11" s="76"/>
      <c r="K11" s="76"/>
      <c r="L11" s="135"/>
      <c r="M11" s="99"/>
      <c r="N11" s="77">
        <f>SUM(B11:M11)</f>
        <v>0</v>
      </c>
      <c r="O11" s="14"/>
    </row>
    <row r="12" spans="1:18" ht="18.75" hidden="1" customHeight="1" thickBot="1" x14ac:dyDescent="0.35">
      <c r="A12" s="89" t="s">
        <v>15</v>
      </c>
      <c r="B12" s="74">
        <f>+SUM(B11)</f>
        <v>0</v>
      </c>
      <c r="C12" s="74">
        <f>+SUM(C1)</f>
        <v>0</v>
      </c>
      <c r="D12" s="200">
        <f>+SUM(D1)</f>
        <v>0</v>
      </c>
      <c r="E12" s="74">
        <f t="shared" ref="E12:M12" si="2">+SUM(E11)</f>
        <v>0</v>
      </c>
      <c r="F12" s="137">
        <f>+SUM(F11)</f>
        <v>0</v>
      </c>
      <c r="G12" s="137">
        <f>+SUM(G11)</f>
        <v>0</v>
      </c>
      <c r="H12" s="74">
        <f t="shared" si="2"/>
        <v>0</v>
      </c>
      <c r="I12" s="192">
        <f t="shared" si="2"/>
        <v>0</v>
      </c>
      <c r="J12" s="74">
        <f t="shared" si="2"/>
        <v>0</v>
      </c>
      <c r="K12" s="74">
        <f t="shared" si="2"/>
        <v>0</v>
      </c>
      <c r="L12" s="98">
        <f t="shared" si="2"/>
        <v>0</v>
      </c>
      <c r="M12" s="98">
        <f t="shared" si="2"/>
        <v>0</v>
      </c>
      <c r="N12" s="78">
        <f>+SUM(B12:K12)</f>
        <v>0</v>
      </c>
      <c r="O12" s="14"/>
    </row>
    <row r="13" spans="1:18" s="14" customFormat="1" ht="6.75" customHeight="1" thickBot="1" x14ac:dyDescent="0.35">
      <c r="B13" s="148">
        <v>0</v>
      </c>
      <c r="C13" s="148">
        <v>0</v>
      </c>
      <c r="D13" s="148">
        <v>0</v>
      </c>
      <c r="E13" s="148"/>
      <c r="F13" s="187"/>
      <c r="G13" s="129"/>
      <c r="H13" s="148"/>
      <c r="I13" s="148"/>
      <c r="J13" s="148"/>
      <c r="K13" s="148"/>
      <c r="L13" s="141"/>
      <c r="M13" s="141"/>
      <c r="N13" s="62"/>
    </row>
    <row r="14" spans="1:18" ht="21" customHeight="1" thickBot="1" x14ac:dyDescent="0.35">
      <c r="A14" s="16" t="s">
        <v>6</v>
      </c>
      <c r="B14" s="36">
        <f>+SUM(B10+B12)</f>
        <v>1171040.75</v>
      </c>
      <c r="C14" s="36">
        <f>+SUM(C10+C12)</f>
        <v>955779</v>
      </c>
      <c r="D14" s="36">
        <f t="shared" ref="D14" si="3">+SUM(D10+D12)</f>
        <v>1222514</v>
      </c>
      <c r="E14" s="36">
        <f>+SUM(E10+E12)</f>
        <v>1057662.19</v>
      </c>
      <c r="F14" s="138">
        <f>+SUM(F10+F12)</f>
        <v>915690</v>
      </c>
      <c r="G14" s="138">
        <f>+SUM(G10+G12)</f>
        <v>1331921.01</v>
      </c>
      <c r="H14" s="36">
        <f t="shared" ref="H14:M14" si="4">+SUM(H10+H12)</f>
        <v>903255</v>
      </c>
      <c r="I14" s="36">
        <f t="shared" si="4"/>
        <v>0</v>
      </c>
      <c r="J14" s="36">
        <f t="shared" si="4"/>
        <v>0</v>
      </c>
      <c r="K14" s="36">
        <f t="shared" si="4"/>
        <v>0</v>
      </c>
      <c r="L14" s="140">
        <f t="shared" si="4"/>
        <v>0</v>
      </c>
      <c r="M14" s="140">
        <f t="shared" si="4"/>
        <v>0</v>
      </c>
      <c r="N14" s="37">
        <f>SUM(B14:M14)</f>
        <v>7557861.9499999993</v>
      </c>
      <c r="O14" s="14"/>
    </row>
    <row r="15" spans="1:18" ht="15.75" customHeight="1" thickBot="1" x14ac:dyDescent="0.35">
      <c r="A15" s="14"/>
      <c r="B15" s="148"/>
      <c r="C15" s="148"/>
      <c r="D15" s="148"/>
      <c r="E15" s="148"/>
      <c r="F15" s="187"/>
      <c r="G15" s="129"/>
      <c r="H15" s="148"/>
      <c r="I15" s="148"/>
      <c r="J15" s="148"/>
      <c r="K15" s="148"/>
      <c r="L15" s="141"/>
      <c r="M15" s="141"/>
      <c r="N15" s="62"/>
      <c r="O15" s="14"/>
    </row>
    <row r="16" spans="1:18" ht="20.100000000000001" customHeight="1" x14ac:dyDescent="0.3">
      <c r="A16" s="23" t="s">
        <v>53</v>
      </c>
      <c r="B16" s="79">
        <v>119578</v>
      </c>
      <c r="C16" s="79">
        <v>127935</v>
      </c>
      <c r="D16" s="79">
        <v>77788</v>
      </c>
      <c r="E16" s="173">
        <v>107267</v>
      </c>
      <c r="F16" s="173">
        <v>138748</v>
      </c>
      <c r="G16" s="173">
        <v>180000</v>
      </c>
      <c r="H16" s="173">
        <v>165000</v>
      </c>
      <c r="I16" s="173"/>
      <c r="J16" s="173"/>
      <c r="K16" s="173"/>
      <c r="L16" s="155"/>
      <c r="M16" s="155"/>
      <c r="N16" s="34">
        <f>SUM(B16:M16)</f>
        <v>916316</v>
      </c>
      <c r="O16" s="14"/>
    </row>
    <row r="17" spans="1:18" ht="21.75" customHeight="1" x14ac:dyDescent="0.3">
      <c r="A17" s="4" t="s">
        <v>23</v>
      </c>
      <c r="B17" s="199">
        <v>260429</v>
      </c>
      <c r="C17" s="52">
        <v>317390</v>
      </c>
      <c r="D17" s="52">
        <f>52458+3450</f>
        <v>55908</v>
      </c>
      <c r="E17" s="19">
        <v>197019</v>
      </c>
      <c r="F17" s="19">
        <v>111426</v>
      </c>
      <c r="G17" s="19">
        <v>292000</v>
      </c>
      <c r="H17" s="19">
        <v>205000</v>
      </c>
      <c r="I17" s="52"/>
      <c r="J17" s="19"/>
      <c r="K17" s="19"/>
      <c r="L17" s="154"/>
      <c r="M17" s="110"/>
      <c r="N17" s="35">
        <f>SUM(B17:M17)</f>
        <v>1439172</v>
      </c>
      <c r="O17" s="14"/>
      <c r="P17" s="51"/>
      <c r="Q17" s="51"/>
    </row>
    <row r="18" spans="1:18" ht="19.5" hidden="1" customHeight="1" x14ac:dyDescent="0.3">
      <c r="A18" s="70" t="s">
        <v>46</v>
      </c>
      <c r="B18" s="18"/>
      <c r="C18" s="21"/>
      <c r="D18" s="21"/>
      <c r="E18" s="21"/>
      <c r="F18" s="20"/>
      <c r="G18" s="20"/>
      <c r="H18" s="21"/>
      <c r="I18" s="52"/>
      <c r="J18" s="20"/>
      <c r="K18" s="180"/>
      <c r="L18" s="84"/>
      <c r="M18" s="84"/>
      <c r="N18" s="35">
        <f>SUM(B18:M18)</f>
        <v>0</v>
      </c>
      <c r="O18" s="14"/>
    </row>
    <row r="19" spans="1:18" ht="21.75" customHeight="1" thickBot="1" x14ac:dyDescent="0.35">
      <c r="A19" s="220" t="s">
        <v>73</v>
      </c>
      <c r="B19" s="175"/>
      <c r="C19" s="175"/>
      <c r="D19" s="71"/>
      <c r="E19" s="71"/>
      <c r="F19" s="174">
        <v>1015</v>
      </c>
      <c r="G19" s="174"/>
      <c r="H19" s="71"/>
      <c r="I19" s="175"/>
      <c r="J19" s="174"/>
      <c r="K19" s="214"/>
      <c r="L19" s="221"/>
      <c r="M19" s="221"/>
      <c r="N19" s="67">
        <f>SUM(B19:M19)</f>
        <v>1015</v>
      </c>
      <c r="O19" s="14"/>
    </row>
    <row r="20" spans="1:18" ht="22.5" customHeight="1" thickBot="1" x14ac:dyDescent="0.35">
      <c r="A20" s="225" t="s">
        <v>16</v>
      </c>
      <c r="B20" s="215">
        <f>+SUM(B16:B19)</f>
        <v>380007</v>
      </c>
      <c r="C20" s="215">
        <f>+SUM(C16:C19)</f>
        <v>445325</v>
      </c>
      <c r="D20" s="215">
        <f>+SUM(D16:D18)</f>
        <v>133696</v>
      </c>
      <c r="E20" s="215">
        <f>+E16+E17</f>
        <v>304286</v>
      </c>
      <c r="F20" s="216">
        <f>+SUM(F16:F19)</f>
        <v>251189</v>
      </c>
      <c r="G20" s="216">
        <f>+SUM(G16:G18)</f>
        <v>472000</v>
      </c>
      <c r="H20" s="215">
        <f>+SUM(H16:H18)</f>
        <v>370000</v>
      </c>
      <c r="I20" s="217">
        <f>+SUM(I16:I19)</f>
        <v>0</v>
      </c>
      <c r="J20" s="215">
        <f>+SUM(J16:J19)</f>
        <v>0</v>
      </c>
      <c r="K20" s="215">
        <f>+SUM(K16:K19)</f>
        <v>0</v>
      </c>
      <c r="L20" s="218">
        <f t="shared" ref="L20:M20" si="5">+SUM(L16:L18)</f>
        <v>0</v>
      </c>
      <c r="M20" s="218">
        <f t="shared" si="5"/>
        <v>0</v>
      </c>
      <c r="N20" s="219">
        <f>SUM(B20:M20)</f>
        <v>2356503</v>
      </c>
      <c r="O20" s="14"/>
    </row>
    <row r="21" spans="1:18" ht="10.5" customHeight="1" x14ac:dyDescent="0.3">
      <c r="A21" s="27"/>
      <c r="B21" s="136"/>
      <c r="C21" s="136"/>
      <c r="D21" s="136"/>
      <c r="E21" s="136"/>
      <c r="F21" s="188"/>
      <c r="G21" s="129"/>
      <c r="H21" s="136"/>
      <c r="I21" s="136"/>
      <c r="J21" s="136"/>
      <c r="K21" s="136"/>
      <c r="L21" s="142"/>
      <c r="M21" s="142"/>
      <c r="N21" s="224"/>
      <c r="O21" s="14"/>
    </row>
    <row r="22" spans="1:18" ht="19.5" hidden="1" customHeight="1" x14ac:dyDescent="0.3">
      <c r="A22" s="212"/>
      <c r="B22" s="26"/>
      <c r="C22" s="26"/>
      <c r="D22" s="26"/>
      <c r="E22" s="26"/>
      <c r="F22" s="126"/>
      <c r="G22" s="126"/>
      <c r="H22" s="26"/>
      <c r="I22" s="79"/>
      <c r="J22" s="26"/>
      <c r="K22" s="153"/>
      <c r="L22" s="156"/>
      <c r="M22" s="156"/>
      <c r="N22" s="50">
        <f>SUM(B22:M22)</f>
        <v>0</v>
      </c>
      <c r="O22" s="14"/>
      <c r="R22" t="s">
        <v>67</v>
      </c>
    </row>
    <row r="23" spans="1:18" ht="19.5" hidden="1" customHeight="1" x14ac:dyDescent="0.3">
      <c r="A23" s="70"/>
      <c r="B23" s="19">
        <v>0</v>
      </c>
      <c r="C23" s="19">
        <v>0</v>
      </c>
      <c r="D23" s="19">
        <v>0</v>
      </c>
      <c r="E23" s="205">
        <v>0</v>
      </c>
      <c r="F23" s="19"/>
      <c r="G23" s="19">
        <v>0</v>
      </c>
      <c r="H23" s="205">
        <v>0</v>
      </c>
      <c r="I23" s="211">
        <v>0</v>
      </c>
      <c r="J23" s="203">
        <v>0</v>
      </c>
      <c r="K23" s="202">
        <v>0</v>
      </c>
      <c r="L23" s="204">
        <v>0</v>
      </c>
      <c r="M23" s="204">
        <v>0</v>
      </c>
      <c r="N23" s="208">
        <f>SUM(B23:M23)</f>
        <v>0</v>
      </c>
      <c r="O23" s="62"/>
      <c r="P23">
        <v>17750</v>
      </c>
      <c r="Q23">
        <v>23.6</v>
      </c>
      <c r="R23" s="210">
        <f>+P23*Q23</f>
        <v>418900</v>
      </c>
    </row>
    <row r="24" spans="1:18" ht="19.5" hidden="1" customHeight="1" thickBot="1" x14ac:dyDescent="0.35">
      <c r="A24" s="183"/>
      <c r="B24" s="28">
        <f t="shared" ref="B24:M24" si="6">+SUM(B22:B23)</f>
        <v>0</v>
      </c>
      <c r="C24" s="28">
        <f t="shared" si="6"/>
        <v>0</v>
      </c>
      <c r="D24" s="201">
        <f t="shared" si="6"/>
        <v>0</v>
      </c>
      <c r="E24" s="28">
        <f t="shared" si="6"/>
        <v>0</v>
      </c>
      <c r="F24" s="28">
        <f t="shared" si="6"/>
        <v>0</v>
      </c>
      <c r="G24" s="28">
        <f t="shared" si="6"/>
        <v>0</v>
      </c>
      <c r="H24" s="28">
        <f t="shared" si="6"/>
        <v>0</v>
      </c>
      <c r="I24" s="193">
        <f t="shared" si="6"/>
        <v>0</v>
      </c>
      <c r="J24" s="28">
        <f t="shared" si="6"/>
        <v>0</v>
      </c>
      <c r="K24" s="28">
        <f t="shared" si="6"/>
        <v>0</v>
      </c>
      <c r="L24" s="125">
        <f t="shared" si="6"/>
        <v>0</v>
      </c>
      <c r="M24" s="125">
        <f t="shared" si="6"/>
        <v>0</v>
      </c>
      <c r="N24" s="38">
        <f>SUM(B24:M24)</f>
        <v>0</v>
      </c>
      <c r="O24" s="14"/>
      <c r="Q24" s="94"/>
    </row>
    <row r="25" spans="1:18" ht="9" customHeight="1" thickBot="1" x14ac:dyDescent="0.35"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42"/>
      <c r="M25" s="142"/>
      <c r="N25" s="42"/>
      <c r="O25" s="14"/>
    </row>
    <row r="26" spans="1:18" ht="21" customHeight="1" thickBot="1" x14ac:dyDescent="0.35">
      <c r="A26" s="16" t="s">
        <v>16</v>
      </c>
      <c r="B26" s="36">
        <f t="shared" ref="B26:M26" si="7">+SUM(B20+B24)</f>
        <v>380007</v>
      </c>
      <c r="C26" s="36">
        <f t="shared" si="7"/>
        <v>445325</v>
      </c>
      <c r="D26" s="36">
        <f t="shared" si="7"/>
        <v>133696</v>
      </c>
      <c r="E26" s="36">
        <f t="shared" si="7"/>
        <v>304286</v>
      </c>
      <c r="F26" s="36">
        <f t="shared" si="7"/>
        <v>251189</v>
      </c>
      <c r="G26" s="36">
        <f t="shared" si="7"/>
        <v>472000</v>
      </c>
      <c r="H26" s="36">
        <f t="shared" si="7"/>
        <v>370000</v>
      </c>
      <c r="I26" s="36">
        <f t="shared" si="7"/>
        <v>0</v>
      </c>
      <c r="J26" s="36">
        <f t="shared" si="7"/>
        <v>0</v>
      </c>
      <c r="K26" s="36">
        <f t="shared" si="7"/>
        <v>0</v>
      </c>
      <c r="L26" s="140">
        <f t="shared" si="7"/>
        <v>0</v>
      </c>
      <c r="M26" s="140">
        <f t="shared" si="7"/>
        <v>0</v>
      </c>
      <c r="N26" s="37">
        <f>SUM(B26:M26)</f>
        <v>2356503</v>
      </c>
      <c r="O26" s="14"/>
      <c r="Q26" s="51"/>
    </row>
    <row r="27" spans="1:18" ht="13.5" customHeight="1" thickBot="1" x14ac:dyDescent="0.35"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42"/>
      <c r="M27" s="142"/>
      <c r="N27" s="42"/>
      <c r="O27" s="14" t="s">
        <v>18</v>
      </c>
    </row>
    <row r="28" spans="1:18" ht="21.75" customHeight="1" thickBot="1" x14ac:dyDescent="0.35">
      <c r="A28" s="184" t="s">
        <v>17</v>
      </c>
      <c r="B28" s="90">
        <f t="shared" ref="B28:M28" si="8">+B14-B26</f>
        <v>791033.75</v>
      </c>
      <c r="C28" s="90">
        <f t="shared" si="8"/>
        <v>510454</v>
      </c>
      <c r="D28" s="90">
        <f t="shared" si="8"/>
        <v>1088818</v>
      </c>
      <c r="E28" s="90">
        <f t="shared" si="8"/>
        <v>753376.19</v>
      </c>
      <c r="F28" s="90">
        <f t="shared" si="8"/>
        <v>664501</v>
      </c>
      <c r="G28" s="95">
        <f t="shared" si="8"/>
        <v>859921.01</v>
      </c>
      <c r="H28" s="95">
        <f t="shared" si="8"/>
        <v>533255</v>
      </c>
      <c r="I28" s="191">
        <f t="shared" si="8"/>
        <v>0</v>
      </c>
      <c r="J28" s="90">
        <f t="shared" si="8"/>
        <v>0</v>
      </c>
      <c r="K28" s="90">
        <f t="shared" si="8"/>
        <v>0</v>
      </c>
      <c r="L28" s="95">
        <f t="shared" si="8"/>
        <v>0</v>
      </c>
      <c r="M28" s="95">
        <f t="shared" si="8"/>
        <v>0</v>
      </c>
      <c r="N28" s="189">
        <f>SUM(B28:M28)</f>
        <v>5201358.95</v>
      </c>
      <c r="O28" s="14"/>
    </row>
    <row r="29" spans="1:18" ht="20.100000000000001" customHeight="1" x14ac:dyDescent="0.3">
      <c r="A29" s="111"/>
      <c r="B29" s="29"/>
      <c r="C29" s="29"/>
      <c r="D29" s="29"/>
      <c r="E29" s="29"/>
      <c r="F29" s="29"/>
      <c r="G29" s="29"/>
      <c r="H29" s="117"/>
      <c r="I29" s="29"/>
      <c r="J29" s="103"/>
      <c r="K29" s="14"/>
      <c r="L29" s="14"/>
      <c r="M29" s="14"/>
      <c r="N29" s="14"/>
      <c r="O29" s="14"/>
    </row>
    <row r="30" spans="1:18" x14ac:dyDescent="0.3">
      <c r="A30" s="82" t="s">
        <v>101</v>
      </c>
      <c r="B30" s="80"/>
      <c r="C30" s="80"/>
      <c r="D30" s="29"/>
      <c r="E30" s="130"/>
      <c r="F30" s="29"/>
      <c r="G30" s="130"/>
      <c r="H30" s="146"/>
      <c r="I30" s="29"/>
      <c r="J30" s="103"/>
      <c r="K30" s="14"/>
      <c r="L30" s="131"/>
      <c r="M30" s="132"/>
      <c r="N30" s="80"/>
      <c r="O30" s="14"/>
    </row>
    <row r="31" spans="1:18" ht="17.25" customHeight="1" x14ac:dyDescent="0.3">
      <c r="A31" s="82" t="s">
        <v>22</v>
      </c>
      <c r="B31" s="14"/>
      <c r="C31" s="80"/>
      <c r="D31" s="29"/>
      <c r="E31" s="29"/>
      <c r="F31" s="81"/>
      <c r="G31" s="145"/>
      <c r="H31" s="144"/>
      <c r="I31" s="29"/>
      <c r="J31" s="103"/>
      <c r="K31" s="80"/>
      <c r="L31" s="131"/>
      <c r="M31" s="133">
        <f>(334822/2)-10824</f>
        <v>156587</v>
      </c>
      <c r="N31" s="131"/>
      <c r="O31" s="14"/>
    </row>
    <row r="32" spans="1:18" ht="16.5" customHeight="1" x14ac:dyDescent="0.3">
      <c r="A32" s="179" t="s">
        <v>57</v>
      </c>
      <c r="B32" s="14"/>
      <c r="C32" s="14"/>
      <c r="D32" s="29"/>
      <c r="E32" s="29"/>
      <c r="F32" s="29"/>
      <c r="G32" s="81"/>
      <c r="H32" s="144"/>
      <c r="I32" s="29"/>
      <c r="J32" s="103"/>
      <c r="K32" s="80"/>
      <c r="L32" s="131"/>
      <c r="M32" s="133"/>
      <c r="N32" s="131"/>
      <c r="O32" s="14"/>
    </row>
    <row r="33" spans="1:15" ht="16.5" customHeight="1" x14ac:dyDescent="0.3">
      <c r="A33" s="177"/>
      <c r="B33" s="14"/>
      <c r="C33" s="14"/>
      <c r="D33" s="29"/>
      <c r="E33" s="29"/>
      <c r="F33" s="29"/>
      <c r="G33" s="81"/>
      <c r="H33" s="144"/>
      <c r="I33" s="29"/>
      <c r="J33" s="103"/>
      <c r="K33" s="80"/>
      <c r="L33" s="131"/>
      <c r="M33" s="133"/>
      <c r="N33" s="131"/>
      <c r="O33" s="14"/>
    </row>
    <row r="34" spans="1:15" x14ac:dyDescent="0.3">
      <c r="A34" s="113" t="s">
        <v>26</v>
      </c>
      <c r="B34" s="14"/>
      <c r="C34" s="14"/>
      <c r="D34" s="29"/>
      <c r="E34" s="29"/>
      <c r="F34" s="29"/>
      <c r="G34" s="29"/>
      <c r="H34" s="117"/>
      <c r="I34" s="151"/>
      <c r="J34" s="103"/>
      <c r="K34" s="14"/>
      <c r="L34" s="14"/>
      <c r="M34" s="14"/>
      <c r="N34" s="14"/>
      <c r="O34" s="14"/>
    </row>
    <row r="35" spans="1:15" ht="15.75" customHeight="1" x14ac:dyDescent="0.3">
      <c r="A35" s="151" t="s">
        <v>87</v>
      </c>
      <c r="B35" s="114"/>
      <c r="C35" s="114"/>
      <c r="D35" s="29"/>
      <c r="E35" s="29"/>
      <c r="F35" s="29"/>
      <c r="G35" s="111"/>
      <c r="H35" s="29"/>
      <c r="I35" s="29"/>
      <c r="J35" s="103"/>
      <c r="K35" s="14"/>
      <c r="L35" s="14"/>
      <c r="M35" s="14"/>
      <c r="N35" s="14"/>
      <c r="O35" s="14"/>
    </row>
    <row r="36" spans="1:15" ht="15.75" customHeight="1" x14ac:dyDescent="0.3">
      <c r="A36" s="151" t="s">
        <v>88</v>
      </c>
      <c r="B36" s="114"/>
      <c r="C36" s="114"/>
      <c r="D36" s="29"/>
      <c r="E36" s="29"/>
      <c r="F36" s="29"/>
      <c r="G36" s="111"/>
      <c r="H36" s="29"/>
      <c r="I36" s="29"/>
      <c r="J36" s="103"/>
      <c r="K36" s="14"/>
      <c r="L36" s="14"/>
      <c r="M36" s="14"/>
      <c r="N36" s="14"/>
      <c r="O36" s="14"/>
    </row>
    <row r="37" spans="1:15" ht="15" customHeight="1" x14ac:dyDescent="0.3">
      <c r="A37" s="151"/>
      <c r="B37" s="114"/>
      <c r="C37" s="114"/>
      <c r="D37" s="29"/>
      <c r="E37" s="29"/>
      <c r="F37" s="29"/>
      <c r="G37" s="111"/>
      <c r="H37" s="29"/>
      <c r="I37" s="29"/>
      <c r="J37" s="103"/>
      <c r="K37" s="14"/>
      <c r="L37" s="14"/>
      <c r="M37" s="14"/>
      <c r="N37" s="14"/>
      <c r="O37" s="14"/>
    </row>
    <row r="38" spans="1:15" ht="16.5" customHeight="1" x14ac:dyDescent="0.3">
      <c r="A38" s="111" t="s">
        <v>34</v>
      </c>
      <c r="B38" s="114"/>
      <c r="C38" s="114"/>
      <c r="D38" s="29"/>
      <c r="E38" s="29"/>
      <c r="F38" s="29"/>
      <c r="G38" s="111"/>
      <c r="H38" s="29"/>
      <c r="I38" s="29"/>
      <c r="J38" s="103"/>
      <c r="K38" s="14"/>
      <c r="L38" s="14"/>
      <c r="M38" s="14"/>
      <c r="N38" s="14"/>
      <c r="O38" s="14"/>
    </row>
    <row r="39" spans="1:15" ht="18" customHeight="1" x14ac:dyDescent="0.3">
      <c r="A39" s="111" t="s">
        <v>61</v>
      </c>
      <c r="B39" s="114"/>
      <c r="C39" s="114"/>
      <c r="D39" s="14"/>
      <c r="E39" s="14"/>
      <c r="F39" s="14"/>
      <c r="G39" s="14"/>
      <c r="H39" s="103"/>
      <c r="I39" s="14"/>
      <c r="J39" s="103"/>
      <c r="K39" s="14"/>
      <c r="L39" s="14"/>
      <c r="M39" s="14"/>
      <c r="N39" s="14"/>
      <c r="O39" s="14"/>
    </row>
    <row r="40" spans="1:15" x14ac:dyDescent="0.3">
      <c r="A40" s="111"/>
      <c r="B40" s="14"/>
      <c r="C40" s="14"/>
      <c r="D40" s="40"/>
      <c r="E40" s="40"/>
      <c r="F40" s="40"/>
      <c r="G40" s="40"/>
      <c r="H40" s="39"/>
      <c r="I40" s="40"/>
      <c r="J40" s="39"/>
      <c r="K40" s="40"/>
      <c r="L40" s="40"/>
      <c r="M40" s="40"/>
      <c r="N40" s="40"/>
    </row>
    <row r="41" spans="1:15" x14ac:dyDescent="0.3">
      <c r="A41" s="39"/>
    </row>
    <row r="42" spans="1:15" x14ac:dyDescent="0.3">
      <c r="A42" s="39"/>
    </row>
    <row r="43" spans="1:15" hidden="1" x14ac:dyDescent="0.3">
      <c r="B43" s="41">
        <v>34000</v>
      </c>
      <c r="C43" s="41">
        <v>44000</v>
      </c>
    </row>
    <row r="44" spans="1:15" hidden="1" x14ac:dyDescent="0.3">
      <c r="B44" s="41">
        <v>66111</v>
      </c>
      <c r="C44" s="42">
        <v>76305</v>
      </c>
    </row>
    <row r="45" spans="1:15" hidden="1" x14ac:dyDescent="0.3">
      <c r="B45" s="42">
        <f>SUM(B43:B44)</f>
        <v>100111</v>
      </c>
      <c r="C45" s="42">
        <f>SUM(C43:C44)</f>
        <v>120305</v>
      </c>
    </row>
    <row r="46" spans="1:15" hidden="1" x14ac:dyDescent="0.3">
      <c r="F46" t="s">
        <v>31</v>
      </c>
    </row>
    <row r="47" spans="1:15" hidden="1" x14ac:dyDescent="0.3">
      <c r="A47" t="s">
        <v>28</v>
      </c>
      <c r="B47" s="42">
        <f>334812.2/31</f>
        <v>10800.393548387097</v>
      </c>
      <c r="C47" s="91">
        <v>44545.9375</v>
      </c>
      <c r="F47" s="93">
        <v>44562</v>
      </c>
      <c r="G47" s="51">
        <f>+B48+B51</f>
        <v>323383.18064516131</v>
      </c>
    </row>
    <row r="48" spans="1:15" hidden="1" x14ac:dyDescent="0.3">
      <c r="A48" s="43" t="s">
        <v>27</v>
      </c>
      <c r="B48" s="94">
        <f>+B47*15</f>
        <v>162005.90322580645</v>
      </c>
      <c r="C48" s="91">
        <v>44576.9375</v>
      </c>
      <c r="D48" s="92">
        <f>+C48-C47</f>
        <v>31</v>
      </c>
    </row>
    <row r="49" spans="1:4" hidden="1" x14ac:dyDescent="0.3">
      <c r="A49" s="39"/>
    </row>
    <row r="50" spans="1:4" hidden="1" x14ac:dyDescent="0.3">
      <c r="A50" t="s">
        <v>29</v>
      </c>
      <c r="B50" s="42">
        <f>333513.04/31</f>
        <v>10758.485161290322</v>
      </c>
      <c r="C50" s="91">
        <v>44576.9375</v>
      </c>
    </row>
    <row r="51" spans="1:4" hidden="1" x14ac:dyDescent="0.3">
      <c r="A51" s="43" t="s">
        <v>30</v>
      </c>
      <c r="B51" s="94">
        <f>+B50*15</f>
        <v>161377.27741935482</v>
      </c>
      <c r="C51" s="91">
        <v>44607.9375</v>
      </c>
      <c r="D51" s="92">
        <f>+C51-C50</f>
        <v>31</v>
      </c>
    </row>
    <row r="52" spans="1:4" hidden="1" x14ac:dyDescent="0.3">
      <c r="B52" s="42"/>
      <c r="C52" s="91"/>
      <c r="D52" s="92"/>
    </row>
    <row r="53" spans="1:4" hidden="1" x14ac:dyDescent="0.3">
      <c r="B53" s="42"/>
      <c r="C53" s="91"/>
      <c r="D53" s="92"/>
    </row>
    <row r="54" spans="1:4" hidden="1" x14ac:dyDescent="0.3">
      <c r="B54" s="42"/>
      <c r="C54" s="91"/>
      <c r="D54" s="92"/>
    </row>
    <row r="55" spans="1:4" hidden="1" x14ac:dyDescent="0.3"/>
    <row r="56" spans="1:4" hidden="1" x14ac:dyDescent="0.3">
      <c r="A56" t="s">
        <v>32</v>
      </c>
      <c r="C56" s="91">
        <v>44607.9375</v>
      </c>
    </row>
    <row r="57" spans="1:4" hidden="1" x14ac:dyDescent="0.3">
      <c r="A57" t="s">
        <v>33</v>
      </c>
      <c r="C57" s="91">
        <v>44635.9375</v>
      </c>
      <c r="D57" s="92">
        <f>+C57-C56</f>
        <v>28</v>
      </c>
    </row>
    <row r="58" spans="1:4" hidden="1" x14ac:dyDescent="0.3"/>
    <row r="59" spans="1:4" hidden="1" x14ac:dyDescent="0.3"/>
    <row r="60" spans="1:4" hidden="1" x14ac:dyDescent="0.3"/>
    <row r="61" spans="1:4" hidden="1" x14ac:dyDescent="0.3">
      <c r="B61" s="123">
        <v>120</v>
      </c>
      <c r="C61" s="123">
        <v>820</v>
      </c>
      <c r="D61" s="124">
        <f>+B61*C61</f>
        <v>98400</v>
      </c>
    </row>
  </sheetData>
  <mergeCells count="1">
    <mergeCell ref="A2:N2"/>
  </mergeCells>
  <printOptions horizontalCentered="1"/>
  <pageMargins left="0.15748031496062992" right="7.874015748031496E-2" top="0.39370078740157483" bottom="0.35433070866141736" header="0.31496062992125984" footer="0.31496062992125984"/>
  <pageSetup paperSize="9" scale="61" orientation="landscape" r:id="rId1"/>
  <rowBreaks count="1" manualBreakCount="1">
    <brk id="60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EF5B-79D3-4610-8A39-6F38E7F09B6F}">
  <sheetPr>
    <tabColor rgb="FF7030A0"/>
  </sheetPr>
  <dimension ref="A1:R61"/>
  <sheetViews>
    <sheetView showGridLines="0" tabSelected="1" topLeftCell="A3" workbookViewId="0">
      <selection activeCell="R14" sqref="R14"/>
    </sheetView>
  </sheetViews>
  <sheetFormatPr defaultColWidth="11.44140625" defaultRowHeight="14.4" x14ac:dyDescent="0.3"/>
  <cols>
    <col min="1" max="1" width="53.44140625" customWidth="1"/>
    <col min="2" max="2" width="24.5546875" hidden="1" customWidth="1"/>
    <col min="3" max="4" width="18.33203125" hidden="1" customWidth="1"/>
    <col min="5" max="5" width="17.6640625" hidden="1" customWidth="1"/>
    <col min="6" max="6" width="20.44140625" customWidth="1"/>
    <col min="7" max="7" width="18.33203125" customWidth="1"/>
    <col min="8" max="8" width="16.33203125" style="102" customWidth="1"/>
    <col min="9" max="9" width="19" hidden="1" customWidth="1"/>
    <col min="10" max="10" width="0.109375" style="102" hidden="1" customWidth="1"/>
    <col min="11" max="11" width="19.88671875" hidden="1" customWidth="1"/>
    <col min="12" max="12" width="20.88671875" hidden="1" customWidth="1"/>
    <col min="13" max="13" width="19.33203125" hidden="1" customWidth="1"/>
    <col min="14" max="14" width="19.33203125" customWidth="1"/>
    <col min="15" max="15" width="6.5546875" customWidth="1"/>
    <col min="16" max="16" width="16" bestFit="1" customWidth="1"/>
  </cols>
  <sheetData>
    <row r="1" spans="1:18" ht="20.100000000000001" customHeight="1" thickBot="1" x14ac:dyDescent="0.35">
      <c r="A1" s="29"/>
      <c r="B1" s="29"/>
      <c r="C1" s="29"/>
      <c r="D1" s="29"/>
      <c r="E1" s="29"/>
      <c r="F1" s="29"/>
      <c r="G1" s="29"/>
      <c r="H1" s="117"/>
      <c r="I1" s="29"/>
      <c r="J1" s="103"/>
      <c r="K1" s="14"/>
      <c r="L1" s="14"/>
      <c r="M1" s="14"/>
      <c r="N1" s="14"/>
    </row>
    <row r="2" spans="1:18" ht="20.25" customHeight="1" thickBot="1" x14ac:dyDescent="0.35">
      <c r="A2" s="227" t="s">
        <v>92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9"/>
      <c r="O2" s="14"/>
    </row>
    <row r="3" spans="1:18" ht="20.100000000000001" customHeight="1" thickBot="1" x14ac:dyDescent="0.35">
      <c r="A3" s="29"/>
      <c r="B3" s="29"/>
      <c r="C3" s="30"/>
      <c r="D3" s="29"/>
      <c r="E3" s="29"/>
      <c r="F3" s="29"/>
      <c r="G3" s="29"/>
      <c r="H3" s="117"/>
      <c r="K3" s="14"/>
      <c r="L3" s="14"/>
      <c r="M3" s="14"/>
      <c r="N3" s="14"/>
      <c r="O3" s="14"/>
    </row>
    <row r="4" spans="1:18" ht="25.5" customHeight="1" thickBot="1" x14ac:dyDescent="0.35">
      <c r="A4" s="31" t="s">
        <v>8</v>
      </c>
      <c r="B4" s="32" t="s">
        <v>0</v>
      </c>
      <c r="C4" s="32" t="s">
        <v>48</v>
      </c>
      <c r="D4" s="32" t="s">
        <v>1</v>
      </c>
      <c r="E4" s="32" t="s">
        <v>2</v>
      </c>
      <c r="F4" s="32" t="s">
        <v>85</v>
      </c>
      <c r="G4" s="32" t="s">
        <v>86</v>
      </c>
      <c r="H4" s="32"/>
      <c r="I4" s="32"/>
      <c r="J4" s="32" t="s">
        <v>39</v>
      </c>
      <c r="K4" s="32" t="s">
        <v>40</v>
      </c>
      <c r="L4" s="32" t="s">
        <v>44</v>
      </c>
      <c r="M4" s="32" t="s">
        <v>43</v>
      </c>
      <c r="N4" s="33" t="s">
        <v>7</v>
      </c>
      <c r="O4" s="14"/>
      <c r="Q4" s="43"/>
    </row>
    <row r="5" spans="1:18" ht="20.100000000000001" customHeight="1" x14ac:dyDescent="0.3">
      <c r="A5" s="5" t="s">
        <v>96</v>
      </c>
      <c r="B5" s="47"/>
      <c r="C5" s="48"/>
      <c r="D5" s="48"/>
      <c r="E5" s="48"/>
      <c r="F5" s="122">
        <v>362132</v>
      </c>
      <c r="G5" s="122">
        <v>289380</v>
      </c>
      <c r="H5" s="47"/>
      <c r="I5" s="55"/>
      <c r="J5" s="122"/>
      <c r="K5" s="122"/>
      <c r="L5" s="139"/>
      <c r="M5" s="101"/>
      <c r="N5" s="50">
        <f t="shared" ref="N5:N8" si="0">SUM(B5:M5)</f>
        <v>651512</v>
      </c>
      <c r="O5" s="62"/>
    </row>
    <row r="6" spans="1:18" ht="20.100000000000001" customHeight="1" x14ac:dyDescent="0.3">
      <c r="A6" s="70" t="s">
        <v>97</v>
      </c>
      <c r="B6" s="18"/>
      <c r="C6" s="19"/>
      <c r="D6" s="19"/>
      <c r="E6" s="19"/>
      <c r="F6" s="19"/>
      <c r="G6" s="20"/>
      <c r="H6" s="18"/>
      <c r="I6" s="52"/>
      <c r="J6" s="20"/>
      <c r="K6" s="20"/>
      <c r="L6" s="110"/>
      <c r="M6" s="24"/>
      <c r="N6" s="35">
        <f t="shared" si="0"/>
        <v>0</v>
      </c>
      <c r="O6" s="134"/>
      <c r="P6" s="206"/>
    </row>
    <row r="7" spans="1:18" ht="20.100000000000001" customHeight="1" x14ac:dyDescent="0.3">
      <c r="A7" s="4" t="s">
        <v>12</v>
      </c>
      <c r="B7" s="18"/>
      <c r="C7" s="52"/>
      <c r="D7" s="19"/>
      <c r="E7" s="52"/>
      <c r="F7" s="20"/>
      <c r="G7" s="20"/>
      <c r="H7" s="18"/>
      <c r="I7" s="52"/>
      <c r="J7" s="20"/>
      <c r="K7" s="20"/>
      <c r="L7" s="84"/>
      <c r="M7" s="154"/>
      <c r="N7" s="35">
        <f t="shared" si="0"/>
        <v>0</v>
      </c>
      <c r="O7" s="14"/>
      <c r="P7" s="42"/>
    </row>
    <row r="8" spans="1:18" ht="19.5" customHeight="1" x14ac:dyDescent="0.3">
      <c r="A8" s="70" t="s">
        <v>98</v>
      </c>
      <c r="B8" s="52"/>
      <c r="C8" s="19"/>
      <c r="D8" s="19"/>
      <c r="E8" s="19"/>
      <c r="F8" s="19">
        <v>110458</v>
      </c>
      <c r="G8" s="19"/>
      <c r="H8" s="19"/>
      <c r="I8" s="19"/>
      <c r="J8" s="19"/>
      <c r="K8" s="19"/>
      <c r="L8" s="154"/>
      <c r="M8" s="154"/>
      <c r="N8" s="35">
        <f t="shared" si="0"/>
        <v>110458</v>
      </c>
      <c r="O8" s="14"/>
      <c r="P8" s="206"/>
    </row>
    <row r="9" spans="1:18" ht="19.5" customHeight="1" thickBot="1" x14ac:dyDescent="0.35">
      <c r="A9" s="171" t="s">
        <v>82</v>
      </c>
      <c r="B9" s="53"/>
      <c r="C9" s="88"/>
      <c r="D9" s="88"/>
      <c r="E9" s="54"/>
      <c r="F9" s="88"/>
      <c r="G9" s="127"/>
      <c r="H9" s="88"/>
      <c r="I9" s="88"/>
      <c r="J9" s="127"/>
      <c r="K9" s="127"/>
      <c r="L9" s="85"/>
      <c r="M9" s="86"/>
      <c r="N9" s="83"/>
      <c r="O9" s="14"/>
      <c r="P9" s="51"/>
      <c r="R9" s="210"/>
    </row>
    <row r="10" spans="1:18" ht="20.100000000000001" customHeight="1" thickBot="1" x14ac:dyDescent="0.35">
      <c r="A10" s="89" t="s">
        <v>13</v>
      </c>
      <c r="B10" s="74"/>
      <c r="C10" s="74"/>
      <c r="D10" s="74"/>
      <c r="E10" s="74"/>
      <c r="F10" s="74">
        <f t="shared" ref="F10:M10" si="1">+SUM(F5:F9)</f>
        <v>472590</v>
      </c>
      <c r="G10" s="74">
        <f t="shared" si="1"/>
        <v>289380</v>
      </c>
      <c r="H10" s="74"/>
      <c r="I10" s="192">
        <f t="shared" si="1"/>
        <v>0</v>
      </c>
      <c r="J10" s="74">
        <f>+SUM(J5:J9)</f>
        <v>0</v>
      </c>
      <c r="K10" s="74">
        <f t="shared" si="1"/>
        <v>0</v>
      </c>
      <c r="L10" s="98">
        <f t="shared" si="1"/>
        <v>0</v>
      </c>
      <c r="M10" s="98">
        <f t="shared" si="1"/>
        <v>0</v>
      </c>
      <c r="N10" s="75">
        <f>+SUM(B10:M10)</f>
        <v>761970</v>
      </c>
      <c r="O10" s="14"/>
    </row>
    <row r="11" spans="1:18" ht="20.25" customHeight="1" thickBot="1" x14ac:dyDescent="0.35">
      <c r="A11" s="22" t="s">
        <v>14</v>
      </c>
      <c r="B11" s="76"/>
      <c r="C11" s="76"/>
      <c r="D11" s="76"/>
      <c r="E11" s="76"/>
      <c r="F11" s="76"/>
      <c r="G11" s="128"/>
      <c r="H11" s="76"/>
      <c r="I11" s="76"/>
      <c r="J11" s="76"/>
      <c r="K11" s="76"/>
      <c r="L11" s="135"/>
      <c r="M11" s="99"/>
      <c r="N11" s="77">
        <f>SUM(B11:M11)</f>
        <v>0</v>
      </c>
      <c r="O11" s="14"/>
    </row>
    <row r="12" spans="1:18" ht="18.75" customHeight="1" thickBot="1" x14ac:dyDescent="0.35">
      <c r="A12" s="89" t="s">
        <v>15</v>
      </c>
      <c r="B12" s="74"/>
      <c r="C12" s="74"/>
      <c r="D12" s="200"/>
      <c r="E12" s="74"/>
      <c r="F12" s="137">
        <f>+SUM(F11)</f>
        <v>0</v>
      </c>
      <c r="G12" s="137">
        <f>+SUM(G11)</f>
        <v>0</v>
      </c>
      <c r="H12" s="74"/>
      <c r="I12" s="192">
        <f t="shared" ref="I12:M12" si="2">+SUM(I11)</f>
        <v>0</v>
      </c>
      <c r="J12" s="74">
        <f t="shared" si="2"/>
        <v>0</v>
      </c>
      <c r="K12" s="74">
        <f t="shared" si="2"/>
        <v>0</v>
      </c>
      <c r="L12" s="98">
        <f t="shared" si="2"/>
        <v>0</v>
      </c>
      <c r="M12" s="98">
        <f t="shared" si="2"/>
        <v>0</v>
      </c>
      <c r="N12" s="78">
        <f>+SUM(B12:K12)</f>
        <v>0</v>
      </c>
      <c r="O12" s="14"/>
    </row>
    <row r="13" spans="1:18" s="14" customFormat="1" ht="6.75" customHeight="1" thickBot="1" x14ac:dyDescent="0.35">
      <c r="B13" s="148"/>
      <c r="C13" s="148"/>
      <c r="D13" s="148"/>
      <c r="E13" s="148"/>
      <c r="F13" s="187"/>
      <c r="G13" s="129"/>
      <c r="H13" s="148"/>
      <c r="I13" s="148"/>
      <c r="J13" s="148"/>
      <c r="K13" s="148"/>
      <c r="L13" s="141"/>
      <c r="M13" s="141"/>
      <c r="N13" s="62"/>
    </row>
    <row r="14" spans="1:18" ht="21" customHeight="1" thickBot="1" x14ac:dyDescent="0.35">
      <c r="A14" s="16" t="s">
        <v>6</v>
      </c>
      <c r="B14" s="36"/>
      <c r="C14" s="36"/>
      <c r="D14" s="36"/>
      <c r="E14" s="36"/>
      <c r="F14" s="138">
        <f>+SUM(F10+F12)</f>
        <v>472590</v>
      </c>
      <c r="G14" s="138">
        <f>+SUM(G10+G12)</f>
        <v>289380</v>
      </c>
      <c r="H14" s="36"/>
      <c r="I14" s="36">
        <f t="shared" ref="I14:M14" si="3">+SUM(I10+I12)</f>
        <v>0</v>
      </c>
      <c r="J14" s="36">
        <f t="shared" si="3"/>
        <v>0</v>
      </c>
      <c r="K14" s="36">
        <f t="shared" si="3"/>
        <v>0</v>
      </c>
      <c r="L14" s="140">
        <f t="shared" si="3"/>
        <v>0</v>
      </c>
      <c r="M14" s="140">
        <f t="shared" si="3"/>
        <v>0</v>
      </c>
      <c r="N14" s="37">
        <f>SUM(B14:M14)</f>
        <v>761970</v>
      </c>
      <c r="O14" s="14"/>
    </row>
    <row r="15" spans="1:18" ht="15.75" customHeight="1" thickBot="1" x14ac:dyDescent="0.35">
      <c r="A15" s="14"/>
      <c r="B15" s="148"/>
      <c r="C15" s="148"/>
      <c r="D15" s="148"/>
      <c r="E15" s="148"/>
      <c r="F15" s="187"/>
      <c r="G15" s="129"/>
      <c r="H15" s="148"/>
      <c r="I15" s="148"/>
      <c r="J15" s="148"/>
      <c r="K15" s="148"/>
      <c r="L15" s="141"/>
      <c r="M15" s="141"/>
      <c r="N15" s="62"/>
      <c r="O15" s="14"/>
    </row>
    <row r="16" spans="1:18" ht="20.100000000000001" customHeight="1" x14ac:dyDescent="0.3">
      <c r="A16" s="23" t="s">
        <v>83</v>
      </c>
      <c r="B16" s="79"/>
      <c r="C16" s="79"/>
      <c r="D16" s="79"/>
      <c r="E16" s="173"/>
      <c r="F16" s="173"/>
      <c r="G16" s="173"/>
      <c r="H16" s="173"/>
      <c r="I16" s="173"/>
      <c r="J16" s="173"/>
      <c r="K16" s="173"/>
      <c r="L16" s="155"/>
      <c r="M16" s="155"/>
      <c r="N16" s="34">
        <f>SUM(B16:M16)</f>
        <v>0</v>
      </c>
      <c r="O16" s="14"/>
    </row>
    <row r="17" spans="1:18" ht="19.5" customHeight="1" x14ac:dyDescent="0.3">
      <c r="A17" s="4" t="s">
        <v>99</v>
      </c>
      <c r="B17" s="199"/>
      <c r="C17" s="52"/>
      <c r="D17" s="52"/>
      <c r="E17" s="19"/>
      <c r="F17" s="19">
        <v>112500</v>
      </c>
      <c r="G17" s="19"/>
      <c r="H17" s="19"/>
      <c r="I17" s="52"/>
      <c r="J17" s="19"/>
      <c r="K17" s="19"/>
      <c r="L17" s="154"/>
      <c r="M17" s="110"/>
      <c r="N17" s="35">
        <f>SUM(B17:M17)</f>
        <v>112500</v>
      </c>
      <c r="O17" s="14"/>
      <c r="P17" s="51"/>
      <c r="Q17" s="51"/>
    </row>
    <row r="18" spans="1:18" ht="20.100000000000001" customHeight="1" x14ac:dyDescent="0.3">
      <c r="A18" s="70" t="s">
        <v>100</v>
      </c>
      <c r="B18" s="18"/>
      <c r="C18" s="21"/>
      <c r="D18" s="21"/>
      <c r="E18" s="21"/>
      <c r="F18" s="20">
        <v>417912</v>
      </c>
      <c r="G18" s="19">
        <v>359800</v>
      </c>
      <c r="H18" s="21"/>
      <c r="I18" s="52"/>
      <c r="J18" s="20"/>
      <c r="K18" s="180"/>
      <c r="L18" s="84"/>
      <c r="M18" s="84"/>
      <c r="N18" s="35">
        <f>SUM(B18:M18)</f>
        <v>777712</v>
      </c>
      <c r="O18" s="14"/>
    </row>
    <row r="19" spans="1:18" ht="20.100000000000001" customHeight="1" thickBot="1" x14ac:dyDescent="0.35">
      <c r="A19" s="220" t="s">
        <v>73</v>
      </c>
      <c r="B19" s="175"/>
      <c r="C19" s="175"/>
      <c r="D19" s="71"/>
      <c r="E19" s="71"/>
      <c r="F19" s="174"/>
      <c r="G19" s="174"/>
      <c r="H19" s="71"/>
      <c r="I19" s="175"/>
      <c r="J19" s="174"/>
      <c r="K19" s="214"/>
      <c r="L19" s="221"/>
      <c r="M19" s="221"/>
      <c r="N19" s="67">
        <f>SUM(B19:M19)</f>
        <v>0</v>
      </c>
      <c r="O19" s="14"/>
    </row>
    <row r="20" spans="1:18" ht="20.100000000000001" customHeight="1" thickBot="1" x14ac:dyDescent="0.35">
      <c r="A20" s="222" t="s">
        <v>16</v>
      </c>
      <c r="B20" s="215"/>
      <c r="C20" s="215"/>
      <c r="D20" s="215"/>
      <c r="E20" s="215"/>
      <c r="F20" s="216">
        <f>+F17+F18</f>
        <v>530412</v>
      </c>
      <c r="G20" s="216">
        <f>+SUM(G16:G18)</f>
        <v>359800</v>
      </c>
      <c r="H20" s="215"/>
      <c r="I20" s="217">
        <f>+SUM(I16:I19)</f>
        <v>0</v>
      </c>
      <c r="J20" s="215">
        <f>+SUM(J16:J19)</f>
        <v>0</v>
      </c>
      <c r="K20" s="215">
        <f>+SUM(K16:K19)</f>
        <v>0</v>
      </c>
      <c r="L20" s="218">
        <f t="shared" ref="L20:M20" si="4">+SUM(L16:L18)</f>
        <v>0</v>
      </c>
      <c r="M20" s="218">
        <f t="shared" si="4"/>
        <v>0</v>
      </c>
      <c r="N20" s="219">
        <f>SUM(B20:M20)</f>
        <v>890212</v>
      </c>
      <c r="O20" s="14"/>
    </row>
    <row r="21" spans="1:18" ht="0.75" customHeight="1" x14ac:dyDescent="0.3">
      <c r="A21" s="27"/>
      <c r="B21" s="136"/>
      <c r="C21" s="136"/>
      <c r="D21" s="136"/>
      <c r="E21" s="136"/>
      <c r="F21" s="188"/>
      <c r="G21" s="129"/>
      <c r="H21" s="136"/>
      <c r="I21" s="136"/>
      <c r="J21" s="136"/>
      <c r="K21" s="136"/>
      <c r="L21" s="142"/>
      <c r="M21" s="142"/>
      <c r="N21" s="63"/>
      <c r="O21" s="14"/>
    </row>
    <row r="22" spans="1:18" ht="0.75" hidden="1" customHeight="1" x14ac:dyDescent="0.3">
      <c r="A22" s="209" t="s">
        <v>66</v>
      </c>
      <c r="B22" s="26"/>
      <c r="C22" s="26"/>
      <c r="D22" s="26"/>
      <c r="E22" s="26"/>
      <c r="F22" s="126">
        <v>112500</v>
      </c>
      <c r="G22" s="126"/>
      <c r="H22" s="26"/>
      <c r="I22" s="79"/>
      <c r="J22" s="26"/>
      <c r="K22" s="153"/>
      <c r="L22" s="156"/>
      <c r="M22" s="156"/>
      <c r="N22" s="34">
        <f>SUM(B22:M22)</f>
        <v>112500</v>
      </c>
      <c r="O22" s="14"/>
    </row>
    <row r="23" spans="1:18" ht="19.5" hidden="1" customHeight="1" x14ac:dyDescent="0.3">
      <c r="A23" s="207" t="s">
        <v>64</v>
      </c>
      <c r="B23" s="19"/>
      <c r="C23" s="19"/>
      <c r="D23" s="19"/>
      <c r="E23" s="205"/>
      <c r="F23" s="19">
        <v>417912</v>
      </c>
      <c r="G23" s="19">
        <v>0</v>
      </c>
      <c r="H23" s="205"/>
      <c r="I23" s="202">
        <v>0</v>
      </c>
      <c r="J23" s="203">
        <v>0</v>
      </c>
      <c r="K23" s="202">
        <v>0</v>
      </c>
      <c r="L23" s="204">
        <v>0</v>
      </c>
      <c r="M23" s="204">
        <v>0</v>
      </c>
      <c r="N23" s="208">
        <f>SUM(B23:M23)</f>
        <v>417912</v>
      </c>
      <c r="O23" s="62"/>
      <c r="R23" s="210"/>
    </row>
    <row r="24" spans="1:18" ht="19.5" hidden="1" customHeight="1" thickBot="1" x14ac:dyDescent="0.35">
      <c r="A24" s="183" t="s">
        <v>56</v>
      </c>
      <c r="B24" s="28"/>
      <c r="C24" s="28"/>
      <c r="D24" s="201"/>
      <c r="E24" s="28"/>
      <c r="F24" s="28">
        <f t="shared" ref="F24:M24" si="5">+SUM(F22:F23)</f>
        <v>530412</v>
      </c>
      <c r="G24" s="28">
        <f t="shared" si="5"/>
        <v>0</v>
      </c>
      <c r="H24" s="28"/>
      <c r="I24" s="193">
        <f t="shared" si="5"/>
        <v>0</v>
      </c>
      <c r="J24" s="28">
        <f t="shared" si="5"/>
        <v>0</v>
      </c>
      <c r="K24" s="28">
        <f t="shared" si="5"/>
        <v>0</v>
      </c>
      <c r="L24" s="125">
        <f t="shared" si="5"/>
        <v>0</v>
      </c>
      <c r="M24" s="125">
        <f t="shared" si="5"/>
        <v>0</v>
      </c>
      <c r="N24" s="38">
        <f>SUM(B24:M24)</f>
        <v>530412</v>
      </c>
      <c r="O24" s="14"/>
      <c r="Q24" s="94"/>
    </row>
    <row r="25" spans="1:18" ht="10.5" customHeight="1" x14ac:dyDescent="0.3"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42"/>
      <c r="M25" s="142"/>
      <c r="N25" s="42"/>
      <c r="O25" s="14"/>
    </row>
    <row r="26" spans="1:18" ht="21" hidden="1" customHeight="1" thickBot="1" x14ac:dyDescent="0.35">
      <c r="A26" s="16" t="s">
        <v>16</v>
      </c>
      <c r="B26" s="36"/>
      <c r="C26" s="36"/>
      <c r="D26" s="36"/>
      <c r="E26" s="36"/>
      <c r="F26" s="213">
        <f>+F10-F20</f>
        <v>-57822</v>
      </c>
      <c r="G26" s="36">
        <f t="shared" ref="G26:M26" si="6">+SUM(G20+G24)</f>
        <v>359800</v>
      </c>
      <c r="H26" s="36"/>
      <c r="I26" s="36">
        <f t="shared" si="6"/>
        <v>0</v>
      </c>
      <c r="J26" s="36">
        <f t="shared" si="6"/>
        <v>0</v>
      </c>
      <c r="K26" s="36">
        <f t="shared" si="6"/>
        <v>0</v>
      </c>
      <c r="L26" s="140">
        <f t="shared" si="6"/>
        <v>0</v>
      </c>
      <c r="M26" s="140">
        <f t="shared" si="6"/>
        <v>0</v>
      </c>
      <c r="N26" s="37">
        <f>SUM(B26:M26)</f>
        <v>301978</v>
      </c>
      <c r="O26" s="14"/>
      <c r="Q26" s="51"/>
    </row>
    <row r="27" spans="1:18" ht="13.5" customHeight="1" thickBot="1" x14ac:dyDescent="0.35"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42"/>
      <c r="M27" s="142"/>
      <c r="N27" s="42"/>
      <c r="O27" s="14" t="s">
        <v>18</v>
      </c>
    </row>
    <row r="28" spans="1:18" ht="23.25" customHeight="1" thickBot="1" x14ac:dyDescent="0.35">
      <c r="A28" s="184" t="s">
        <v>17</v>
      </c>
      <c r="B28" s="90"/>
      <c r="C28" s="90"/>
      <c r="D28" s="90"/>
      <c r="E28" s="90"/>
      <c r="F28" s="191">
        <f>+F26</f>
        <v>-57822</v>
      </c>
      <c r="G28" s="226">
        <f t="shared" ref="G28:M28" si="7">+G14-G26</f>
        <v>-70420</v>
      </c>
      <c r="H28" s="90"/>
      <c r="I28" s="191">
        <f t="shared" si="7"/>
        <v>0</v>
      </c>
      <c r="J28" s="90">
        <f>+J14-J26</f>
        <v>0</v>
      </c>
      <c r="K28" s="90">
        <f t="shared" si="7"/>
        <v>0</v>
      </c>
      <c r="L28" s="95">
        <f t="shared" si="7"/>
        <v>0</v>
      </c>
      <c r="M28" s="95">
        <f t="shared" si="7"/>
        <v>0</v>
      </c>
      <c r="N28" s="223">
        <f>SUM(B28:M28)</f>
        <v>-128242</v>
      </c>
      <c r="O28" s="14"/>
    </row>
    <row r="29" spans="1:18" ht="20.100000000000001" customHeight="1" x14ac:dyDescent="0.3">
      <c r="A29" s="111"/>
      <c r="B29" s="29"/>
      <c r="C29" s="29"/>
      <c r="D29" s="29"/>
      <c r="E29" s="29"/>
      <c r="F29" s="29"/>
      <c r="G29" s="29"/>
      <c r="H29" s="117"/>
      <c r="I29" s="29"/>
      <c r="J29" s="103"/>
      <c r="K29" s="14"/>
      <c r="L29" s="14"/>
      <c r="M29" s="14"/>
      <c r="N29" s="14"/>
      <c r="O29" s="14"/>
    </row>
    <row r="30" spans="1:18" x14ac:dyDescent="0.3">
      <c r="A30" s="82" t="s">
        <v>101</v>
      </c>
      <c r="B30" s="80"/>
      <c r="C30" s="80"/>
      <c r="D30" s="29"/>
      <c r="E30" s="130"/>
      <c r="F30" s="29"/>
      <c r="G30" s="130"/>
      <c r="H30" s="146"/>
      <c r="I30" s="29"/>
      <c r="J30" s="103"/>
      <c r="K30" s="14"/>
      <c r="L30" s="131"/>
      <c r="M30" s="132"/>
      <c r="N30" s="80"/>
      <c r="O30" s="14"/>
    </row>
    <row r="31" spans="1:18" ht="17.25" customHeight="1" x14ac:dyDescent="0.3">
      <c r="A31" s="82" t="s">
        <v>22</v>
      </c>
      <c r="B31" s="14"/>
      <c r="C31" s="80"/>
      <c r="D31" s="29"/>
      <c r="E31" s="29"/>
      <c r="F31" s="81"/>
      <c r="G31" s="145"/>
      <c r="H31" s="144"/>
      <c r="I31" s="29"/>
      <c r="J31" s="103"/>
      <c r="K31" s="80"/>
      <c r="L31" s="131"/>
      <c r="M31" s="133">
        <f>(334822/2)-10824</f>
        <v>156587</v>
      </c>
      <c r="N31" s="131"/>
      <c r="O31" s="14"/>
    </row>
    <row r="32" spans="1:18" ht="16.5" customHeight="1" x14ac:dyDescent="0.3">
      <c r="A32" s="179"/>
      <c r="B32" s="14"/>
      <c r="C32" s="14"/>
      <c r="D32" s="29"/>
      <c r="E32" s="29"/>
      <c r="F32" s="29"/>
      <c r="G32" s="81"/>
      <c r="H32" s="144"/>
      <c r="I32" s="29"/>
      <c r="J32" s="103"/>
      <c r="K32" s="80"/>
      <c r="L32" s="131"/>
      <c r="M32" s="133"/>
      <c r="N32" s="131"/>
      <c r="O32" s="14"/>
    </row>
    <row r="33" spans="1:15" ht="16.5" customHeight="1" x14ac:dyDescent="0.3">
      <c r="A33" s="177"/>
      <c r="B33" s="14"/>
      <c r="C33" s="14"/>
      <c r="D33" s="29"/>
      <c r="E33" s="29"/>
      <c r="F33" s="29"/>
      <c r="G33" s="81"/>
      <c r="H33" s="144"/>
      <c r="I33" s="29"/>
      <c r="J33" s="103"/>
      <c r="K33" s="80"/>
      <c r="L33" s="131"/>
      <c r="M33" s="133"/>
      <c r="N33" s="131"/>
      <c r="O33" s="14"/>
    </row>
    <row r="34" spans="1:15" x14ac:dyDescent="0.3">
      <c r="A34" s="113" t="s">
        <v>26</v>
      </c>
      <c r="B34" s="14"/>
      <c r="C34" s="14"/>
      <c r="D34" s="29"/>
      <c r="E34" s="29"/>
      <c r="F34" s="29"/>
      <c r="G34" s="29"/>
      <c r="H34" s="117"/>
      <c r="I34" s="151"/>
      <c r="J34" s="103"/>
      <c r="K34" s="14"/>
      <c r="L34" s="14"/>
      <c r="M34" s="14"/>
      <c r="N34" s="14"/>
      <c r="O34" s="14"/>
    </row>
    <row r="35" spans="1:15" ht="15.75" customHeight="1" x14ac:dyDescent="0.3">
      <c r="A35" s="151" t="s">
        <v>94</v>
      </c>
      <c r="B35" s="114"/>
      <c r="C35" s="114"/>
      <c r="D35" s="29"/>
      <c r="E35" s="29"/>
      <c r="F35" s="29"/>
      <c r="G35" s="111"/>
      <c r="H35" s="29"/>
      <c r="I35" s="29"/>
      <c r="J35" s="103"/>
      <c r="K35" s="14"/>
      <c r="L35" s="14"/>
      <c r="M35" s="14"/>
      <c r="N35" s="14"/>
      <c r="O35" s="14"/>
    </row>
    <row r="36" spans="1:15" ht="15.75" customHeight="1" x14ac:dyDescent="0.3">
      <c r="A36" s="151" t="s">
        <v>95</v>
      </c>
      <c r="B36" s="114"/>
      <c r="C36" s="114"/>
      <c r="D36" s="29"/>
      <c r="E36" s="29"/>
      <c r="F36" s="29"/>
      <c r="G36" s="111"/>
      <c r="H36" s="29"/>
      <c r="I36" s="29"/>
      <c r="J36" s="103"/>
      <c r="K36" s="14"/>
      <c r="L36" s="14"/>
      <c r="M36" s="14"/>
      <c r="N36" s="14"/>
      <c r="O36" s="14"/>
    </row>
    <row r="37" spans="1:15" ht="15" customHeight="1" x14ac:dyDescent="0.3">
      <c r="A37" s="151"/>
      <c r="B37" s="114"/>
      <c r="C37" s="114"/>
      <c r="D37" s="29"/>
      <c r="E37" s="29"/>
      <c r="F37" s="29"/>
      <c r="G37" s="111"/>
      <c r="H37" s="29"/>
      <c r="I37" s="29"/>
      <c r="J37" s="103"/>
      <c r="K37" s="14"/>
      <c r="L37" s="14"/>
      <c r="M37" s="14"/>
      <c r="N37" s="14"/>
      <c r="O37" s="14"/>
    </row>
    <row r="38" spans="1:15" ht="16.5" customHeight="1" x14ac:dyDescent="0.3">
      <c r="A38" s="111"/>
      <c r="B38" s="114"/>
      <c r="C38" s="114"/>
      <c r="D38" s="29"/>
      <c r="E38" s="29"/>
      <c r="F38" s="29"/>
      <c r="G38" s="111"/>
      <c r="H38" s="29"/>
      <c r="I38" s="29"/>
      <c r="J38" s="103"/>
      <c r="K38" s="14"/>
      <c r="L38" s="14"/>
      <c r="M38" s="14"/>
      <c r="N38" s="14"/>
      <c r="O38" s="14"/>
    </row>
    <row r="39" spans="1:15" ht="18" customHeight="1" x14ac:dyDescent="0.3">
      <c r="A39" s="111"/>
      <c r="B39" s="114"/>
      <c r="C39" s="114"/>
      <c r="D39" s="14"/>
      <c r="E39" s="14"/>
      <c r="F39" s="14"/>
      <c r="G39" s="14"/>
      <c r="H39" s="103"/>
      <c r="I39" s="14"/>
      <c r="J39" s="103"/>
      <c r="K39" s="14"/>
      <c r="L39" s="14"/>
      <c r="M39" s="14"/>
      <c r="N39" s="14"/>
      <c r="O39" s="14"/>
    </row>
    <row r="40" spans="1:15" x14ac:dyDescent="0.3">
      <c r="A40" s="111"/>
      <c r="B40" s="14"/>
      <c r="C40" s="14"/>
      <c r="D40" s="40"/>
      <c r="E40" s="40"/>
      <c r="F40" s="40"/>
      <c r="G40" s="40"/>
      <c r="H40" s="39"/>
      <c r="I40" s="40"/>
      <c r="J40" s="39"/>
      <c r="K40" s="40"/>
      <c r="L40" s="40"/>
      <c r="M40" s="40"/>
      <c r="N40" s="40"/>
    </row>
    <row r="41" spans="1:15" x14ac:dyDescent="0.3">
      <c r="A41" s="39"/>
    </row>
    <row r="42" spans="1:15" x14ac:dyDescent="0.3">
      <c r="A42" s="39"/>
    </row>
    <row r="43" spans="1:15" hidden="1" x14ac:dyDescent="0.3">
      <c r="B43" s="41">
        <v>34000</v>
      </c>
      <c r="C43" s="41">
        <v>44000</v>
      </c>
    </row>
    <row r="44" spans="1:15" hidden="1" x14ac:dyDescent="0.3">
      <c r="B44" s="41">
        <v>66111</v>
      </c>
      <c r="C44" s="42">
        <v>76305</v>
      </c>
    </row>
    <row r="45" spans="1:15" hidden="1" x14ac:dyDescent="0.3">
      <c r="B45" s="42">
        <f>SUM(B43:B44)</f>
        <v>100111</v>
      </c>
      <c r="C45" s="42">
        <f>SUM(C43:C44)</f>
        <v>120305</v>
      </c>
    </row>
    <row r="46" spans="1:15" hidden="1" x14ac:dyDescent="0.3">
      <c r="F46" t="s">
        <v>31</v>
      </c>
    </row>
    <row r="47" spans="1:15" hidden="1" x14ac:dyDescent="0.3">
      <c r="A47" t="s">
        <v>28</v>
      </c>
      <c r="B47" s="42">
        <f>334812.2/31</f>
        <v>10800.393548387097</v>
      </c>
      <c r="C47" s="91">
        <v>44545.9375</v>
      </c>
      <c r="F47" s="93">
        <v>44562</v>
      </c>
      <c r="G47" s="51">
        <f>+B48+B51</f>
        <v>323383.18064516131</v>
      </c>
    </row>
    <row r="48" spans="1:15" hidden="1" x14ac:dyDescent="0.3">
      <c r="A48" s="43" t="s">
        <v>27</v>
      </c>
      <c r="B48" s="94">
        <f>+B47*15</f>
        <v>162005.90322580645</v>
      </c>
      <c r="C48" s="91">
        <v>44576.9375</v>
      </c>
      <c r="D48" s="92">
        <f>+C48-C47</f>
        <v>31</v>
      </c>
    </row>
    <row r="49" spans="1:4" hidden="1" x14ac:dyDescent="0.3">
      <c r="A49" s="39"/>
    </row>
    <row r="50" spans="1:4" hidden="1" x14ac:dyDescent="0.3">
      <c r="A50" t="s">
        <v>29</v>
      </c>
      <c r="B50" s="42">
        <f>333513.04/31</f>
        <v>10758.485161290322</v>
      </c>
      <c r="C50" s="91">
        <v>44576.9375</v>
      </c>
    </row>
    <row r="51" spans="1:4" hidden="1" x14ac:dyDescent="0.3">
      <c r="A51" s="43" t="s">
        <v>30</v>
      </c>
      <c r="B51" s="94">
        <f>+B50*15</f>
        <v>161377.27741935482</v>
      </c>
      <c r="C51" s="91">
        <v>44607.9375</v>
      </c>
      <c r="D51" s="92">
        <f>+C51-C50</f>
        <v>31</v>
      </c>
    </row>
    <row r="52" spans="1:4" hidden="1" x14ac:dyDescent="0.3">
      <c r="B52" s="42"/>
      <c r="C52" s="91"/>
      <c r="D52" s="92"/>
    </row>
    <row r="53" spans="1:4" hidden="1" x14ac:dyDescent="0.3">
      <c r="B53" s="42"/>
      <c r="C53" s="91"/>
      <c r="D53" s="92"/>
    </row>
    <row r="54" spans="1:4" hidden="1" x14ac:dyDescent="0.3">
      <c r="B54" s="42"/>
      <c r="C54" s="91"/>
      <c r="D54" s="92"/>
    </row>
    <row r="55" spans="1:4" hidden="1" x14ac:dyDescent="0.3"/>
    <row r="56" spans="1:4" hidden="1" x14ac:dyDescent="0.3">
      <c r="A56" t="s">
        <v>32</v>
      </c>
      <c r="C56" s="91">
        <v>44607.9375</v>
      </c>
    </row>
    <row r="57" spans="1:4" hidden="1" x14ac:dyDescent="0.3">
      <c r="A57" t="s">
        <v>33</v>
      </c>
      <c r="C57" s="91">
        <v>44635.9375</v>
      </c>
      <c r="D57" s="92">
        <f>+C57-C56</f>
        <v>28</v>
      </c>
    </row>
    <row r="58" spans="1:4" hidden="1" x14ac:dyDescent="0.3"/>
    <row r="59" spans="1:4" hidden="1" x14ac:dyDescent="0.3"/>
    <row r="60" spans="1:4" hidden="1" x14ac:dyDescent="0.3"/>
    <row r="61" spans="1:4" hidden="1" x14ac:dyDescent="0.3">
      <c r="B61" s="123">
        <v>120</v>
      </c>
      <c r="C61" s="123">
        <v>820</v>
      </c>
      <c r="D61" s="124">
        <f>+B61*C61</f>
        <v>98400</v>
      </c>
    </row>
  </sheetData>
  <mergeCells count="1">
    <mergeCell ref="A2:N2"/>
  </mergeCells>
  <printOptions horizontalCentered="1"/>
  <pageMargins left="0.51181102362204722" right="0.51181102362204722" top="0.74803149606299213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CONSOLIDADO </vt:lpstr>
      <vt:lpstr>BT MOQUEGUA MEC </vt:lpstr>
      <vt:lpstr>BT TABLONES JN</vt:lpstr>
      <vt:lpstr>BT HUEMUL-CONCON TRADER</vt:lpstr>
      <vt:lpstr>'BT HUEMUL-CONCON TRADER'!Print_Area</vt:lpstr>
      <vt:lpstr>'BT MOQUEGUA MEC '!Print_Area</vt:lpstr>
      <vt:lpstr>'BT TABLONES JN'!Print_Area</vt:lpstr>
      <vt:lpstr>'CONSOLIDADO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</dc:creator>
  <cp:lastModifiedBy>Richard Gutierrez</cp:lastModifiedBy>
  <cp:lastPrinted>2026-06-11T17:15:04Z</cp:lastPrinted>
  <dcterms:created xsi:type="dcterms:W3CDTF">2021-08-02T16:10:13Z</dcterms:created>
  <dcterms:modified xsi:type="dcterms:W3CDTF">2026-06-26T00:07:45Z</dcterms:modified>
</cp:coreProperties>
</file>
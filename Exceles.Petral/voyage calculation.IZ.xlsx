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izavalao\Documents\"/>
    </mc:Choice>
  </mc:AlternateContent>
  <xr:revisionPtr revIDLastSave="0" documentId="8_{65853AB7-9C4C-4510-B282-8D854C4605DE}" xr6:coauthVersionLast="47" xr6:coauthVersionMax="47" xr10:uidLastSave="{00000000-0000-0000-0000-000000000000}"/>
  <bookViews>
    <workbookView xWindow="240" yWindow="276" windowWidth="19416" windowHeight="7884" xr2:uid="{00000000-000D-0000-FFFF-FFFF00000000}"/>
  </bookViews>
  <sheets>
    <sheet name="Iron Ore RV (2)" sheetId="10" r:id="rId1"/>
    <sheet name="Iron Ore RV" sheetId="9" r:id="rId2"/>
    <sheet name="Iron ore TST" sheetId="5" r:id="rId3"/>
    <sheet name="Grain + ferrosa" sheetId="2" r:id="rId4"/>
    <sheet name="Hoja2 (3)" sheetId="6" r:id="rId5"/>
    <sheet name="Hoja1" sheetId="7" r:id="rId6"/>
    <sheet name="sbm" sheetId="3" r:id="rId7"/>
    <sheet name="GRAINBLACK SEA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0" l="1"/>
  <c r="C58" i="10"/>
  <c r="B50" i="10"/>
  <c r="E37" i="10"/>
  <c r="I33" i="10"/>
  <c r="G32" i="10"/>
  <c r="F26" i="10"/>
  <c r="F25" i="10"/>
  <c r="F32" i="10" s="1"/>
  <c r="F14" i="10"/>
  <c r="F15" i="10" s="1"/>
  <c r="F12" i="10"/>
  <c r="F13" i="10" s="1"/>
  <c r="F10" i="10"/>
  <c r="F9" i="10"/>
  <c r="F8" i="10"/>
  <c r="F11" i="10" s="1"/>
  <c r="D6" i="10"/>
  <c r="F5" i="10"/>
  <c r="F4" i="10"/>
  <c r="I59" i="5"/>
  <c r="I58" i="5"/>
  <c r="I57" i="5"/>
  <c r="G50" i="9"/>
  <c r="G49" i="9"/>
  <c r="I49" i="5"/>
  <c r="G47" i="5"/>
  <c r="G46" i="5"/>
  <c r="B33" i="5"/>
  <c r="B32" i="5"/>
  <c r="E37" i="9"/>
  <c r="D6" i="9"/>
  <c r="H26" i="9" s="1"/>
  <c r="G32" i="9"/>
  <c r="B50" i="9"/>
  <c r="F14" i="9"/>
  <c r="F15" i="9" s="1"/>
  <c r="F12" i="9"/>
  <c r="F13" i="9" s="1"/>
  <c r="F10" i="9"/>
  <c r="F9" i="9"/>
  <c r="F8" i="9"/>
  <c r="H25" i="9"/>
  <c r="H32" i="9" s="1"/>
  <c r="F5" i="9"/>
  <c r="F4" i="9"/>
  <c r="I46" i="3"/>
  <c r="I54" i="3" s="1"/>
  <c r="H48" i="3"/>
  <c r="D6" i="3"/>
  <c r="H46" i="3" s="1"/>
  <c r="E5" i="3"/>
  <c r="G53" i="3"/>
  <c r="H26" i="10" l="1"/>
  <c r="H25" i="10"/>
  <c r="H32" i="10" s="1"/>
  <c r="F6" i="10"/>
  <c r="E50" i="10"/>
  <c r="E49" i="10"/>
  <c r="F33" i="10"/>
  <c r="G50" i="10"/>
  <c r="G49" i="10"/>
  <c r="F37" i="10"/>
  <c r="F40" i="10" s="1"/>
  <c r="F50" i="9"/>
  <c r="F49" i="9"/>
  <c r="G37" i="3"/>
  <c r="G36" i="3"/>
  <c r="F11" i="9"/>
  <c r="F6" i="9"/>
  <c r="F7" i="9" s="1"/>
  <c r="F17" i="9" s="1"/>
  <c r="F25" i="9"/>
  <c r="F26" i="9"/>
  <c r="I33" i="9"/>
  <c r="E73" i="8"/>
  <c r="AA119" i="8"/>
  <c r="AA121" i="8" s="1"/>
  <c r="Y119" i="8"/>
  <c r="X119" i="8"/>
  <c r="V119" i="8"/>
  <c r="Z118" i="8"/>
  <c r="W118" i="8"/>
  <c r="U118" i="8"/>
  <c r="Y111" i="8"/>
  <c r="Y113" i="8" s="1"/>
  <c r="W111" i="8"/>
  <c r="V111" i="8"/>
  <c r="T111" i="8"/>
  <c r="X110" i="8"/>
  <c r="U110" i="8"/>
  <c r="S110" i="8"/>
  <c r="W103" i="8"/>
  <c r="W105" i="8" s="1"/>
  <c r="U103" i="8"/>
  <c r="T103" i="8"/>
  <c r="R103" i="8"/>
  <c r="V102" i="8"/>
  <c r="S102" i="8"/>
  <c r="Q102" i="8"/>
  <c r="U94" i="8"/>
  <c r="U96" i="8" s="1"/>
  <c r="S94" i="8"/>
  <c r="R94" i="8"/>
  <c r="P94" i="8"/>
  <c r="T93" i="8"/>
  <c r="Q93" i="8"/>
  <c r="O93" i="8"/>
  <c r="S85" i="8"/>
  <c r="S87" i="8" s="1"/>
  <c r="Q85" i="8"/>
  <c r="P85" i="8"/>
  <c r="N85" i="8"/>
  <c r="R84" i="8"/>
  <c r="O84" i="8"/>
  <c r="M84" i="8"/>
  <c r="Q77" i="8"/>
  <c r="Q79" i="8" s="1"/>
  <c r="O77" i="8"/>
  <c r="N77" i="8"/>
  <c r="L77" i="8"/>
  <c r="P76" i="8"/>
  <c r="M76" i="8"/>
  <c r="K76" i="8"/>
  <c r="O69" i="8"/>
  <c r="O71" i="8" s="1"/>
  <c r="M69" i="8"/>
  <c r="L69" i="8"/>
  <c r="J69" i="8"/>
  <c r="N68" i="8"/>
  <c r="K68" i="8"/>
  <c r="I68" i="8"/>
  <c r="M61" i="8"/>
  <c r="M63" i="8" s="1"/>
  <c r="K61" i="8"/>
  <c r="J61" i="8"/>
  <c r="H61" i="8"/>
  <c r="L60" i="8"/>
  <c r="I60" i="8"/>
  <c r="G60" i="8"/>
  <c r="I55" i="8"/>
  <c r="F61" i="8" s="1"/>
  <c r="G54" i="8"/>
  <c r="G36" i="8" s="1"/>
  <c r="H50" i="8"/>
  <c r="H46" i="8"/>
  <c r="H54" i="8" s="1"/>
  <c r="B37" i="8"/>
  <c r="F47" i="8" s="1"/>
  <c r="E23" i="8"/>
  <c r="F14" i="8"/>
  <c r="F15" i="8" s="1"/>
  <c r="F12" i="8"/>
  <c r="F13" i="8" s="1"/>
  <c r="F10" i="8"/>
  <c r="F9" i="8"/>
  <c r="F8" i="8"/>
  <c r="X112" i="8" s="1"/>
  <c r="F6" i="8"/>
  <c r="F5" i="8"/>
  <c r="F4" i="8"/>
  <c r="H47" i="3"/>
  <c r="H53" i="3" s="1"/>
  <c r="F36" i="3" s="1"/>
  <c r="F16" i="10" l="1"/>
  <c r="F7" i="10"/>
  <c r="F17" i="10" s="1"/>
  <c r="F50" i="10"/>
  <c r="H50" i="10" s="1"/>
  <c r="F49" i="10"/>
  <c r="H49" i="10" s="1"/>
  <c r="H51" i="10" s="1"/>
  <c r="C61" i="10" s="1"/>
  <c r="F16" i="9"/>
  <c r="F18" i="9" s="1"/>
  <c r="C62" i="9" s="1"/>
  <c r="F32" i="9"/>
  <c r="G37" i="8"/>
  <c r="F48" i="8"/>
  <c r="W120" i="8"/>
  <c r="F37" i="8"/>
  <c r="F36" i="8"/>
  <c r="F7" i="8"/>
  <c r="F11" i="8"/>
  <c r="F49" i="8"/>
  <c r="I62" i="8"/>
  <c r="N70" i="8"/>
  <c r="M78" i="8"/>
  <c r="R86" i="8"/>
  <c r="Q95" i="8"/>
  <c r="V104" i="8"/>
  <c r="U112" i="8"/>
  <c r="Z120" i="8"/>
  <c r="F16" i="8"/>
  <c r="F46" i="8"/>
  <c r="F50" i="8"/>
  <c r="L62" i="8"/>
  <c r="P78" i="8"/>
  <c r="T95" i="8"/>
  <c r="K70" i="8"/>
  <c r="O86" i="8"/>
  <c r="S104" i="8"/>
  <c r="F18" i="10" l="1"/>
  <c r="C62" i="10" s="1"/>
  <c r="C63" i="10" s="1"/>
  <c r="C56" i="9" s="1"/>
  <c r="E50" i="9"/>
  <c r="E49" i="9"/>
  <c r="H49" i="9"/>
  <c r="F33" i="9"/>
  <c r="H50" i="9"/>
  <c r="H51" i="9" s="1"/>
  <c r="F54" i="8"/>
  <c r="F17" i="8"/>
  <c r="F18" i="8"/>
  <c r="F65" i="8" s="1"/>
  <c r="E36" i="8"/>
  <c r="H36" i="8" s="1"/>
  <c r="F55" i="8"/>
  <c r="F23" i="8" s="1"/>
  <c r="F26" i="8" s="1"/>
  <c r="F59" i="8" s="1"/>
  <c r="E37" i="8"/>
  <c r="H37" i="8" s="1"/>
  <c r="A1" i="7"/>
  <c r="F37" i="9" l="1"/>
  <c r="F40" i="9" s="1"/>
  <c r="H38" i="8"/>
  <c r="F60" i="8" s="1"/>
  <c r="F71" i="8" s="1"/>
  <c r="S109" i="8"/>
  <c r="O92" i="8"/>
  <c r="K75" i="8"/>
  <c r="U117" i="8"/>
  <c r="Q101" i="8"/>
  <c r="M83" i="8"/>
  <c r="I67" i="8"/>
  <c r="F63" i="8"/>
  <c r="F66" i="8" s="1"/>
  <c r="F67" i="8" s="1"/>
  <c r="G59" i="8"/>
  <c r="AA118" i="3"/>
  <c r="AA120" i="3" s="1"/>
  <c r="Y118" i="3"/>
  <c r="X118" i="3"/>
  <c r="V118" i="3"/>
  <c r="Z117" i="3"/>
  <c r="W117" i="3"/>
  <c r="U117" i="3"/>
  <c r="Y110" i="3"/>
  <c r="Y112" i="3" s="1"/>
  <c r="W110" i="3"/>
  <c r="V110" i="3"/>
  <c r="T110" i="3"/>
  <c r="X109" i="3"/>
  <c r="U109" i="3"/>
  <c r="S109" i="3"/>
  <c r="W102" i="3"/>
  <c r="W104" i="3" s="1"/>
  <c r="U102" i="3"/>
  <c r="T102" i="3"/>
  <c r="R102" i="3"/>
  <c r="V101" i="3"/>
  <c r="S101" i="3"/>
  <c r="Q101" i="3"/>
  <c r="U93" i="3"/>
  <c r="U95" i="3" s="1"/>
  <c r="S93" i="3"/>
  <c r="R93" i="3"/>
  <c r="P93" i="3"/>
  <c r="T92" i="3"/>
  <c r="Q92" i="3"/>
  <c r="O92" i="3"/>
  <c r="S84" i="3"/>
  <c r="S86" i="3" s="1"/>
  <c r="Q84" i="3"/>
  <c r="P84" i="3"/>
  <c r="N84" i="3"/>
  <c r="R83" i="3"/>
  <c r="O83" i="3"/>
  <c r="M83" i="3"/>
  <c r="Q76" i="3"/>
  <c r="Q78" i="3" s="1"/>
  <c r="O76" i="3"/>
  <c r="N76" i="3"/>
  <c r="L76" i="3"/>
  <c r="P75" i="3"/>
  <c r="M75" i="3"/>
  <c r="K75" i="3"/>
  <c r="O68" i="3"/>
  <c r="O70" i="3" s="1"/>
  <c r="M68" i="3"/>
  <c r="L68" i="3"/>
  <c r="J68" i="3"/>
  <c r="N67" i="3"/>
  <c r="K67" i="3"/>
  <c r="I67" i="3"/>
  <c r="M60" i="3"/>
  <c r="M62" i="3" s="1"/>
  <c r="K60" i="3"/>
  <c r="J60" i="3"/>
  <c r="H60" i="3"/>
  <c r="L59" i="3"/>
  <c r="I59" i="3"/>
  <c r="G59" i="3"/>
  <c r="F60" i="3"/>
  <c r="B37" i="3"/>
  <c r="E23" i="3"/>
  <c r="F14" i="3"/>
  <c r="F15" i="3" s="1"/>
  <c r="F12" i="3"/>
  <c r="F13" i="3" s="1"/>
  <c r="F10" i="3"/>
  <c r="F9" i="3"/>
  <c r="F8" i="3"/>
  <c r="F4" i="3"/>
  <c r="I54" i="2"/>
  <c r="F48" i="3" l="1"/>
  <c r="F49" i="3"/>
  <c r="F46" i="3"/>
  <c r="F47" i="3"/>
  <c r="V117" i="8"/>
  <c r="U121" i="8"/>
  <c r="J67" i="8"/>
  <c r="I71" i="8"/>
  <c r="K79" i="8"/>
  <c r="L75" i="8"/>
  <c r="N83" i="8"/>
  <c r="M87" i="8"/>
  <c r="O96" i="8"/>
  <c r="P92" i="8"/>
  <c r="G63" i="8"/>
  <c r="H59" i="8"/>
  <c r="R101" i="8"/>
  <c r="Q105" i="8"/>
  <c r="S113" i="8"/>
  <c r="T109" i="8"/>
  <c r="F37" i="3"/>
  <c r="F6" i="3"/>
  <c r="F5" i="3"/>
  <c r="W119" i="3" s="1"/>
  <c r="X111" i="3"/>
  <c r="T94" i="3"/>
  <c r="P77" i="3"/>
  <c r="L61" i="3"/>
  <c r="Z119" i="3"/>
  <c r="V103" i="3"/>
  <c r="F11" i="3"/>
  <c r="R85" i="3"/>
  <c r="N69" i="3"/>
  <c r="H46" i="2"/>
  <c r="F53" i="3" l="1"/>
  <c r="E37" i="3"/>
  <c r="H37" i="3" s="1"/>
  <c r="E36" i="3"/>
  <c r="H36" i="3" s="1"/>
  <c r="H38" i="3" s="1"/>
  <c r="F54" i="3"/>
  <c r="I61" i="3"/>
  <c r="F7" i="3"/>
  <c r="F17" i="3" s="1"/>
  <c r="F16" i="3"/>
  <c r="T113" i="8"/>
  <c r="T114" i="8" s="1"/>
  <c r="U109" i="8"/>
  <c r="I59" i="8"/>
  <c r="H63" i="8"/>
  <c r="H64" i="8" s="1"/>
  <c r="M88" i="8"/>
  <c r="I72" i="8"/>
  <c r="S114" i="8"/>
  <c r="G64" i="8"/>
  <c r="G130" i="8" s="1"/>
  <c r="N87" i="8"/>
  <c r="N88" i="8" s="1"/>
  <c r="O83" i="8"/>
  <c r="J71" i="8"/>
  <c r="J72" i="8" s="1"/>
  <c r="K67" i="8"/>
  <c r="Q106" i="8"/>
  <c r="P96" i="8"/>
  <c r="P97" i="8" s="1"/>
  <c r="Q92" i="8"/>
  <c r="L79" i="8"/>
  <c r="L80" i="8" s="1"/>
  <c r="M75" i="8"/>
  <c r="U122" i="8"/>
  <c r="R105" i="8"/>
  <c r="R106" i="8" s="1"/>
  <c r="S101" i="8"/>
  <c r="O97" i="8"/>
  <c r="K80" i="8"/>
  <c r="V121" i="8"/>
  <c r="V122" i="8" s="1"/>
  <c r="W117" i="8"/>
  <c r="M77" i="3"/>
  <c r="S103" i="3"/>
  <c r="Q94" i="3"/>
  <c r="O85" i="3"/>
  <c r="K69" i="3"/>
  <c r="U111" i="3"/>
  <c r="AA118" i="2"/>
  <c r="AA120" i="2" s="1"/>
  <c r="Y118" i="2"/>
  <c r="X118" i="2"/>
  <c r="V118" i="2"/>
  <c r="Z117" i="2"/>
  <c r="W117" i="2"/>
  <c r="U117" i="2"/>
  <c r="Y110" i="2"/>
  <c r="Y112" i="2" s="1"/>
  <c r="W110" i="2"/>
  <c r="V110" i="2"/>
  <c r="T110" i="2"/>
  <c r="X109" i="2"/>
  <c r="U109" i="2"/>
  <c r="S109" i="2"/>
  <c r="W102" i="2"/>
  <c r="W104" i="2" s="1"/>
  <c r="U102" i="2"/>
  <c r="T102" i="2"/>
  <c r="R102" i="2"/>
  <c r="V101" i="2"/>
  <c r="S101" i="2"/>
  <c r="Q101" i="2"/>
  <c r="U93" i="2"/>
  <c r="U95" i="2" s="1"/>
  <c r="S93" i="2"/>
  <c r="R93" i="2"/>
  <c r="P93" i="2"/>
  <c r="T92" i="2"/>
  <c r="Q92" i="2"/>
  <c r="O92" i="2"/>
  <c r="S84" i="2"/>
  <c r="S86" i="2" s="1"/>
  <c r="Q84" i="2"/>
  <c r="P84" i="2"/>
  <c r="N84" i="2"/>
  <c r="R83" i="2"/>
  <c r="O83" i="2"/>
  <c r="M83" i="2"/>
  <c r="Q76" i="2"/>
  <c r="Q78" i="2" s="1"/>
  <c r="O76" i="2"/>
  <c r="N76" i="2"/>
  <c r="L76" i="2"/>
  <c r="P75" i="2"/>
  <c r="M75" i="2"/>
  <c r="K75" i="2"/>
  <c r="O68" i="2"/>
  <c r="O70" i="2" s="1"/>
  <c r="M68" i="2"/>
  <c r="L68" i="2"/>
  <c r="J68" i="2"/>
  <c r="N67" i="2"/>
  <c r="K67" i="2"/>
  <c r="I67" i="2"/>
  <c r="M60" i="2"/>
  <c r="M62" i="2" s="1"/>
  <c r="K60" i="2"/>
  <c r="J60" i="2"/>
  <c r="H60" i="2"/>
  <c r="L59" i="2"/>
  <c r="I59" i="2"/>
  <c r="G59" i="2"/>
  <c r="F18" i="3" l="1"/>
  <c r="F64" i="3" s="1"/>
  <c r="W121" i="8"/>
  <c r="W122" i="8" s="1"/>
  <c r="X117" i="8"/>
  <c r="R92" i="8"/>
  <c r="Q96" i="8"/>
  <c r="Q97" i="8" s="1"/>
  <c r="K71" i="8"/>
  <c r="K72" i="8" s="1"/>
  <c r="L67" i="8"/>
  <c r="H130" i="8"/>
  <c r="I63" i="8"/>
  <c r="I64" i="8" s="1"/>
  <c r="J59" i="8"/>
  <c r="S105" i="8"/>
  <c r="S106" i="8" s="1"/>
  <c r="T101" i="8"/>
  <c r="N75" i="8"/>
  <c r="M79" i="8"/>
  <c r="M80" i="8" s="1"/>
  <c r="O87" i="8"/>
  <c r="O88" i="8" s="1"/>
  <c r="P83" i="8"/>
  <c r="V109" i="8"/>
  <c r="U113" i="8"/>
  <c r="U114" i="8" s="1"/>
  <c r="F23" i="3"/>
  <c r="F26" i="3" s="1"/>
  <c r="F58" i="3" s="1"/>
  <c r="F4" i="6"/>
  <c r="F8" i="6"/>
  <c r="F12" i="6"/>
  <c r="F13" i="6" s="1"/>
  <c r="F14" i="6"/>
  <c r="E5" i="6"/>
  <c r="F5" i="6"/>
  <c r="E6" i="6"/>
  <c r="F6" i="6" s="1"/>
  <c r="F7" i="6" s="1"/>
  <c r="F9" i="6"/>
  <c r="F10" i="6"/>
  <c r="F15" i="6"/>
  <c r="E23" i="6"/>
  <c r="B37" i="6"/>
  <c r="F44" i="6" s="1"/>
  <c r="H44" i="6"/>
  <c r="H46" i="6"/>
  <c r="H47" i="6"/>
  <c r="H49" i="6"/>
  <c r="H50" i="6"/>
  <c r="G53" i="6"/>
  <c r="G36" i="6"/>
  <c r="G37" i="6"/>
  <c r="I54" i="6"/>
  <c r="F59" i="6" s="1"/>
  <c r="F5" i="5"/>
  <c r="F4" i="5"/>
  <c r="F8" i="5"/>
  <c r="F12" i="5"/>
  <c r="F14" i="5"/>
  <c r="F6" i="5"/>
  <c r="F9" i="5"/>
  <c r="F10" i="5"/>
  <c r="F13" i="5"/>
  <c r="F15" i="5"/>
  <c r="E23" i="5"/>
  <c r="F23" i="5" s="1"/>
  <c r="F26" i="5" s="1"/>
  <c r="B37" i="5"/>
  <c r="F46" i="5" s="1"/>
  <c r="F44" i="5"/>
  <c r="F49" i="5"/>
  <c r="F50" i="5"/>
  <c r="H53" i="5"/>
  <c r="F36" i="5" s="1"/>
  <c r="G53" i="5"/>
  <c r="G36" i="5" s="1"/>
  <c r="I54" i="5"/>
  <c r="B37" i="2"/>
  <c r="F46" i="2" s="1"/>
  <c r="F44" i="2"/>
  <c r="F49" i="2"/>
  <c r="H44" i="2"/>
  <c r="H47" i="2"/>
  <c r="E23" i="2"/>
  <c r="H49" i="2"/>
  <c r="F60" i="2"/>
  <c r="F8" i="2"/>
  <c r="F4" i="2"/>
  <c r="E5" i="2"/>
  <c r="E6" i="2" s="1"/>
  <c r="F6" i="2" s="1"/>
  <c r="H50" i="2"/>
  <c r="G53" i="2"/>
  <c r="G36" i="2" s="1"/>
  <c r="F10" i="2"/>
  <c r="F9" i="2"/>
  <c r="F12" i="2"/>
  <c r="G37" i="2"/>
  <c r="F14" i="2"/>
  <c r="F15" i="2"/>
  <c r="F13" i="2"/>
  <c r="F11" i="5" l="1"/>
  <c r="H53" i="6"/>
  <c r="F11" i="6"/>
  <c r="F16" i="6"/>
  <c r="F17" i="6"/>
  <c r="F37" i="6"/>
  <c r="F36" i="6"/>
  <c r="F18" i="6"/>
  <c r="F61" i="6" s="1"/>
  <c r="F47" i="6"/>
  <c r="F50" i="6"/>
  <c r="F46" i="6"/>
  <c r="F48" i="6"/>
  <c r="F16" i="5"/>
  <c r="F49" i="6"/>
  <c r="J63" i="8"/>
  <c r="K59" i="8"/>
  <c r="S92" i="8"/>
  <c r="R96" i="8"/>
  <c r="R97" i="8" s="1"/>
  <c r="W109" i="8"/>
  <c r="V113" i="8"/>
  <c r="V114" i="8" s="1"/>
  <c r="O75" i="8"/>
  <c r="N79" i="8"/>
  <c r="N80" i="8" s="1"/>
  <c r="M67" i="8"/>
  <c r="L71" i="8"/>
  <c r="L72" i="8" s="1"/>
  <c r="Y117" i="8"/>
  <c r="X121" i="8"/>
  <c r="X122" i="8" s="1"/>
  <c r="Q83" i="8"/>
  <c r="P87" i="8"/>
  <c r="P88" i="8" s="1"/>
  <c r="U101" i="8"/>
  <c r="T105" i="8"/>
  <c r="T106" i="8" s="1"/>
  <c r="I130" i="8"/>
  <c r="J64" i="8"/>
  <c r="F7" i="5"/>
  <c r="F17" i="5" s="1"/>
  <c r="F18" i="5" s="1"/>
  <c r="I61" i="5" s="1"/>
  <c r="F45" i="5"/>
  <c r="F48" i="5"/>
  <c r="F37" i="5"/>
  <c r="G37" i="5"/>
  <c r="F47" i="5"/>
  <c r="F59" i="3"/>
  <c r="F62" i="3" s="1"/>
  <c r="F65" i="3" s="1"/>
  <c r="G58" i="3"/>
  <c r="U116" i="3"/>
  <c r="Q100" i="3"/>
  <c r="O91" i="3"/>
  <c r="S108" i="3"/>
  <c r="K74" i="3"/>
  <c r="M82" i="3"/>
  <c r="I66" i="3"/>
  <c r="H53" i="2"/>
  <c r="F37" i="2" s="1"/>
  <c r="F11" i="2"/>
  <c r="T94" i="2"/>
  <c r="L61" i="2"/>
  <c r="Z119" i="2"/>
  <c r="R85" i="2"/>
  <c r="N69" i="2"/>
  <c r="X111" i="2"/>
  <c r="V103" i="2"/>
  <c r="P77" i="2"/>
  <c r="F5" i="2"/>
  <c r="F7" i="2" s="1"/>
  <c r="F48" i="2"/>
  <c r="F47" i="2"/>
  <c r="F50" i="2"/>
  <c r="F53" i="5" l="1"/>
  <c r="E36" i="5" s="1"/>
  <c r="H36" i="5" s="1"/>
  <c r="F53" i="6"/>
  <c r="F66" i="3"/>
  <c r="H4" i="3"/>
  <c r="F54" i="6"/>
  <c r="F23" i="6" s="1"/>
  <c r="F26" i="6" s="1"/>
  <c r="F57" i="6" s="1"/>
  <c r="E36" i="6"/>
  <c r="H36" i="6" s="1"/>
  <c r="E37" i="6"/>
  <c r="H37" i="6" s="1"/>
  <c r="F70" i="3"/>
  <c r="F72" i="8" s="1"/>
  <c r="F73" i="8" s="1"/>
  <c r="F74" i="8" s="1"/>
  <c r="R83" i="8"/>
  <c r="R87" i="8" s="1"/>
  <c r="Q87" i="8"/>
  <c r="Q88" i="8" s="1"/>
  <c r="R88" i="8" s="1"/>
  <c r="S88" i="8" s="1"/>
  <c r="T88" i="8" s="1"/>
  <c r="U88" i="8" s="1"/>
  <c r="V88" i="8" s="1"/>
  <c r="W88" i="8" s="1"/>
  <c r="X88" i="8" s="1"/>
  <c r="Y88" i="8" s="1"/>
  <c r="Z88" i="8" s="1"/>
  <c r="AA88" i="8" s="1"/>
  <c r="K63" i="8"/>
  <c r="K64" i="8" s="1"/>
  <c r="L59" i="8"/>
  <c r="L63" i="8" s="1"/>
  <c r="N67" i="8"/>
  <c r="N71" i="8" s="1"/>
  <c r="M71" i="8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W113" i="8"/>
  <c r="W114" i="8" s="1"/>
  <c r="X109" i="8"/>
  <c r="X113" i="8" s="1"/>
  <c r="V101" i="8"/>
  <c r="V105" i="8" s="1"/>
  <c r="U105" i="8"/>
  <c r="U106" i="8" s="1"/>
  <c r="J130" i="8"/>
  <c r="Z117" i="8"/>
  <c r="Z121" i="8" s="1"/>
  <c r="Y121" i="8"/>
  <c r="Y122" i="8" s="1"/>
  <c r="O79" i="8"/>
  <c r="O80" i="8" s="1"/>
  <c r="P75" i="8"/>
  <c r="P79" i="8" s="1"/>
  <c r="S96" i="8"/>
  <c r="S97" i="8" s="1"/>
  <c r="T92" i="8"/>
  <c r="T96" i="8" s="1"/>
  <c r="E37" i="5"/>
  <c r="H37" i="5" s="1"/>
  <c r="H38" i="5" s="1"/>
  <c r="F54" i="5"/>
  <c r="S112" i="3"/>
  <c r="T108" i="3"/>
  <c r="G62" i="3"/>
  <c r="H58" i="3"/>
  <c r="I70" i="3"/>
  <c r="J66" i="3"/>
  <c r="O95" i="3"/>
  <c r="P91" i="3"/>
  <c r="M86" i="3"/>
  <c r="N82" i="3"/>
  <c r="Q104" i="3"/>
  <c r="R100" i="3"/>
  <c r="K78" i="3"/>
  <c r="L74" i="3"/>
  <c r="U120" i="3"/>
  <c r="V116" i="3"/>
  <c r="F53" i="2"/>
  <c r="E36" i="2" s="1"/>
  <c r="F36" i="2"/>
  <c r="M77" i="2"/>
  <c r="F17" i="2"/>
  <c r="U111" i="2"/>
  <c r="I61" i="2"/>
  <c r="Q94" i="2"/>
  <c r="O85" i="2"/>
  <c r="S103" i="2"/>
  <c r="W119" i="2"/>
  <c r="K69" i="2"/>
  <c r="F16" i="2"/>
  <c r="H36" i="2" l="1"/>
  <c r="H38" i="6"/>
  <c r="F58" i="6" s="1"/>
  <c r="P80" i="8"/>
  <c r="Q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F60" i="6"/>
  <c r="F62" i="6" s="1"/>
  <c r="F63" i="6" s="1"/>
  <c r="Z122" i="8"/>
  <c r="AA122" i="8" s="1"/>
  <c r="X114" i="8"/>
  <c r="Y114" i="8" s="1"/>
  <c r="Z114" i="8" s="1"/>
  <c r="AA114" i="8" s="1"/>
  <c r="T97" i="8"/>
  <c r="U97" i="8" s="1"/>
  <c r="V97" i="8" s="1"/>
  <c r="W97" i="8" s="1"/>
  <c r="X97" i="8" s="1"/>
  <c r="Y97" i="8" s="1"/>
  <c r="Z97" i="8" s="1"/>
  <c r="AA97" i="8" s="1"/>
  <c r="K130" i="8"/>
  <c r="L64" i="8"/>
  <c r="V106" i="8"/>
  <c r="W106" i="8" s="1"/>
  <c r="X106" i="8" s="1"/>
  <c r="Y106" i="8" s="1"/>
  <c r="Z106" i="8" s="1"/>
  <c r="AA106" i="8" s="1"/>
  <c r="I60" i="5"/>
  <c r="E37" i="2"/>
  <c r="H37" i="2" s="1"/>
  <c r="H38" i="2" s="1"/>
  <c r="F59" i="2" s="1"/>
  <c r="F54" i="2"/>
  <c r="F23" i="2" s="1"/>
  <c r="F26" i="2" s="1"/>
  <c r="F58" i="2" s="1"/>
  <c r="S108" i="2" s="1"/>
  <c r="M74" i="3"/>
  <c r="L78" i="3"/>
  <c r="L79" i="3" s="1"/>
  <c r="N86" i="3"/>
  <c r="N87" i="3" s="1"/>
  <c r="O82" i="3"/>
  <c r="J70" i="3"/>
  <c r="J71" i="3" s="1"/>
  <c r="K66" i="3"/>
  <c r="U108" i="3"/>
  <c r="T112" i="3"/>
  <c r="T113" i="3" s="1"/>
  <c r="K79" i="3"/>
  <c r="M87" i="3"/>
  <c r="I71" i="3"/>
  <c r="S113" i="3"/>
  <c r="W116" i="3"/>
  <c r="V120" i="3"/>
  <c r="V121" i="3" s="1"/>
  <c r="R104" i="3"/>
  <c r="R105" i="3" s="1"/>
  <c r="S100" i="3"/>
  <c r="Q91" i="3"/>
  <c r="P95" i="3"/>
  <c r="P96" i="3" s="1"/>
  <c r="I58" i="3"/>
  <c r="H62" i="3"/>
  <c r="H63" i="3" s="1"/>
  <c r="U121" i="3"/>
  <c r="Q105" i="3"/>
  <c r="O96" i="3"/>
  <c r="G63" i="3"/>
  <c r="G129" i="3" s="1"/>
  <c r="F18" i="2"/>
  <c r="F64" i="2" s="1"/>
  <c r="L130" i="8" l="1"/>
  <c r="M64" i="8"/>
  <c r="I62" i="5"/>
  <c r="C58" i="9" s="1"/>
  <c r="C61" i="9" s="1"/>
  <c r="C63" i="9" s="1"/>
  <c r="I63" i="5"/>
  <c r="I66" i="2"/>
  <c r="J66" i="2" s="1"/>
  <c r="G58" i="2"/>
  <c r="G62" i="2" s="1"/>
  <c r="G63" i="2" s="1"/>
  <c r="G129" i="2" s="1"/>
  <c r="U116" i="2"/>
  <c r="K74" i="2"/>
  <c r="L74" i="2" s="1"/>
  <c r="Q100" i="2"/>
  <c r="Q104" i="2" s="1"/>
  <c r="F62" i="2"/>
  <c r="M82" i="2"/>
  <c r="N82" i="2" s="1"/>
  <c r="O91" i="2"/>
  <c r="O95" i="2" s="1"/>
  <c r="O96" i="2" s="1"/>
  <c r="H129" i="3"/>
  <c r="L66" i="3"/>
  <c r="K70" i="3"/>
  <c r="K71" i="3" s="1"/>
  <c r="Q95" i="3"/>
  <c r="Q96" i="3" s="1"/>
  <c r="R91" i="3"/>
  <c r="X116" i="3"/>
  <c r="W120" i="3"/>
  <c r="W121" i="3" s="1"/>
  <c r="T100" i="3"/>
  <c r="S104" i="3"/>
  <c r="S105" i="3" s="1"/>
  <c r="P82" i="3"/>
  <c r="O86" i="3"/>
  <c r="O87" i="3" s="1"/>
  <c r="I62" i="3"/>
  <c r="I63" i="3" s="1"/>
  <c r="J58" i="3"/>
  <c r="U112" i="3"/>
  <c r="U113" i="3" s="1"/>
  <c r="V108" i="3"/>
  <c r="N74" i="3"/>
  <c r="M78" i="3"/>
  <c r="M79" i="3" s="1"/>
  <c r="S112" i="2"/>
  <c r="S113" i="2" s="1"/>
  <c r="T108" i="2"/>
  <c r="U120" i="2"/>
  <c r="U121" i="2" s="1"/>
  <c r="V116" i="2"/>
  <c r="F65" i="2"/>
  <c r="F66" i="2" s="1"/>
  <c r="I70" i="2"/>
  <c r="R100" i="2"/>
  <c r="M86" i="2"/>
  <c r="I64" i="5" l="1"/>
  <c r="M130" i="8"/>
  <c r="N64" i="8"/>
  <c r="H5" i="5"/>
  <c r="K78" i="2"/>
  <c r="K79" i="2" s="1"/>
  <c r="P91" i="2"/>
  <c r="H58" i="2"/>
  <c r="H62" i="2" s="1"/>
  <c r="H63" i="2" s="1"/>
  <c r="H129" i="2" s="1"/>
  <c r="I129" i="3"/>
  <c r="V112" i="3"/>
  <c r="V113" i="3" s="1"/>
  <c r="W108" i="3"/>
  <c r="X120" i="3"/>
  <c r="X121" i="3" s="1"/>
  <c r="Y116" i="3"/>
  <c r="M66" i="3"/>
  <c r="L70" i="3"/>
  <c r="L71" i="3" s="1"/>
  <c r="R95" i="3"/>
  <c r="R96" i="3" s="1"/>
  <c r="S91" i="3"/>
  <c r="N78" i="3"/>
  <c r="N79" i="3" s="1"/>
  <c r="O74" i="3"/>
  <c r="T104" i="3"/>
  <c r="T105" i="3" s="1"/>
  <c r="U100" i="3"/>
  <c r="K58" i="3"/>
  <c r="J62" i="3"/>
  <c r="J63" i="3" s="1"/>
  <c r="Q82" i="3"/>
  <c r="P86" i="3"/>
  <c r="P87" i="3" s="1"/>
  <c r="W116" i="2"/>
  <c r="V120" i="2"/>
  <c r="V121" i="2" s="1"/>
  <c r="U108" i="2"/>
  <c r="T112" i="2"/>
  <c r="T113" i="2" s="1"/>
  <c r="M87" i="2"/>
  <c r="L78" i="2"/>
  <c r="M74" i="2"/>
  <c r="J70" i="2"/>
  <c r="J71" i="2" s="1"/>
  <c r="K66" i="2"/>
  <c r="R104" i="2"/>
  <c r="R105" i="2" s="1"/>
  <c r="S100" i="2"/>
  <c r="I58" i="2"/>
  <c r="Q91" i="2"/>
  <c r="P95" i="2"/>
  <c r="P96" i="2" s="1"/>
  <c r="Q105" i="2"/>
  <c r="N86" i="2"/>
  <c r="N87" i="2" s="1"/>
  <c r="O82" i="2"/>
  <c r="I71" i="2"/>
  <c r="N130" i="8" l="1"/>
  <c r="O64" i="8"/>
  <c r="L79" i="2"/>
  <c r="L58" i="3"/>
  <c r="L62" i="3" s="1"/>
  <c r="K62" i="3"/>
  <c r="K63" i="3" s="1"/>
  <c r="S95" i="3"/>
  <c r="S96" i="3" s="1"/>
  <c r="T91" i="3"/>
  <c r="T95" i="3" s="1"/>
  <c r="Q86" i="3"/>
  <c r="Q87" i="3" s="1"/>
  <c r="R82" i="3"/>
  <c r="R86" i="3" s="1"/>
  <c r="U104" i="3"/>
  <c r="U105" i="3" s="1"/>
  <c r="V100" i="3"/>
  <c r="V104" i="3" s="1"/>
  <c r="J129" i="3"/>
  <c r="M70" i="3"/>
  <c r="M71" i="3" s="1"/>
  <c r="N66" i="3"/>
  <c r="N70" i="3" s="1"/>
  <c r="X108" i="3"/>
  <c r="X112" i="3" s="1"/>
  <c r="W112" i="3"/>
  <c r="W113" i="3" s="1"/>
  <c r="O78" i="3"/>
  <c r="O79" i="3" s="1"/>
  <c r="P74" i="3"/>
  <c r="P78" i="3" s="1"/>
  <c r="Y120" i="3"/>
  <c r="Y121" i="3" s="1"/>
  <c r="Z116" i="3"/>
  <c r="Z120" i="3" s="1"/>
  <c r="U112" i="2"/>
  <c r="U113" i="2" s="1"/>
  <c r="V108" i="2"/>
  <c r="X116" i="2"/>
  <c r="W120" i="2"/>
  <c r="W121" i="2" s="1"/>
  <c r="J58" i="2"/>
  <c r="I62" i="2"/>
  <c r="I63" i="2" s="1"/>
  <c r="I129" i="2" s="1"/>
  <c r="O86" i="2"/>
  <c r="O87" i="2" s="1"/>
  <c r="P82" i="2"/>
  <c r="T100" i="2"/>
  <c r="S104" i="2"/>
  <c r="S105" i="2" s="1"/>
  <c r="N74" i="2"/>
  <c r="M78" i="2"/>
  <c r="R91" i="2"/>
  <c r="Q95" i="2"/>
  <c r="Q96" i="2" s="1"/>
  <c r="K70" i="2"/>
  <c r="K71" i="2" s="1"/>
  <c r="L66" i="2"/>
  <c r="O130" i="8" l="1"/>
  <c r="P64" i="8"/>
  <c r="M79" i="2"/>
  <c r="X113" i="3"/>
  <c r="Y113" i="3" s="1"/>
  <c r="Z113" i="3" s="1"/>
  <c r="AA113" i="3" s="1"/>
  <c r="N71" i="3"/>
  <c r="O71" i="3" s="1"/>
  <c r="P71" i="3" s="1"/>
  <c r="Q71" i="3" s="1"/>
  <c r="R71" i="3" s="1"/>
  <c r="S71" i="3" s="1"/>
  <c r="T71" i="3" s="1"/>
  <c r="U71" i="3" s="1"/>
  <c r="V71" i="3" s="1"/>
  <c r="W71" i="3" s="1"/>
  <c r="X71" i="3" s="1"/>
  <c r="Y71" i="3" s="1"/>
  <c r="Z71" i="3" s="1"/>
  <c r="AA71" i="3" s="1"/>
  <c r="V105" i="3"/>
  <c r="W105" i="3" s="1"/>
  <c r="X105" i="3" s="1"/>
  <c r="Y105" i="3" s="1"/>
  <c r="Z105" i="3" s="1"/>
  <c r="AA105" i="3" s="1"/>
  <c r="T96" i="3"/>
  <c r="U96" i="3" s="1"/>
  <c r="V96" i="3" s="1"/>
  <c r="W96" i="3" s="1"/>
  <c r="X96" i="3" s="1"/>
  <c r="Y96" i="3" s="1"/>
  <c r="Z96" i="3" s="1"/>
  <c r="AA96" i="3" s="1"/>
  <c r="R87" i="3"/>
  <c r="S87" i="3" s="1"/>
  <c r="T87" i="3" s="1"/>
  <c r="U87" i="3" s="1"/>
  <c r="V87" i="3" s="1"/>
  <c r="W87" i="3" s="1"/>
  <c r="X87" i="3" s="1"/>
  <c r="Y87" i="3" s="1"/>
  <c r="Z87" i="3" s="1"/>
  <c r="AA87" i="3" s="1"/>
  <c r="P79" i="3"/>
  <c r="Q79" i="3" s="1"/>
  <c r="R79" i="3" s="1"/>
  <c r="S79" i="3" s="1"/>
  <c r="T79" i="3" s="1"/>
  <c r="U79" i="3" s="1"/>
  <c r="V79" i="3" s="1"/>
  <c r="W79" i="3" s="1"/>
  <c r="X79" i="3" s="1"/>
  <c r="Y79" i="3" s="1"/>
  <c r="Z79" i="3" s="1"/>
  <c r="AA79" i="3" s="1"/>
  <c r="K129" i="3"/>
  <c r="L63" i="3"/>
  <c r="Z121" i="3"/>
  <c r="AA121" i="3" s="1"/>
  <c r="Y116" i="2"/>
  <c r="X120" i="2"/>
  <c r="X121" i="2" s="1"/>
  <c r="V112" i="2"/>
  <c r="V113" i="2" s="1"/>
  <c r="W108" i="2"/>
  <c r="R95" i="2"/>
  <c r="R96" i="2" s="1"/>
  <c r="S91" i="2"/>
  <c r="U100" i="2"/>
  <c r="T104" i="2"/>
  <c r="T105" i="2" s="1"/>
  <c r="Q82" i="2"/>
  <c r="P86" i="2"/>
  <c r="P87" i="2" s="1"/>
  <c r="N78" i="2"/>
  <c r="N79" i="2" s="1"/>
  <c r="O74" i="2"/>
  <c r="J62" i="2"/>
  <c r="J63" i="2" s="1"/>
  <c r="J129" i="2" s="1"/>
  <c r="K58" i="2"/>
  <c r="M66" i="2"/>
  <c r="L70" i="2"/>
  <c r="L71" i="2" s="1"/>
  <c r="P130" i="8" l="1"/>
  <c r="Q64" i="8"/>
  <c r="L129" i="3"/>
  <c r="M63" i="3"/>
  <c r="W112" i="2"/>
  <c r="W113" i="2" s="1"/>
  <c r="X108" i="2"/>
  <c r="X112" i="2" s="1"/>
  <c r="Y120" i="2"/>
  <c r="Y121" i="2" s="1"/>
  <c r="Z116" i="2"/>
  <c r="Z120" i="2" s="1"/>
  <c r="M70" i="2"/>
  <c r="M71" i="2" s="1"/>
  <c r="N66" i="2"/>
  <c r="N70" i="2" s="1"/>
  <c r="L58" i="2"/>
  <c r="L62" i="2" s="1"/>
  <c r="K62" i="2"/>
  <c r="K63" i="2" s="1"/>
  <c r="K129" i="2" s="1"/>
  <c r="Q86" i="2"/>
  <c r="Q87" i="2" s="1"/>
  <c r="R82" i="2"/>
  <c r="R86" i="2" s="1"/>
  <c r="V100" i="2"/>
  <c r="V104" i="2" s="1"/>
  <c r="U104" i="2"/>
  <c r="U105" i="2" s="1"/>
  <c r="O78" i="2"/>
  <c r="O79" i="2" s="1"/>
  <c r="P74" i="2"/>
  <c r="P78" i="2" s="1"/>
  <c r="T91" i="2"/>
  <c r="T95" i="2" s="1"/>
  <c r="S95" i="2"/>
  <c r="S96" i="2" s="1"/>
  <c r="Q130" i="8" l="1"/>
  <c r="R64" i="8"/>
  <c r="M129" i="3"/>
  <c r="N63" i="3"/>
  <c r="Z121" i="2"/>
  <c r="AA121" i="2" s="1"/>
  <c r="X113" i="2"/>
  <c r="Y113" i="2" s="1"/>
  <c r="Z113" i="2" s="1"/>
  <c r="AA113" i="2" s="1"/>
  <c r="R87" i="2"/>
  <c r="S87" i="2" s="1"/>
  <c r="T87" i="2" s="1"/>
  <c r="U87" i="2" s="1"/>
  <c r="V87" i="2" s="1"/>
  <c r="W87" i="2" s="1"/>
  <c r="X87" i="2" s="1"/>
  <c r="Y87" i="2" s="1"/>
  <c r="Z87" i="2" s="1"/>
  <c r="AA87" i="2" s="1"/>
  <c r="P79" i="2"/>
  <c r="Q79" i="2" s="1"/>
  <c r="R79" i="2" s="1"/>
  <c r="S79" i="2" s="1"/>
  <c r="T79" i="2" s="1"/>
  <c r="U79" i="2" s="1"/>
  <c r="V79" i="2" s="1"/>
  <c r="W79" i="2" s="1"/>
  <c r="X79" i="2" s="1"/>
  <c r="Y79" i="2" s="1"/>
  <c r="Z79" i="2" s="1"/>
  <c r="AA79" i="2" s="1"/>
  <c r="T96" i="2"/>
  <c r="U96" i="2" s="1"/>
  <c r="L63" i="2"/>
  <c r="L129" i="2" s="1"/>
  <c r="N71" i="2"/>
  <c r="O71" i="2" s="1"/>
  <c r="V105" i="2"/>
  <c r="W105" i="2" s="1"/>
  <c r="X105" i="2" s="1"/>
  <c r="Y105" i="2" s="1"/>
  <c r="Z105" i="2" s="1"/>
  <c r="AA105" i="2" s="1"/>
  <c r="R130" i="8" l="1"/>
  <c r="S64" i="8"/>
  <c r="N129" i="3"/>
  <c r="O63" i="3"/>
  <c r="V96" i="2"/>
  <c r="W96" i="2" s="1"/>
  <c r="X96" i="2" s="1"/>
  <c r="Y96" i="2" s="1"/>
  <c r="Z96" i="2" s="1"/>
  <c r="AA96" i="2" s="1"/>
  <c r="M63" i="2"/>
  <c r="M129" i="2" s="1"/>
  <c r="P71" i="2"/>
  <c r="Q71" i="2" s="1"/>
  <c r="R71" i="2" s="1"/>
  <c r="S71" i="2" s="1"/>
  <c r="T71" i="2" s="1"/>
  <c r="U71" i="2" s="1"/>
  <c r="V71" i="2" s="1"/>
  <c r="W71" i="2" s="1"/>
  <c r="X71" i="2" s="1"/>
  <c r="Y71" i="2" s="1"/>
  <c r="Z71" i="2" s="1"/>
  <c r="AA71" i="2" s="1"/>
  <c r="S130" i="8" l="1"/>
  <c r="T64" i="8"/>
  <c r="O129" i="3"/>
  <c r="P63" i="3"/>
  <c r="N63" i="2"/>
  <c r="N129" i="2" s="1"/>
  <c r="T130" i="8" l="1"/>
  <c r="U64" i="8"/>
  <c r="P129" i="3"/>
  <c r="Q63" i="3"/>
  <c r="O63" i="2"/>
  <c r="O129" i="2" s="1"/>
  <c r="U130" i="8" l="1"/>
  <c r="V64" i="8"/>
  <c r="Q129" i="3"/>
  <c r="R63" i="3"/>
  <c r="P63" i="2"/>
  <c r="P129" i="2" s="1"/>
  <c r="V130" i="8" l="1"/>
  <c r="W64" i="8"/>
  <c r="S63" i="3"/>
  <c r="R129" i="3"/>
  <c r="Q63" i="2"/>
  <c r="Q129" i="2" s="1"/>
  <c r="W130" i="8" l="1"/>
  <c r="X64" i="8"/>
  <c r="S129" i="3"/>
  <c r="T63" i="3"/>
  <c r="R63" i="2"/>
  <c r="R129" i="2" s="1"/>
  <c r="X130" i="8" l="1"/>
  <c r="Y64" i="8"/>
  <c r="T129" i="3"/>
  <c r="U63" i="3"/>
  <c r="S63" i="2"/>
  <c r="S129" i="2" s="1"/>
  <c r="Y130" i="8" l="1"/>
  <c r="Z64" i="8"/>
  <c r="U129" i="3"/>
  <c r="V63" i="3"/>
  <c r="T63" i="2"/>
  <c r="T129" i="2" s="1"/>
  <c r="Z130" i="8" l="1"/>
  <c r="AA64" i="8"/>
  <c r="AA130" i="8" s="1"/>
  <c r="V129" i="3"/>
  <c r="W63" i="3"/>
  <c r="U63" i="2"/>
  <c r="U129" i="2" s="1"/>
  <c r="X63" i="3" l="1"/>
  <c r="W129" i="3"/>
  <c r="V63" i="2"/>
  <c r="V129" i="2" s="1"/>
  <c r="X129" i="3" l="1"/>
  <c r="Y63" i="3"/>
  <c r="W63" i="2"/>
  <c r="Y129" i="3" l="1"/>
  <c r="Z63" i="3"/>
  <c r="W129" i="2"/>
  <c r="X63" i="2"/>
  <c r="Z129" i="3" l="1"/>
  <c r="AA63" i="3"/>
  <c r="AA129" i="3" s="1"/>
  <c r="Y63" i="2"/>
  <c r="X129" i="2"/>
  <c r="Z63" i="2" l="1"/>
  <c r="Y129" i="2"/>
  <c r="AA63" i="2" l="1"/>
  <c r="AA129" i="2" s="1"/>
  <c r="Z129" i="2"/>
</calcChain>
</file>

<file path=xl/sharedStrings.xml><?xml version="1.0" encoding="utf-8"?>
<sst xmlns="http://schemas.openxmlformats.org/spreadsheetml/2006/main" count="699" uniqueCount="112">
  <si>
    <t>INCOMES</t>
  </si>
  <si>
    <t>Commodity</t>
  </si>
  <si>
    <t>Tonnage</t>
  </si>
  <si>
    <t>Freight</t>
  </si>
  <si>
    <t>Sub total</t>
  </si>
  <si>
    <t>Grains</t>
  </si>
  <si>
    <t>Total</t>
  </si>
  <si>
    <t>Broker commision</t>
  </si>
  <si>
    <t>Total freight</t>
  </si>
  <si>
    <t>Total broker commision</t>
  </si>
  <si>
    <t>Net income</t>
  </si>
  <si>
    <t>VOYAGE ITINERARY</t>
  </si>
  <si>
    <t>Ports</t>
  </si>
  <si>
    <t>Ritmos</t>
  </si>
  <si>
    <t>termino</t>
  </si>
  <si>
    <t>Dist. miles</t>
  </si>
  <si>
    <t>at Sea</t>
  </si>
  <si>
    <t>Anchor/Excl</t>
  </si>
  <si>
    <t>at Port</t>
  </si>
  <si>
    <t>Port charges</t>
  </si>
  <si>
    <t>CJK</t>
  </si>
  <si>
    <t>Vancouver</t>
  </si>
  <si>
    <t>sshex</t>
  </si>
  <si>
    <t>Callao</t>
  </si>
  <si>
    <t>shinc</t>
  </si>
  <si>
    <t>Subtotal tiempo</t>
  </si>
  <si>
    <t>HIRE CALCULATIONS</t>
  </si>
  <si>
    <t>Gross hire</t>
  </si>
  <si>
    <t>add comm</t>
  </si>
  <si>
    <t>Net hire/day</t>
  </si>
  <si>
    <t>Total hire</t>
  </si>
  <si>
    <t>Hire</t>
  </si>
  <si>
    <t>Cleaning Holds</t>
  </si>
  <si>
    <t>others</t>
  </si>
  <si>
    <t>Total valor hire</t>
  </si>
  <si>
    <t>BUNKERS CALCULATIONS</t>
  </si>
  <si>
    <t>Daily consumption MTONS / DAY</t>
  </si>
  <si>
    <t>Bunkers</t>
  </si>
  <si>
    <t>At Sea</t>
  </si>
  <si>
    <t xml:space="preserve">at port </t>
  </si>
  <si>
    <t>idle</t>
  </si>
  <si>
    <t>IFO</t>
  </si>
  <si>
    <t>USD/TON</t>
  </si>
  <si>
    <t>MDO</t>
  </si>
  <si>
    <t>Speed</t>
  </si>
  <si>
    <t>Knots</t>
  </si>
  <si>
    <t xml:space="preserve">Costo </t>
  </si>
  <si>
    <t>Navegacion</t>
  </si>
  <si>
    <t>Puerto</t>
  </si>
  <si>
    <t>Idle</t>
  </si>
  <si>
    <t xml:space="preserve">Total </t>
  </si>
  <si>
    <t>Weather factor</t>
  </si>
  <si>
    <t>Average</t>
  </si>
  <si>
    <t>Costo total de combustibes</t>
  </si>
  <si>
    <t>MISCELANIOS</t>
  </si>
  <si>
    <t>DELFDISCHARGE</t>
  </si>
  <si>
    <t>TST</t>
  </si>
  <si>
    <t>Total Miscelanios</t>
  </si>
  <si>
    <t>Total costs</t>
  </si>
  <si>
    <t>Total income</t>
  </si>
  <si>
    <t>Total revenue</t>
  </si>
  <si>
    <t>IRON ORE</t>
  </si>
  <si>
    <t>at Anchor</t>
  </si>
  <si>
    <t>Pisco</t>
  </si>
  <si>
    <t>Rizhao</t>
  </si>
  <si>
    <t>grains loss</t>
  </si>
  <si>
    <t>Break bulk</t>
  </si>
  <si>
    <t>Grain in bulk</t>
  </si>
  <si>
    <t>Ferrita in bulk</t>
  </si>
  <si>
    <t>satshex</t>
  </si>
  <si>
    <t>200 millas</t>
  </si>
  <si>
    <t>Estibas</t>
  </si>
  <si>
    <t>COST</t>
  </si>
  <si>
    <t>Port Charges</t>
  </si>
  <si>
    <t>Proffit</t>
  </si>
  <si>
    <t>$/TON</t>
  </si>
  <si>
    <t>TC/E</t>
  </si>
  <si>
    <t>Paita</t>
  </si>
  <si>
    <t>Matarani</t>
  </si>
  <si>
    <t>HONG KONG</t>
  </si>
  <si>
    <t>VANCOUVER</t>
  </si>
  <si>
    <t>VANCOUVER BUNKERING</t>
  </si>
  <si>
    <t>PAITA</t>
  </si>
  <si>
    <t>MATARANI</t>
  </si>
  <si>
    <t>Callao  Bunkers</t>
  </si>
  <si>
    <t>Cronograma de pagos</t>
  </si>
  <si>
    <t xml:space="preserve">COSTOS VS INCOMES </t>
  </si>
  <si>
    <t>on delivery</t>
  </si>
  <si>
    <t>+ 15 días</t>
  </si>
  <si>
    <t>+ 30 días</t>
  </si>
  <si>
    <t>+ 45 días</t>
  </si>
  <si>
    <t>+60 días</t>
  </si>
  <si>
    <t>+75 días</t>
  </si>
  <si>
    <t>+90 días</t>
  </si>
  <si>
    <t>HIRE</t>
  </si>
  <si>
    <t>BUNKERS</t>
  </si>
  <si>
    <t>PORT CHARGES</t>
  </si>
  <si>
    <t>Manta</t>
  </si>
  <si>
    <t>YOKOHAMA</t>
  </si>
  <si>
    <t>Yokohama</t>
  </si>
  <si>
    <t>ONAHAMA</t>
  </si>
  <si>
    <t>base</t>
  </si>
  <si>
    <t>futuro</t>
  </si>
  <si>
    <t>SBM</t>
  </si>
  <si>
    <t>Arica</t>
  </si>
  <si>
    <t>Guayaquil</t>
  </si>
  <si>
    <t>hire + bunkers</t>
  </si>
  <si>
    <t>roca fosforica</t>
  </si>
  <si>
    <t>Gibraltar</t>
  </si>
  <si>
    <t>Novorosysk</t>
  </si>
  <si>
    <t>Istambul</t>
  </si>
  <si>
    <t>Panama 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</si>
</sst>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&quot;S/.&quot;\ * #,##0.00_ ;_ &quot;S/.&quot;\ * \-#,##0.00_ ;_ &quot;S/.&quot;\ * &quot;-&quot;??_ ;_ @_ "/>
    <numFmt numFmtId="165" formatCode="[$$-540A]#,##0.00"/>
    <numFmt numFmtId="166" formatCode="_-* #,##0_-;\-* #,##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5">
    <xf numFmtId="0" fontId="0" fillId="0" borderId="0" xfId="0"/>
    <xf numFmtId="4" fontId="3" fillId="0" borderId="0" xfId="0" applyNumberFormat="1" applyFont="1" applyProtection="1">
      <protection locked="0"/>
    </xf>
    <xf numFmtId="4" fontId="0" fillId="0" borderId="0" xfId="0" applyNumberFormat="1" applyProtection="1">
      <protection locked="0"/>
    </xf>
    <xf numFmtId="0" fontId="0" fillId="0" borderId="0" xfId="0" applyProtection="1">
      <protection locked="0"/>
    </xf>
    <xf numFmtId="165" fontId="0" fillId="0" borderId="0" xfId="0" applyNumberFormat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4" fontId="0" fillId="2" borderId="0" xfId="0" applyNumberFormat="1" applyFill="1"/>
    <xf numFmtId="165" fontId="0" fillId="2" borderId="0" xfId="1" applyNumberFormat="1" applyFont="1" applyFill="1" applyBorder="1"/>
    <xf numFmtId="165" fontId="0" fillId="0" borderId="9" xfId="1" applyNumberFormat="1" applyFont="1" applyBorder="1"/>
    <xf numFmtId="0" fontId="0" fillId="0" borderId="10" xfId="0" applyBorder="1"/>
    <xf numFmtId="165" fontId="0" fillId="0" borderId="11" xfId="0" applyNumberFormat="1" applyBorder="1"/>
    <xf numFmtId="0" fontId="0" fillId="0" borderId="12" xfId="0" applyBorder="1"/>
    <xf numFmtId="0" fontId="0" fillId="0" borderId="13" xfId="0" applyBorder="1"/>
    <xf numFmtId="165" fontId="0" fillId="0" borderId="14" xfId="0" applyNumberFormat="1" applyBorder="1"/>
    <xf numFmtId="165" fontId="0" fillId="0" borderId="0" xfId="1" applyNumberFormat="1" applyFont="1" applyBorder="1"/>
    <xf numFmtId="10" fontId="0" fillId="0" borderId="0" xfId="0" applyNumberFormat="1"/>
    <xf numFmtId="0" fontId="0" fillId="0" borderId="8" xfId="0" applyBorder="1"/>
    <xf numFmtId="165" fontId="0" fillId="0" borderId="9" xfId="0" applyNumberFormat="1" applyBorder="1"/>
    <xf numFmtId="0" fontId="0" fillId="0" borderId="15" xfId="0" applyBorder="1"/>
    <xf numFmtId="0" fontId="0" fillId="0" borderId="16" xfId="0" applyBorder="1"/>
    <xf numFmtId="165" fontId="0" fillId="2" borderId="9" xfId="1" applyNumberFormat="1" applyFont="1" applyFill="1" applyBorder="1"/>
    <xf numFmtId="0" fontId="0" fillId="0" borderId="1" xfId="0" applyBorder="1"/>
    <xf numFmtId="2" fontId="0" fillId="0" borderId="1" xfId="0" applyNumberFormat="1" applyBorder="1"/>
    <xf numFmtId="165" fontId="0" fillId="2" borderId="1" xfId="1" applyNumberFormat="1" applyFont="1" applyFill="1" applyBorder="1"/>
    <xf numFmtId="2" fontId="0" fillId="2" borderId="1" xfId="0" applyNumberFormat="1" applyFill="1" applyBorder="1"/>
    <xf numFmtId="0" fontId="0" fillId="2" borderId="1" xfId="0" applyFill="1" applyBorder="1"/>
    <xf numFmtId="9" fontId="0" fillId="2" borderId="1" xfId="0" applyNumberFormat="1" applyFill="1" applyBorder="1"/>
    <xf numFmtId="165" fontId="0" fillId="0" borderId="1" xfId="0" applyNumberForma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1" xfId="0" applyFont="1" applyBorder="1"/>
    <xf numFmtId="165" fontId="2" fillId="0" borderId="17" xfId="0" applyNumberFormat="1" applyFont="1" applyBorder="1"/>
    <xf numFmtId="0" fontId="0" fillId="0" borderId="9" xfId="0" applyBorder="1"/>
    <xf numFmtId="0" fontId="2" fillId="0" borderId="19" xfId="0" applyFont="1" applyBorder="1"/>
    <xf numFmtId="0" fontId="0" fillId="0" borderId="20" xfId="0" applyBorder="1"/>
    <xf numFmtId="165" fontId="0" fillId="0" borderId="20" xfId="0" applyNumberFormat="1" applyBorder="1"/>
    <xf numFmtId="0" fontId="0" fillId="0" borderId="19" xfId="0" applyBorder="1"/>
    <xf numFmtId="165" fontId="2" fillId="0" borderId="14" xfId="0" applyNumberFormat="1" applyFont="1" applyBorder="1"/>
    <xf numFmtId="165" fontId="2" fillId="0" borderId="0" xfId="0" applyNumberFormat="1" applyFont="1"/>
    <xf numFmtId="2" fontId="0" fillId="0" borderId="1" xfId="0" applyNumberFormat="1" applyBorder="1" applyAlignment="1">
      <alignment horizontal="center"/>
    </xf>
    <xf numFmtId="4" fontId="0" fillId="2" borderId="1" xfId="0" applyNumberFormat="1" applyFill="1" applyBorder="1"/>
    <xf numFmtId="0" fontId="0" fillId="2" borderId="0" xfId="0" applyFill="1"/>
    <xf numFmtId="4" fontId="0" fillId="0" borderId="1" xfId="0" applyNumberFormat="1" applyBorder="1"/>
    <xf numFmtId="4" fontId="0" fillId="2" borderId="2" xfId="0" applyNumberFormat="1" applyFill="1" applyBorder="1"/>
    <xf numFmtId="2" fontId="0" fillId="3" borderId="1" xfId="0" applyNumberFormat="1" applyFill="1" applyBorder="1"/>
    <xf numFmtId="0" fontId="0" fillId="0" borderId="21" xfId="0" applyBorder="1"/>
    <xf numFmtId="0" fontId="0" fillId="0" borderId="6" xfId="0" applyBorder="1" applyAlignment="1">
      <alignment horizontal="center"/>
    </xf>
    <xf numFmtId="165" fontId="0" fillId="2" borderId="20" xfId="0" applyNumberFormat="1" applyFill="1" applyBorder="1"/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2" xfId="0" applyBorder="1"/>
    <xf numFmtId="165" fontId="0" fillId="0" borderId="24" xfId="0" applyNumberForma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165" fontId="0" fillId="0" borderId="34" xfId="0" applyNumberFormat="1" applyBorder="1"/>
    <xf numFmtId="0" fontId="0" fillId="4" borderId="29" xfId="0" applyFill="1" applyBorder="1"/>
    <xf numFmtId="0" fontId="0" fillId="4" borderId="26" xfId="0" applyFill="1" applyBorder="1"/>
    <xf numFmtId="165" fontId="0" fillId="4" borderId="30" xfId="0" applyNumberFormat="1" applyFill="1" applyBorder="1"/>
    <xf numFmtId="0" fontId="0" fillId="0" borderId="0" xfId="0" quotePrefix="1"/>
    <xf numFmtId="165" fontId="0" fillId="0" borderId="28" xfId="0" applyNumberFormat="1" applyBorder="1"/>
    <xf numFmtId="165" fontId="0" fillId="0" borderId="26" xfId="0" applyNumberFormat="1" applyBorder="1"/>
    <xf numFmtId="165" fontId="0" fillId="0" borderId="25" xfId="0" applyNumberFormat="1" applyBorder="1"/>
    <xf numFmtId="0" fontId="0" fillId="0" borderId="25" xfId="0" applyBorder="1"/>
    <xf numFmtId="165" fontId="0" fillId="4" borderId="26" xfId="0" applyNumberFormat="1" applyFill="1" applyBorder="1"/>
    <xf numFmtId="165" fontId="4" fillId="0" borderId="25" xfId="0" applyNumberFormat="1" applyFont="1" applyBorder="1"/>
    <xf numFmtId="0" fontId="0" fillId="0" borderId="35" xfId="0" applyBorder="1"/>
    <xf numFmtId="0" fontId="0" fillId="0" borderId="36" xfId="0" applyBorder="1"/>
    <xf numFmtId="165" fontId="0" fillId="0" borderId="37" xfId="0" applyNumberFormat="1" applyBorder="1"/>
    <xf numFmtId="165" fontId="0" fillId="0" borderId="38" xfId="0" applyNumberFormat="1" applyBorder="1"/>
    <xf numFmtId="0" fontId="0" fillId="0" borderId="39" xfId="0" applyBorder="1"/>
    <xf numFmtId="0" fontId="0" fillId="0" borderId="40" xfId="0" applyBorder="1"/>
    <xf numFmtId="165" fontId="0" fillId="0" borderId="41" xfId="0" applyNumberFormat="1" applyBorder="1"/>
    <xf numFmtId="0" fontId="0" fillId="5" borderId="31" xfId="0" applyFill="1" applyBorder="1"/>
    <xf numFmtId="0" fontId="0" fillId="5" borderId="0" xfId="0" applyFill="1"/>
    <xf numFmtId="165" fontId="0" fillId="5" borderId="38" xfId="0" applyNumberFormat="1" applyFill="1" applyBorder="1"/>
    <xf numFmtId="0" fontId="0" fillId="2" borderId="31" xfId="0" applyFill="1" applyBorder="1"/>
    <xf numFmtId="165" fontId="0" fillId="2" borderId="38" xfId="0" applyNumberFormat="1" applyFill="1" applyBorder="1"/>
    <xf numFmtId="0" fontId="0" fillId="6" borderId="31" xfId="0" applyFill="1" applyBorder="1"/>
    <xf numFmtId="0" fontId="0" fillId="6" borderId="0" xfId="0" applyFill="1"/>
    <xf numFmtId="165" fontId="0" fillId="6" borderId="38" xfId="0" applyNumberFormat="1" applyFill="1" applyBorder="1"/>
    <xf numFmtId="4" fontId="0" fillId="0" borderId="0" xfId="0" applyNumberFormat="1"/>
    <xf numFmtId="22" fontId="0" fillId="0" borderId="0" xfId="0" applyNumberFormat="1"/>
    <xf numFmtId="166" fontId="0" fillId="2" borderId="0" xfId="3" applyNumberFormat="1" applyFont="1" applyFill="1" applyBorder="1"/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45" xfId="0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10" fontId="0" fillId="0" borderId="4" xfId="2" applyNumberFormat="1" applyFont="1" applyBorder="1" applyAlignment="1">
      <alignment horizontal="right"/>
    </xf>
    <xf numFmtId="0" fontId="2" fillId="5" borderId="42" xfId="0" applyFont="1" applyFill="1" applyBorder="1" applyAlignment="1">
      <alignment horizontal="center"/>
    </xf>
    <xf numFmtId="0" fontId="2" fillId="5" borderId="43" xfId="0" applyFont="1" applyFill="1" applyBorder="1" applyAlignment="1">
      <alignment horizontal="center"/>
    </xf>
    <xf numFmtId="0" fontId="2" fillId="5" borderId="44" xfId="0" applyFont="1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2" fontId="0" fillId="3" borderId="23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0" xfId="0" applyFont="1" applyAlignment="1">
      <alignment horizontal="center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2839-4D31-473C-ADA2-F13514046F37}">
  <dimension ref="A2:X72"/>
  <sheetViews>
    <sheetView tabSelected="1" topLeftCell="A8" workbookViewId="0">
      <selection activeCell="C38" sqref="C38"/>
    </sheetView>
  </sheetViews>
  <sheetFormatPr defaultColWidth="11.42578125" defaultRowHeight="15"/>
  <cols>
    <col min="4" max="4" width="11.5703125" customWidth="1"/>
    <col min="5" max="6" width="13.7109375" customWidth="1"/>
    <col min="7" max="7" width="11.28515625" bestFit="1" customWidth="1"/>
    <col min="8" max="8" width="13.7109375" customWidth="1"/>
    <col min="9" max="9" width="13" customWidth="1"/>
    <col min="10" max="10" width="14.42578125" bestFit="1" customWidth="1"/>
    <col min="11" max="11" width="12.7109375" customWidth="1"/>
    <col min="12" max="12" width="13.42578125" customWidth="1"/>
    <col min="13" max="13" width="13.28515625" customWidth="1"/>
    <col min="14" max="14" width="14" customWidth="1"/>
    <col min="15" max="16" width="13.42578125" customWidth="1"/>
    <col min="17" max="17" width="12.7109375" customWidth="1"/>
    <col min="18" max="18" width="13.42578125" customWidth="1"/>
    <col min="19" max="19" width="13.28515625" customWidth="1"/>
    <col min="20" max="20" width="13.42578125" customWidth="1"/>
    <col min="21" max="21" width="11.7109375" customWidth="1"/>
    <col min="22" max="23" width="13.42578125" customWidth="1"/>
    <col min="24" max="24" width="13.7109375" customWidth="1"/>
    <col min="25" max="25" width="13.42578125" customWidth="1"/>
    <col min="26" max="26" width="13.7109375" customWidth="1"/>
    <col min="27" max="27" width="13.42578125" customWidth="1"/>
  </cols>
  <sheetData>
    <row r="2" spans="1:8">
      <c r="A2" s="103" t="s">
        <v>0</v>
      </c>
      <c r="B2" s="104"/>
      <c r="C2" s="104"/>
      <c r="D2" s="104"/>
      <c r="E2" s="104"/>
      <c r="F2" s="105"/>
    </row>
    <row r="3" spans="1:8">
      <c r="A3" s="33" t="s">
        <v>1</v>
      </c>
      <c r="B3" s="92"/>
      <c r="C3" s="92"/>
      <c r="D3" s="93" t="s">
        <v>2</v>
      </c>
      <c r="E3" s="93" t="s">
        <v>3</v>
      </c>
      <c r="F3" s="36" t="s">
        <v>4</v>
      </c>
    </row>
    <row r="4" spans="1:8">
      <c r="A4" s="106" t="s">
        <v>5</v>
      </c>
      <c r="B4" s="107"/>
      <c r="C4" s="45"/>
      <c r="D4" s="9">
        <v>55000</v>
      </c>
      <c r="E4" s="10">
        <v>25</v>
      </c>
      <c r="F4" s="11">
        <f>D4*E4</f>
        <v>1375000</v>
      </c>
      <c r="G4" s="4"/>
      <c r="H4" s="4"/>
    </row>
    <row r="5" spans="1:8">
      <c r="A5" s="98"/>
      <c r="B5" s="99"/>
      <c r="C5" s="99"/>
      <c r="D5" s="9"/>
      <c r="E5" s="10"/>
      <c r="F5" s="11">
        <f t="shared" ref="F5:F6" si="0">D5*E5</f>
        <v>0</v>
      </c>
    </row>
    <row r="6" spans="1:8">
      <c r="A6" s="98" t="s">
        <v>6</v>
      </c>
      <c r="B6" s="99"/>
      <c r="C6" s="99"/>
      <c r="D6" s="9">
        <f>D4</f>
        <v>55000</v>
      </c>
      <c r="E6" s="10"/>
      <c r="F6" s="11">
        <f t="shared" si="0"/>
        <v>0</v>
      </c>
    </row>
    <row r="7" spans="1:8">
      <c r="A7" s="100" t="s">
        <v>7</v>
      </c>
      <c r="B7" s="101"/>
      <c r="C7" s="101"/>
      <c r="D7" s="102">
        <v>1.2500000000000001E-2</v>
      </c>
      <c r="E7" s="102"/>
      <c r="F7" s="11">
        <f>(SUM(F4:F6))*-D7</f>
        <v>-17187.5</v>
      </c>
    </row>
    <row r="8" spans="1:8">
      <c r="A8" s="106"/>
      <c r="B8" s="107"/>
      <c r="C8" s="107"/>
      <c r="D8" s="9"/>
      <c r="E8" s="10"/>
      <c r="F8" s="11">
        <f>D8*E8</f>
        <v>0</v>
      </c>
    </row>
    <row r="9" spans="1:8">
      <c r="A9" s="98"/>
      <c r="B9" s="99"/>
      <c r="C9" s="99"/>
      <c r="D9" s="9"/>
      <c r="E9" s="10"/>
      <c r="F9" s="11">
        <f t="shared" ref="F9:F10" si="1">D9*E9</f>
        <v>0</v>
      </c>
    </row>
    <row r="10" spans="1:8">
      <c r="A10" s="98"/>
      <c r="B10" s="99"/>
      <c r="C10" s="99"/>
      <c r="D10" s="9"/>
      <c r="E10" s="10"/>
      <c r="F10" s="11">
        <f t="shared" si="1"/>
        <v>0</v>
      </c>
    </row>
    <row r="11" spans="1:8">
      <c r="A11" s="100" t="s">
        <v>7</v>
      </c>
      <c r="B11" s="101"/>
      <c r="C11" s="101"/>
      <c r="D11" s="102"/>
      <c r="E11" s="102"/>
      <c r="F11" s="11">
        <f>(SUM(F8:F10))*-D11</f>
        <v>0</v>
      </c>
    </row>
    <row r="12" spans="1:8">
      <c r="A12" s="106"/>
      <c r="B12" s="107"/>
      <c r="C12" s="107"/>
      <c r="D12" s="9"/>
      <c r="E12" s="10"/>
      <c r="F12" s="11">
        <f>D12*E12</f>
        <v>0</v>
      </c>
    </row>
    <row r="13" spans="1:8">
      <c r="A13" s="100" t="s">
        <v>7</v>
      </c>
      <c r="B13" s="101"/>
      <c r="C13" s="101"/>
      <c r="D13" s="102">
        <v>1.2500000000000001E-2</v>
      </c>
      <c r="E13" s="102"/>
      <c r="F13" s="11">
        <f>F12*-D13</f>
        <v>0</v>
      </c>
    </row>
    <row r="14" spans="1:8">
      <c r="A14" s="106"/>
      <c r="B14" s="107"/>
      <c r="C14" s="107"/>
      <c r="D14" s="9"/>
      <c r="E14" s="10"/>
      <c r="F14" s="11">
        <f>D14*E14</f>
        <v>0</v>
      </c>
    </row>
    <row r="15" spans="1:8">
      <c r="A15" s="100" t="s">
        <v>7</v>
      </c>
      <c r="B15" s="101"/>
      <c r="C15" s="101"/>
      <c r="D15" s="102">
        <v>1.2500000000000001E-2</v>
      </c>
      <c r="E15" s="102"/>
      <c r="F15" s="11">
        <f>F14*-D15</f>
        <v>0</v>
      </c>
    </row>
    <row r="16" spans="1:8">
      <c r="A16" s="12" t="s">
        <v>8</v>
      </c>
      <c r="B16" s="5"/>
      <c r="C16" s="5"/>
      <c r="D16" s="5"/>
      <c r="E16" s="5"/>
      <c r="F16" s="13">
        <f>F4+F5+F6+F8+F9+F10+F12+F14</f>
        <v>1375000</v>
      </c>
    </row>
    <row r="17" spans="1:9">
      <c r="A17" s="12" t="s">
        <v>9</v>
      </c>
      <c r="B17" s="5"/>
      <c r="C17" s="5"/>
      <c r="D17" s="5"/>
      <c r="E17" s="5"/>
      <c r="F17" s="13">
        <f>F7+F11+F13+F15</f>
        <v>-17187.5</v>
      </c>
    </row>
    <row r="18" spans="1:9">
      <c r="A18" s="14" t="s">
        <v>10</v>
      </c>
      <c r="B18" s="15"/>
      <c r="C18" s="15"/>
      <c r="D18" s="15"/>
      <c r="E18" s="15"/>
      <c r="F18" s="16">
        <f>F16+F17</f>
        <v>1357812.5</v>
      </c>
    </row>
    <row r="19" spans="1:9">
      <c r="F19" s="4"/>
    </row>
    <row r="20" spans="1:9">
      <c r="A20" s="103" t="s">
        <v>11</v>
      </c>
      <c r="B20" s="104"/>
      <c r="C20" s="104"/>
      <c r="D20" s="104"/>
      <c r="E20" s="104"/>
      <c r="F20" s="104"/>
      <c r="G20" s="104"/>
      <c r="H20" s="104"/>
      <c r="I20" s="105"/>
    </row>
    <row r="21" spans="1:9">
      <c r="A21" s="19" t="s">
        <v>12</v>
      </c>
      <c r="B21" s="92"/>
      <c r="C21" s="92" t="s">
        <v>13</v>
      </c>
      <c r="D21" s="92" t="s">
        <v>14</v>
      </c>
      <c r="E21" s="94" t="s">
        <v>15</v>
      </c>
      <c r="F21" s="94" t="s">
        <v>16</v>
      </c>
      <c r="G21" s="92" t="s">
        <v>17</v>
      </c>
      <c r="H21" s="92" t="s">
        <v>18</v>
      </c>
      <c r="I21" s="36" t="s">
        <v>19</v>
      </c>
    </row>
    <row r="22" spans="1:9">
      <c r="A22" s="106"/>
      <c r="B22" s="107"/>
      <c r="C22" s="97"/>
      <c r="E22" s="97"/>
      <c r="F22" s="97"/>
      <c r="I22" s="36"/>
    </row>
    <row r="23" spans="1:9">
      <c r="A23" s="106"/>
      <c r="B23" s="107"/>
      <c r="C23" s="44"/>
      <c r="D23" s="28"/>
      <c r="E23" s="47"/>
      <c r="F23" s="43"/>
      <c r="G23" s="28"/>
      <c r="H23" s="46"/>
      <c r="I23" s="51"/>
    </row>
    <row r="24" spans="1:9">
      <c r="A24" s="106" t="s">
        <v>20</v>
      </c>
      <c r="B24" s="107"/>
      <c r="C24" s="44"/>
      <c r="D24" s="28"/>
      <c r="E24" s="47"/>
      <c r="F24" s="43"/>
      <c r="G24" s="28"/>
      <c r="H24" s="24"/>
      <c r="I24" s="51"/>
    </row>
    <row r="25" spans="1:9">
      <c r="A25" s="106" t="s">
        <v>21</v>
      </c>
      <c r="B25" s="107"/>
      <c r="C25" s="44">
        <v>6000</v>
      </c>
      <c r="D25" s="28" t="s">
        <v>22</v>
      </c>
      <c r="E25" s="47">
        <v>4660</v>
      </c>
      <c r="F25" s="43">
        <f>E25/$B$50/24</f>
        <v>14.598997493734338</v>
      </c>
      <c r="G25" s="28">
        <f>1+2</f>
        <v>3</v>
      </c>
      <c r="H25" s="25">
        <f>$D$6/C25</f>
        <v>9.1666666666666661</v>
      </c>
      <c r="I25" s="51">
        <v>90000</v>
      </c>
    </row>
    <row r="26" spans="1:9">
      <c r="A26" s="106" t="s">
        <v>23</v>
      </c>
      <c r="B26" s="107"/>
      <c r="C26" s="44">
        <v>7500</v>
      </c>
      <c r="D26" s="28" t="s">
        <v>24</v>
      </c>
      <c r="E26" s="47">
        <v>4433</v>
      </c>
      <c r="F26" s="43">
        <f>E26/$B$50/24</f>
        <v>13.887844611528822</v>
      </c>
      <c r="G26" s="28">
        <v>1</v>
      </c>
      <c r="H26" s="25">
        <f>$D$6/C26</f>
        <v>7.333333333333333</v>
      </c>
      <c r="I26" s="51">
        <v>60000</v>
      </c>
    </row>
    <row r="27" spans="1:9">
      <c r="A27" s="98"/>
      <c r="B27" s="99"/>
      <c r="C27" s="44"/>
      <c r="D27" s="28"/>
      <c r="E27" s="47"/>
      <c r="F27" s="43"/>
      <c r="G27" s="28"/>
      <c r="H27" s="25"/>
      <c r="I27" s="51"/>
    </row>
    <row r="28" spans="1:9">
      <c r="A28" s="106"/>
      <c r="B28" s="107"/>
      <c r="C28" s="44"/>
      <c r="D28" s="28"/>
      <c r="E28" s="47"/>
      <c r="F28" s="43"/>
      <c r="G28" s="28"/>
      <c r="H28" s="25"/>
      <c r="I28" s="51"/>
    </row>
    <row r="29" spans="1:9">
      <c r="A29" s="106"/>
      <c r="B29" s="107"/>
      <c r="C29" s="44"/>
      <c r="D29" s="28"/>
      <c r="E29" s="9"/>
      <c r="F29" s="43"/>
      <c r="G29" s="28"/>
      <c r="H29" s="24"/>
      <c r="I29" s="51"/>
    </row>
    <row r="30" spans="1:9">
      <c r="A30" s="106"/>
      <c r="B30" s="107"/>
      <c r="C30" s="9"/>
      <c r="D30" s="45"/>
      <c r="E30" s="9"/>
      <c r="F30" s="43"/>
      <c r="G30" s="28"/>
      <c r="H30" s="24"/>
      <c r="I30" s="51"/>
    </row>
    <row r="31" spans="1:9">
      <c r="A31" s="52"/>
      <c r="B31" s="53"/>
      <c r="C31" s="53"/>
      <c r="D31" s="53"/>
      <c r="E31" s="53"/>
      <c r="F31" s="49"/>
      <c r="G31" s="49"/>
      <c r="H31" s="49"/>
      <c r="I31" s="54"/>
    </row>
    <row r="32" spans="1:9">
      <c r="A32" s="108" t="s">
        <v>25</v>
      </c>
      <c r="B32" s="109"/>
      <c r="C32" s="109"/>
      <c r="D32" s="5"/>
      <c r="E32" s="5"/>
      <c r="F32" s="48">
        <f>SUM(F23:F30)</f>
        <v>28.486842105263158</v>
      </c>
      <c r="G32" s="48">
        <f>SUM(G23:G30)</f>
        <v>4</v>
      </c>
      <c r="H32" s="48">
        <f>SUM(H23:H30)</f>
        <v>16.5</v>
      </c>
      <c r="I32" s="38"/>
    </row>
    <row r="33" spans="1:24">
      <c r="A33" s="14" t="s">
        <v>6</v>
      </c>
      <c r="B33" s="15"/>
      <c r="C33" s="15"/>
      <c r="D33" s="15"/>
      <c r="E33" s="15"/>
      <c r="F33" s="110">
        <f>F32+H32+G32</f>
        <v>48.986842105263158</v>
      </c>
      <c r="G33" s="110"/>
      <c r="H33" s="110"/>
      <c r="I33" s="55">
        <f>SUM(I23:I32)</f>
        <v>150000</v>
      </c>
    </row>
    <row r="35" spans="1:24">
      <c r="A35" s="103" t="s">
        <v>26</v>
      </c>
      <c r="B35" s="104"/>
      <c r="C35" s="104"/>
      <c r="D35" s="104"/>
      <c r="E35" s="104"/>
      <c r="F35" s="105"/>
    </row>
    <row r="36" spans="1:24">
      <c r="A36" s="19"/>
      <c r="B36" s="92"/>
      <c r="C36" s="93" t="s">
        <v>27</v>
      </c>
      <c r="D36" s="92" t="s">
        <v>28</v>
      </c>
      <c r="E36" s="92" t="s">
        <v>29</v>
      </c>
      <c r="F36" s="36" t="s">
        <v>30</v>
      </c>
    </row>
    <row r="37" spans="1:24" ht="14.45" customHeight="1">
      <c r="A37" s="19" t="s">
        <v>31</v>
      </c>
      <c r="C37" s="91">
        <v>12000</v>
      </c>
      <c r="D37" s="18">
        <v>3.7499999999999999E-2</v>
      </c>
      <c r="E37" s="17">
        <f>C37*(1-D37)</f>
        <v>11550</v>
      </c>
      <c r="F37" s="20">
        <f>E37*F33</f>
        <v>565798.02631578944</v>
      </c>
    </row>
    <row r="38" spans="1:24" ht="14.45" customHeight="1">
      <c r="A38" s="33" t="s">
        <v>32</v>
      </c>
      <c r="F38" s="23">
        <v>5000</v>
      </c>
    </row>
    <row r="39" spans="1:24" ht="14.45" customHeight="1">
      <c r="A39" s="33" t="s">
        <v>33</v>
      </c>
      <c r="F39" s="23">
        <v>7000</v>
      </c>
    </row>
    <row r="40" spans="1:24" ht="14.45" customHeight="1">
      <c r="A40" s="21" t="s">
        <v>34</v>
      </c>
      <c r="B40" s="22"/>
      <c r="C40" s="22"/>
      <c r="D40" s="22"/>
      <c r="E40" s="22"/>
      <c r="F40" s="35">
        <f>SUM(F37:F39)</f>
        <v>577798.02631578944</v>
      </c>
    </row>
    <row r="42" spans="1:24">
      <c r="A42" s="103" t="s">
        <v>35</v>
      </c>
      <c r="B42" s="104"/>
      <c r="C42" s="104"/>
      <c r="D42" s="104"/>
      <c r="E42" s="104"/>
      <c r="F42" s="104"/>
      <c r="G42" s="104"/>
      <c r="H42" s="105"/>
    </row>
    <row r="43" spans="1:24">
      <c r="A43" s="19"/>
      <c r="B43" s="92"/>
      <c r="C43" s="92"/>
      <c r="D43" s="95" t="s">
        <v>36</v>
      </c>
      <c r="E43" s="95"/>
      <c r="F43" s="95"/>
      <c r="G43" s="92"/>
      <c r="H43" s="36"/>
    </row>
    <row r="44" spans="1:24">
      <c r="A44" s="19" t="s">
        <v>37</v>
      </c>
      <c r="D44" s="34" t="s">
        <v>38</v>
      </c>
      <c r="E44" s="34" t="s">
        <v>39</v>
      </c>
      <c r="F44" s="34" t="s">
        <v>40</v>
      </c>
      <c r="H44" s="36"/>
    </row>
    <row r="45" spans="1:24">
      <c r="A45" s="37" t="s">
        <v>41</v>
      </c>
      <c r="B45" s="26">
        <v>697</v>
      </c>
      <c r="C45" s="24" t="s">
        <v>42</v>
      </c>
      <c r="D45" s="27">
        <v>43</v>
      </c>
      <c r="E45" s="27">
        <v>5.17</v>
      </c>
      <c r="F45" s="27">
        <v>5.17</v>
      </c>
      <c r="H45" s="36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</row>
    <row r="46" spans="1:24" ht="14.45" customHeight="1">
      <c r="A46" s="37" t="s">
        <v>43</v>
      </c>
      <c r="B46" s="26">
        <v>720</v>
      </c>
      <c r="C46" s="24" t="s">
        <v>42</v>
      </c>
      <c r="D46" s="27">
        <v>0.2</v>
      </c>
      <c r="E46" s="27">
        <v>0.2</v>
      </c>
      <c r="F46" s="27">
        <v>0.2</v>
      </c>
      <c r="H46" s="36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</row>
    <row r="47" spans="1:24" ht="14.45" customHeight="1">
      <c r="A47" s="19"/>
      <c r="H47" s="36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</row>
    <row r="48" spans="1:24" ht="14.45" customHeight="1">
      <c r="A48" s="37" t="s">
        <v>44</v>
      </c>
      <c r="B48" s="28">
        <v>14</v>
      </c>
      <c r="C48" s="24" t="s">
        <v>45</v>
      </c>
      <c r="D48" s="24" t="s">
        <v>46</v>
      </c>
      <c r="E48" s="24" t="s">
        <v>47</v>
      </c>
      <c r="F48" s="24" t="s">
        <v>48</v>
      </c>
      <c r="G48" s="24" t="s">
        <v>49</v>
      </c>
      <c r="H48" s="38" t="s">
        <v>50</v>
      </c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</row>
    <row r="49" spans="1:24" ht="14.45" customHeight="1">
      <c r="A49" s="37" t="s">
        <v>51</v>
      </c>
      <c r="B49" s="29">
        <v>0.05</v>
      </c>
      <c r="C49" s="24"/>
      <c r="D49" s="30" t="s">
        <v>41</v>
      </c>
      <c r="E49" s="30">
        <f>B45*D45*F32</f>
        <v>853779.14473684214</v>
      </c>
      <c r="F49" s="30">
        <f>B45*E45*H32</f>
        <v>59457.584999999999</v>
      </c>
      <c r="G49" s="30">
        <f>B45*F45*G32</f>
        <v>14413.96</v>
      </c>
      <c r="H49" s="39">
        <f>SUM(E49:G49)</f>
        <v>927650.68973684206</v>
      </c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</row>
    <row r="50" spans="1:24" ht="14.45" customHeight="1">
      <c r="A50" s="40" t="s">
        <v>52</v>
      </c>
      <c r="B50" s="24">
        <f>B48*(1-B49)</f>
        <v>13.299999999999999</v>
      </c>
      <c r="C50" s="24" t="s">
        <v>45</v>
      </c>
      <c r="D50" s="24" t="s">
        <v>43</v>
      </c>
      <c r="E50" s="30">
        <f>B46*D46*F32</f>
        <v>4102.105263157895</v>
      </c>
      <c r="F50" s="30">
        <f>B46*E46*H32</f>
        <v>2376</v>
      </c>
      <c r="G50" s="30">
        <f>B46*F46*G32</f>
        <v>576</v>
      </c>
      <c r="H50" s="39">
        <f>SUM(E50:G50)</f>
        <v>7054.105263157895</v>
      </c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</row>
    <row r="51" spans="1:24" ht="14.45" customHeight="1">
      <c r="A51" s="14" t="s">
        <v>53</v>
      </c>
      <c r="B51" s="15"/>
      <c r="C51" s="15"/>
      <c r="D51" s="15"/>
      <c r="E51" s="15"/>
      <c r="F51" s="15"/>
      <c r="G51" s="15"/>
      <c r="H51" s="41">
        <f>SUM(H49:H50)</f>
        <v>934704.79499999993</v>
      </c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</row>
    <row r="54" spans="1:24">
      <c r="A54" s="96" t="s">
        <v>54</v>
      </c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</row>
    <row r="55" spans="1:24">
      <c r="A55" t="s">
        <v>55</v>
      </c>
      <c r="C55" s="101" t="s">
        <v>6</v>
      </c>
      <c r="D55" s="101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</row>
    <row r="56" spans="1:24">
      <c r="A56" s="96" t="s">
        <v>56</v>
      </c>
      <c r="C56" s="111"/>
      <c r="D56" s="111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</row>
    <row r="57" spans="1:24">
      <c r="A57" t="s">
        <v>33</v>
      </c>
      <c r="C57" s="111">
        <v>10000</v>
      </c>
      <c r="D57" s="111"/>
      <c r="N57" s="1"/>
      <c r="O57" s="2"/>
      <c r="P57" s="3"/>
      <c r="Q57" s="3"/>
      <c r="R57" s="3"/>
      <c r="S57" s="3"/>
      <c r="T57" s="3"/>
      <c r="U57" s="3"/>
      <c r="V57" s="3"/>
      <c r="W57" s="3"/>
      <c r="X57" s="3"/>
    </row>
    <row r="58" spans="1:24">
      <c r="A58" t="s">
        <v>57</v>
      </c>
      <c r="C58" s="111">
        <f>C57+C56</f>
        <v>10000</v>
      </c>
      <c r="D58" s="111"/>
      <c r="N58" s="1"/>
      <c r="O58" s="1"/>
      <c r="P58" s="3"/>
      <c r="Q58" s="3"/>
      <c r="R58" s="3"/>
      <c r="S58" s="3"/>
      <c r="T58" s="3"/>
      <c r="U58" s="3"/>
      <c r="V58" s="3"/>
      <c r="W58" s="3"/>
      <c r="X58" s="3"/>
    </row>
    <row r="59" spans="1:24">
      <c r="C59" s="101"/>
      <c r="D59" s="101"/>
      <c r="J59" s="4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</row>
    <row r="60" spans="1:24">
      <c r="C60" s="101"/>
      <c r="D60" s="101"/>
      <c r="J60" s="4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</row>
    <row r="61" spans="1:24">
      <c r="A61" t="s">
        <v>58</v>
      </c>
      <c r="C61" s="111">
        <f>C58+H51+F40+I33</f>
        <v>1672502.8213157894</v>
      </c>
      <c r="D61" s="111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</row>
    <row r="62" spans="1:24">
      <c r="A62" t="s">
        <v>59</v>
      </c>
      <c r="C62" s="111">
        <f>F18</f>
        <v>1357812.5</v>
      </c>
      <c r="D62" s="111"/>
      <c r="N62" s="2"/>
      <c r="O62" s="2"/>
      <c r="P62" s="3"/>
      <c r="Q62" s="3"/>
      <c r="R62" s="3"/>
      <c r="S62" s="3"/>
      <c r="T62" s="3"/>
      <c r="U62" s="3"/>
      <c r="V62" s="3"/>
      <c r="W62" s="3"/>
      <c r="X62" s="3"/>
    </row>
    <row r="63" spans="1:24">
      <c r="A63" t="s">
        <v>60</v>
      </c>
      <c r="C63" s="111">
        <f>C62-C61</f>
        <v>-314690.32131578936</v>
      </c>
      <c r="D63" s="111"/>
      <c r="N63" s="2"/>
      <c r="O63" s="2"/>
      <c r="P63" s="3"/>
      <c r="Q63" s="3"/>
      <c r="R63" s="3"/>
      <c r="S63" s="3"/>
      <c r="T63" s="3"/>
      <c r="U63" s="3"/>
      <c r="V63" s="3"/>
      <c r="W63" s="3"/>
      <c r="X63" s="3"/>
    </row>
    <row r="64" spans="1:24">
      <c r="N64" s="2"/>
      <c r="O64" s="2"/>
      <c r="P64" s="3"/>
      <c r="Q64" s="3"/>
      <c r="R64" s="3"/>
      <c r="S64" s="3"/>
      <c r="T64" s="3"/>
      <c r="U64" s="3"/>
      <c r="V64" s="3"/>
      <c r="W64" s="3"/>
      <c r="X64" s="3"/>
    </row>
    <row r="65" spans="14:24">
      <c r="N65" s="2"/>
      <c r="O65" s="2"/>
      <c r="P65" s="3"/>
      <c r="Q65" s="3"/>
      <c r="R65" s="3"/>
      <c r="S65" s="3"/>
      <c r="T65" s="3"/>
      <c r="U65" s="3"/>
      <c r="V65" s="3"/>
      <c r="W65" s="3"/>
      <c r="X65" s="3"/>
    </row>
    <row r="66" spans="14:24">
      <c r="N66" s="2"/>
      <c r="O66" s="2"/>
      <c r="P66" s="3"/>
      <c r="Q66" s="3"/>
      <c r="R66" s="3"/>
      <c r="S66" s="3"/>
      <c r="T66" s="3"/>
      <c r="U66" s="3"/>
      <c r="V66" s="3"/>
      <c r="W66" s="3"/>
      <c r="X66" s="3"/>
    </row>
    <row r="67" spans="14:24">
      <c r="N67" s="2"/>
      <c r="O67" s="2"/>
      <c r="P67" s="3"/>
      <c r="Q67" s="3"/>
      <c r="R67" s="3"/>
      <c r="S67" s="3"/>
      <c r="T67" s="3"/>
      <c r="U67" s="3"/>
      <c r="V67" s="3"/>
      <c r="W67" s="3"/>
      <c r="X67" s="3"/>
    </row>
    <row r="68" spans="14:24">
      <c r="N68" s="2"/>
      <c r="O68" s="2"/>
      <c r="P68" s="3"/>
      <c r="Q68" s="3"/>
      <c r="R68" s="3"/>
      <c r="S68" s="3"/>
      <c r="T68" s="3"/>
      <c r="U68" s="3"/>
      <c r="V68" s="3"/>
      <c r="W68" s="3"/>
      <c r="X68" s="3"/>
    </row>
    <row r="69" spans="14:24">
      <c r="P69" s="3"/>
      <c r="Q69" s="3"/>
      <c r="R69" s="3"/>
      <c r="S69" s="3"/>
      <c r="T69" s="3"/>
      <c r="U69" s="3"/>
      <c r="V69" s="3"/>
      <c r="W69" s="3"/>
      <c r="X69" s="3"/>
    </row>
    <row r="70" spans="14:24">
      <c r="P70" s="3"/>
      <c r="Q70" s="3"/>
      <c r="R70" s="3"/>
      <c r="S70" s="3"/>
      <c r="T70" s="3"/>
      <c r="U70" s="3"/>
      <c r="V70" s="3"/>
      <c r="W70" s="3"/>
      <c r="X70" s="3"/>
    </row>
    <row r="71" spans="14:24">
      <c r="P71" s="3"/>
      <c r="Q71" s="3"/>
      <c r="R71" s="3"/>
      <c r="S71" s="3"/>
      <c r="T71" s="3"/>
      <c r="U71" s="3"/>
      <c r="V71" s="3"/>
      <c r="W71" s="3"/>
      <c r="X71" s="3"/>
    </row>
    <row r="72" spans="14:24">
      <c r="P72" s="3"/>
      <c r="Q72" s="3"/>
      <c r="R72" s="3"/>
      <c r="S72" s="3"/>
      <c r="T72" s="3"/>
      <c r="U72" s="3"/>
      <c r="V72" s="3"/>
      <c r="W72" s="3"/>
      <c r="X72" s="3"/>
    </row>
  </sheetData>
  <mergeCells count="35">
    <mergeCell ref="C60:D60"/>
    <mergeCell ref="C61:D61"/>
    <mergeCell ref="C62:D62"/>
    <mergeCell ref="C63:D63"/>
    <mergeCell ref="A42:H42"/>
    <mergeCell ref="C55:D55"/>
    <mergeCell ref="C56:D56"/>
    <mergeCell ref="C57:D57"/>
    <mergeCell ref="C58:D58"/>
    <mergeCell ref="C59:D59"/>
    <mergeCell ref="A35:F35"/>
    <mergeCell ref="A20:I20"/>
    <mergeCell ref="A22:B22"/>
    <mergeCell ref="A23:B23"/>
    <mergeCell ref="A24:B24"/>
    <mergeCell ref="A25:B25"/>
    <mergeCell ref="A26:B26"/>
    <mergeCell ref="A28:B28"/>
    <mergeCell ref="A29:B29"/>
    <mergeCell ref="A30:B30"/>
    <mergeCell ref="A32:C32"/>
    <mergeCell ref="F33:H33"/>
    <mergeCell ref="A12:C12"/>
    <mergeCell ref="A13:C13"/>
    <mergeCell ref="D13:E13"/>
    <mergeCell ref="A14:C14"/>
    <mergeCell ref="A15:C15"/>
    <mergeCell ref="D15:E15"/>
    <mergeCell ref="A11:C11"/>
    <mergeCell ref="D11:E11"/>
    <mergeCell ref="A2:F2"/>
    <mergeCell ref="A4:B4"/>
    <mergeCell ref="A7:C7"/>
    <mergeCell ref="D7:E7"/>
    <mergeCell ref="A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0"/>
  <sheetViews>
    <sheetView workbookViewId="0">
      <selection activeCell="C4" sqref="C4"/>
    </sheetView>
  </sheetViews>
  <sheetFormatPr defaultColWidth="11.42578125" defaultRowHeight="14.45"/>
  <cols>
    <col min="4" max="4" width="11.5703125" customWidth="1"/>
    <col min="5" max="6" width="13.7109375" customWidth="1"/>
    <col min="8" max="8" width="13.7109375" customWidth="1"/>
    <col min="9" max="9" width="13" customWidth="1"/>
    <col min="10" max="10" width="14.42578125" bestFit="1" customWidth="1"/>
    <col min="11" max="11" width="12.7109375" customWidth="1"/>
    <col min="12" max="12" width="13.42578125" customWidth="1"/>
    <col min="13" max="13" width="13.28515625" customWidth="1"/>
    <col min="14" max="14" width="14" customWidth="1"/>
    <col min="15" max="16" width="13.42578125" customWidth="1"/>
    <col min="17" max="17" width="12.7109375" customWidth="1"/>
    <col min="18" max="18" width="13.42578125" customWidth="1"/>
    <col min="19" max="19" width="13.28515625" customWidth="1"/>
    <col min="20" max="20" width="13.42578125" customWidth="1"/>
    <col min="21" max="21" width="11.7109375" customWidth="1"/>
    <col min="22" max="23" width="13.42578125" customWidth="1"/>
    <col min="24" max="24" width="13.7109375" customWidth="1"/>
    <col min="25" max="25" width="13.42578125" customWidth="1"/>
    <col min="26" max="26" width="13.7109375" customWidth="1"/>
    <col min="27" max="27" width="13.42578125" customWidth="1"/>
  </cols>
  <sheetData>
    <row r="1" spans="1:8" ht="15"/>
    <row r="2" spans="1:8" ht="15">
      <c r="A2" s="103" t="s">
        <v>0</v>
      </c>
      <c r="B2" s="104"/>
      <c r="C2" s="104"/>
      <c r="D2" s="104"/>
      <c r="E2" s="104"/>
      <c r="F2" s="105"/>
    </row>
    <row r="3" spans="1:8" ht="15">
      <c r="A3" s="33" t="s">
        <v>1</v>
      </c>
      <c r="B3" s="92"/>
      <c r="C3" s="92"/>
      <c r="D3" s="93" t="s">
        <v>2</v>
      </c>
      <c r="E3" s="93" t="s">
        <v>3</v>
      </c>
      <c r="F3" s="36" t="s">
        <v>4</v>
      </c>
    </row>
    <row r="4" spans="1:8" ht="15">
      <c r="A4" s="106" t="s">
        <v>61</v>
      </c>
      <c r="B4" s="107"/>
      <c r="C4" s="45"/>
      <c r="D4" s="9">
        <v>98000</v>
      </c>
      <c r="E4" s="10">
        <v>25</v>
      </c>
      <c r="F4" s="11">
        <f>D4*E4</f>
        <v>2450000</v>
      </c>
      <c r="G4" s="4"/>
      <c r="H4" s="4"/>
    </row>
    <row r="5" spans="1:8">
      <c r="A5" s="98"/>
      <c r="B5" s="99"/>
      <c r="C5" s="99"/>
      <c r="D5" s="9"/>
      <c r="E5" s="10"/>
      <c r="F5" s="11">
        <f t="shared" ref="F5:F6" si="0">D5*E5</f>
        <v>0</v>
      </c>
    </row>
    <row r="6" spans="1:8">
      <c r="A6" s="98" t="s">
        <v>6</v>
      </c>
      <c r="B6" s="99"/>
      <c r="C6" s="99"/>
      <c r="D6" s="9">
        <f>D4</f>
        <v>98000</v>
      </c>
      <c r="E6" s="10"/>
      <c r="F6" s="11">
        <f t="shared" si="0"/>
        <v>0</v>
      </c>
    </row>
    <row r="7" spans="1:8">
      <c r="A7" s="100" t="s">
        <v>7</v>
      </c>
      <c r="B7" s="101"/>
      <c r="C7" s="101"/>
      <c r="D7" s="102">
        <v>1.2500000000000001E-2</v>
      </c>
      <c r="E7" s="102"/>
      <c r="F7" s="11">
        <f>(SUM(F4:F6))*-D7</f>
        <v>-30625</v>
      </c>
    </row>
    <row r="8" spans="1:8">
      <c r="A8" s="106"/>
      <c r="B8" s="107"/>
      <c r="C8" s="107"/>
      <c r="D8" s="9"/>
      <c r="E8" s="10"/>
      <c r="F8" s="11">
        <f>D8*E8</f>
        <v>0</v>
      </c>
    </row>
    <row r="9" spans="1:8">
      <c r="A9" s="98"/>
      <c r="B9" s="99"/>
      <c r="C9" s="99"/>
      <c r="D9" s="9"/>
      <c r="E9" s="10"/>
      <c r="F9" s="11">
        <f t="shared" ref="F9:F10" si="1">D9*E9</f>
        <v>0</v>
      </c>
    </row>
    <row r="10" spans="1:8">
      <c r="A10" s="98"/>
      <c r="B10" s="99"/>
      <c r="C10" s="99"/>
      <c r="D10" s="9"/>
      <c r="E10" s="10"/>
      <c r="F10" s="11">
        <f t="shared" si="1"/>
        <v>0</v>
      </c>
    </row>
    <row r="11" spans="1:8">
      <c r="A11" s="100" t="s">
        <v>7</v>
      </c>
      <c r="B11" s="101"/>
      <c r="C11" s="101"/>
      <c r="D11" s="102"/>
      <c r="E11" s="102"/>
      <c r="F11" s="11">
        <f>(SUM(F8:F10))*-D11</f>
        <v>0</v>
      </c>
    </row>
    <row r="12" spans="1:8">
      <c r="A12" s="106"/>
      <c r="B12" s="107"/>
      <c r="C12" s="107"/>
      <c r="D12" s="9"/>
      <c r="E12" s="10"/>
      <c r="F12" s="11">
        <f>D12*E12</f>
        <v>0</v>
      </c>
    </row>
    <row r="13" spans="1:8">
      <c r="A13" s="100" t="s">
        <v>7</v>
      </c>
      <c r="B13" s="101"/>
      <c r="C13" s="101"/>
      <c r="D13" s="102">
        <v>1.2500000000000001E-2</v>
      </c>
      <c r="E13" s="102"/>
      <c r="F13" s="11">
        <f>F12*-D13</f>
        <v>0</v>
      </c>
    </row>
    <row r="14" spans="1:8">
      <c r="A14" s="106"/>
      <c r="B14" s="107"/>
      <c r="C14" s="107"/>
      <c r="D14" s="9"/>
      <c r="E14" s="10"/>
      <c r="F14" s="11">
        <f>D14*E14</f>
        <v>0</v>
      </c>
    </row>
    <row r="15" spans="1:8">
      <c r="A15" s="100" t="s">
        <v>7</v>
      </c>
      <c r="B15" s="101"/>
      <c r="C15" s="101"/>
      <c r="D15" s="102">
        <v>1.2500000000000001E-2</v>
      </c>
      <c r="E15" s="102"/>
      <c r="F15" s="11">
        <f>F14*-D15</f>
        <v>0</v>
      </c>
    </row>
    <row r="16" spans="1:8">
      <c r="A16" s="12" t="s">
        <v>8</v>
      </c>
      <c r="B16" s="5"/>
      <c r="C16" s="5"/>
      <c r="D16" s="5"/>
      <c r="E16" s="5"/>
      <c r="F16" s="13">
        <f>F4+F5+F6+F8+F9+F10+F12+F14</f>
        <v>2450000</v>
      </c>
    </row>
    <row r="17" spans="1:9">
      <c r="A17" s="12" t="s">
        <v>9</v>
      </c>
      <c r="B17" s="5"/>
      <c r="C17" s="5"/>
      <c r="D17" s="5"/>
      <c r="E17" s="5"/>
      <c r="F17" s="13">
        <f>F7+F11+F13+F15</f>
        <v>-30625</v>
      </c>
    </row>
    <row r="18" spans="1:9" ht="15" thickBot="1">
      <c r="A18" s="14" t="s">
        <v>10</v>
      </c>
      <c r="B18" s="15"/>
      <c r="C18" s="15"/>
      <c r="D18" s="15"/>
      <c r="E18" s="15"/>
      <c r="F18" s="16">
        <f>F16+F17</f>
        <v>2419375</v>
      </c>
    </row>
    <row r="19" spans="1:9" ht="15">
      <c r="F19" s="4"/>
    </row>
    <row r="20" spans="1:9" ht="15">
      <c r="A20" s="103" t="s">
        <v>11</v>
      </c>
      <c r="B20" s="104"/>
      <c r="C20" s="104"/>
      <c r="D20" s="104"/>
      <c r="E20" s="104"/>
      <c r="F20" s="104"/>
      <c r="G20" s="104"/>
      <c r="H20" s="104"/>
      <c r="I20" s="105"/>
    </row>
    <row r="21" spans="1:9" ht="15">
      <c r="A21" s="19" t="s">
        <v>12</v>
      </c>
      <c r="B21" s="92"/>
      <c r="C21" s="92" t="s">
        <v>13</v>
      </c>
      <c r="D21" s="92" t="s">
        <v>14</v>
      </c>
      <c r="E21" s="94" t="s">
        <v>15</v>
      </c>
      <c r="F21" s="94" t="s">
        <v>16</v>
      </c>
      <c r="G21" s="92" t="s">
        <v>62</v>
      </c>
      <c r="H21" s="92" t="s">
        <v>18</v>
      </c>
      <c r="I21" s="36" t="s">
        <v>19</v>
      </c>
    </row>
    <row r="22" spans="1:9" ht="15">
      <c r="A22" s="106"/>
      <c r="B22" s="107"/>
      <c r="C22" s="97"/>
      <c r="E22" s="97"/>
      <c r="F22" s="97"/>
      <c r="I22" s="36"/>
    </row>
    <row r="23" spans="1:9" ht="15">
      <c r="A23" s="106"/>
      <c r="B23" s="107"/>
      <c r="C23" s="44"/>
      <c r="D23" s="28"/>
      <c r="E23" s="47"/>
      <c r="F23" s="43"/>
      <c r="G23" s="28"/>
      <c r="H23" s="46"/>
      <c r="I23" s="51"/>
    </row>
    <row r="24" spans="1:9" ht="15">
      <c r="A24" s="106" t="s">
        <v>23</v>
      </c>
      <c r="B24" s="107"/>
      <c r="C24" s="44"/>
      <c r="D24" s="28"/>
      <c r="E24" s="47"/>
      <c r="F24" s="43"/>
      <c r="G24" s="28"/>
      <c r="H24" s="24"/>
      <c r="I24" s="51"/>
    </row>
    <row r="25" spans="1:9" ht="15">
      <c r="A25" s="106" t="s">
        <v>63</v>
      </c>
      <c r="B25" s="107"/>
      <c r="C25" s="44">
        <v>5000</v>
      </c>
      <c r="D25" s="28" t="s">
        <v>24</v>
      </c>
      <c r="E25" s="47">
        <v>250</v>
      </c>
      <c r="F25" s="43">
        <f>E25/$B$50/24</f>
        <v>0.78320802005012535</v>
      </c>
      <c r="G25" s="28">
        <v>1</v>
      </c>
      <c r="H25" s="25">
        <f>$D$6/C25</f>
        <v>19.600000000000001</v>
      </c>
      <c r="I25" s="51">
        <v>150000</v>
      </c>
    </row>
    <row r="26" spans="1:9" ht="15">
      <c r="A26" s="106" t="s">
        <v>64</v>
      </c>
      <c r="B26" s="107"/>
      <c r="C26" s="44">
        <v>15000</v>
      </c>
      <c r="D26" s="28" t="s">
        <v>24</v>
      </c>
      <c r="E26" s="47">
        <v>9468</v>
      </c>
      <c r="F26" s="43">
        <f>E26/$B$50/24</f>
        <v>29.661654135338349</v>
      </c>
      <c r="G26" s="28">
        <v>1</v>
      </c>
      <c r="H26" s="25">
        <f>$D$6/C26</f>
        <v>6.5333333333333332</v>
      </c>
      <c r="I26" s="51">
        <v>150000</v>
      </c>
    </row>
    <row r="27" spans="1:9" ht="15">
      <c r="A27" s="98"/>
      <c r="B27" s="99"/>
      <c r="C27" s="44"/>
      <c r="D27" s="28"/>
      <c r="E27" s="47"/>
      <c r="F27" s="43"/>
      <c r="G27" s="28"/>
      <c r="H27" s="25"/>
      <c r="I27" s="51"/>
    </row>
    <row r="28" spans="1:9" ht="15">
      <c r="A28" s="106"/>
      <c r="B28" s="107"/>
      <c r="C28" s="44"/>
      <c r="D28" s="28"/>
      <c r="E28" s="47"/>
      <c r="F28" s="43"/>
      <c r="G28" s="28"/>
      <c r="H28" s="25"/>
      <c r="I28" s="51"/>
    </row>
    <row r="29" spans="1:9" ht="15">
      <c r="A29" s="106"/>
      <c r="B29" s="107"/>
      <c r="C29" s="44"/>
      <c r="D29" s="28"/>
      <c r="E29" s="9"/>
      <c r="F29" s="43"/>
      <c r="G29" s="28"/>
      <c r="H29" s="24"/>
      <c r="I29" s="51"/>
    </row>
    <row r="30" spans="1:9" ht="15">
      <c r="A30" s="106"/>
      <c r="B30" s="107"/>
      <c r="C30" s="9"/>
      <c r="D30" s="45"/>
      <c r="E30" s="9"/>
      <c r="F30" s="43"/>
      <c r="G30" s="28"/>
      <c r="H30" s="24"/>
      <c r="I30" s="51"/>
    </row>
    <row r="31" spans="1:9" ht="15">
      <c r="A31" s="52"/>
      <c r="B31" s="53"/>
      <c r="C31" s="53"/>
      <c r="D31" s="53"/>
      <c r="E31" s="53"/>
      <c r="F31" s="49"/>
      <c r="G31" s="49"/>
      <c r="H31" s="49"/>
      <c r="I31" s="54"/>
    </row>
    <row r="32" spans="1:9" ht="15">
      <c r="A32" s="108" t="s">
        <v>25</v>
      </c>
      <c r="B32" s="109"/>
      <c r="C32" s="109"/>
      <c r="D32" s="5"/>
      <c r="E32" s="5"/>
      <c r="F32" s="48">
        <f>SUM(F23:F30)</f>
        <v>30.444862155388474</v>
      </c>
      <c r="G32" s="48">
        <f>SUM(G23:G30)</f>
        <v>2</v>
      </c>
      <c r="H32" s="48">
        <f>SUM(H23:H30)</f>
        <v>26.133333333333333</v>
      </c>
      <c r="I32" s="38"/>
    </row>
    <row r="33" spans="1:24" ht="15">
      <c r="A33" s="14" t="s">
        <v>6</v>
      </c>
      <c r="B33" s="15"/>
      <c r="C33" s="15"/>
      <c r="D33" s="15"/>
      <c r="E33" s="15"/>
      <c r="F33" s="110">
        <f>F32+H32+G32</f>
        <v>58.578195488721803</v>
      </c>
      <c r="G33" s="110"/>
      <c r="H33" s="110"/>
      <c r="I33" s="55">
        <f>SUM(I23:I32)</f>
        <v>300000</v>
      </c>
    </row>
    <row r="34" spans="1:24" ht="15"/>
    <row r="35" spans="1:24" ht="15">
      <c r="A35" s="103" t="s">
        <v>26</v>
      </c>
      <c r="B35" s="104"/>
      <c r="C35" s="104"/>
      <c r="D35" s="104"/>
      <c r="E35" s="104"/>
      <c r="F35" s="105"/>
    </row>
    <row r="36" spans="1:24" ht="15">
      <c r="A36" s="19"/>
      <c r="B36" s="92"/>
      <c r="C36" s="93" t="s">
        <v>27</v>
      </c>
      <c r="D36" s="92" t="s">
        <v>28</v>
      </c>
      <c r="E36" s="92" t="s">
        <v>29</v>
      </c>
      <c r="F36" s="36" t="s">
        <v>30</v>
      </c>
    </row>
    <row r="37" spans="1:24" ht="14.45" customHeight="1">
      <c r="A37" s="19" t="s">
        <v>31</v>
      </c>
      <c r="C37" s="91">
        <v>20000</v>
      </c>
      <c r="D37" s="18">
        <v>3.7499999999999999E-2</v>
      </c>
      <c r="E37" s="17">
        <f>C37*(1-D37)</f>
        <v>19250</v>
      </c>
      <c r="F37" s="20">
        <f>E37*F33</f>
        <v>1127630.2631578946</v>
      </c>
    </row>
    <row r="38" spans="1:24" ht="14.45" customHeight="1">
      <c r="A38" s="33" t="s">
        <v>32</v>
      </c>
      <c r="F38" s="23">
        <v>5000</v>
      </c>
    </row>
    <row r="39" spans="1:24" ht="14.45" customHeight="1">
      <c r="A39" s="33" t="s">
        <v>33</v>
      </c>
      <c r="F39" s="23">
        <v>7000</v>
      </c>
    </row>
    <row r="40" spans="1:24" ht="14.45" customHeight="1">
      <c r="A40" s="21" t="s">
        <v>34</v>
      </c>
      <c r="B40" s="22"/>
      <c r="C40" s="22"/>
      <c r="D40" s="22"/>
      <c r="E40" s="22"/>
      <c r="F40" s="35">
        <f>SUM(F37:F39)</f>
        <v>1139630.2631578946</v>
      </c>
    </row>
    <row r="41" spans="1:24" ht="15"/>
    <row r="42" spans="1:24" ht="15">
      <c r="A42" s="103" t="s">
        <v>35</v>
      </c>
      <c r="B42" s="104"/>
      <c r="C42" s="104"/>
      <c r="D42" s="104"/>
      <c r="E42" s="104"/>
      <c r="F42" s="104"/>
      <c r="G42" s="104"/>
      <c r="H42" s="105"/>
    </row>
    <row r="43" spans="1:24" ht="15">
      <c r="A43" s="19"/>
      <c r="B43" s="92"/>
      <c r="C43" s="92"/>
      <c r="D43" s="95" t="s">
        <v>36</v>
      </c>
      <c r="E43" s="95"/>
      <c r="F43" s="95"/>
      <c r="G43" s="92"/>
      <c r="H43" s="36"/>
    </row>
    <row r="44" spans="1:24" ht="15">
      <c r="A44" s="19" t="s">
        <v>37</v>
      </c>
      <c r="D44" s="34" t="s">
        <v>38</v>
      </c>
      <c r="E44" s="34" t="s">
        <v>39</v>
      </c>
      <c r="F44" s="34" t="s">
        <v>40</v>
      </c>
      <c r="H44" s="36"/>
    </row>
    <row r="45" spans="1:24" ht="15">
      <c r="A45" s="37" t="s">
        <v>41</v>
      </c>
      <c r="B45" s="26">
        <v>697</v>
      </c>
      <c r="C45" s="24" t="s">
        <v>42</v>
      </c>
      <c r="D45" s="27">
        <v>43</v>
      </c>
      <c r="E45" s="27">
        <v>5.17</v>
      </c>
      <c r="F45" s="27">
        <v>5.17</v>
      </c>
      <c r="H45" s="36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</row>
    <row r="46" spans="1:24" ht="14.45" customHeight="1">
      <c r="A46" s="37" t="s">
        <v>43</v>
      </c>
      <c r="B46" s="26">
        <v>720</v>
      </c>
      <c r="C46" s="24" t="s">
        <v>42</v>
      </c>
      <c r="D46" s="27">
        <v>0.2</v>
      </c>
      <c r="E46" s="27">
        <v>0.2</v>
      </c>
      <c r="F46" s="27">
        <v>0.2</v>
      </c>
      <c r="H46" s="36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</row>
    <row r="47" spans="1:24" ht="14.45" customHeight="1">
      <c r="A47" s="19"/>
      <c r="H47" s="36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</row>
    <row r="48" spans="1:24" ht="14.45" customHeight="1">
      <c r="A48" s="37" t="s">
        <v>44</v>
      </c>
      <c r="B48" s="28">
        <v>14</v>
      </c>
      <c r="C48" s="24" t="s">
        <v>45</v>
      </c>
      <c r="D48" s="24" t="s">
        <v>46</v>
      </c>
      <c r="E48" s="24" t="s">
        <v>47</v>
      </c>
      <c r="F48" s="24" t="s">
        <v>48</v>
      </c>
      <c r="G48" s="24" t="s">
        <v>49</v>
      </c>
      <c r="H48" s="38" t="s">
        <v>50</v>
      </c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</row>
    <row r="49" spans="1:24" ht="14.45" customHeight="1">
      <c r="A49" s="37" t="s">
        <v>51</v>
      </c>
      <c r="B49" s="29">
        <v>0.05</v>
      </c>
      <c r="C49" s="24"/>
      <c r="D49" s="30" t="s">
        <v>41</v>
      </c>
      <c r="E49" s="30">
        <f>B45*D45*F32</f>
        <v>912462.96365914796</v>
      </c>
      <c r="F49" s="30">
        <f>B45*E45*H32</f>
        <v>94171.205333333332</v>
      </c>
      <c r="G49" s="30">
        <f>B45*F45*G32</f>
        <v>7206.98</v>
      </c>
      <c r="H49" s="39">
        <f>SUM(E49:G49)</f>
        <v>1013841.1489924813</v>
      </c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</row>
    <row r="50" spans="1:24" ht="14.45" customHeight="1">
      <c r="A50" s="40" t="s">
        <v>52</v>
      </c>
      <c r="B50" s="24">
        <f>B48*(1-B49)</f>
        <v>13.299999999999999</v>
      </c>
      <c r="C50" s="24" t="s">
        <v>45</v>
      </c>
      <c r="D50" s="24" t="s">
        <v>43</v>
      </c>
      <c r="E50" s="30">
        <f>B46*D46*F32</f>
        <v>4384.0601503759399</v>
      </c>
      <c r="F50" s="30">
        <f>B46*E46*H32</f>
        <v>3763.2</v>
      </c>
      <c r="G50" s="30">
        <f>B46*F46*G32</f>
        <v>288</v>
      </c>
      <c r="H50" s="39">
        <f>SUM(E50:G50)</f>
        <v>8435.2601503759397</v>
      </c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</row>
    <row r="51" spans="1:24" ht="14.45" customHeight="1">
      <c r="A51" s="14" t="s">
        <v>53</v>
      </c>
      <c r="B51" s="15"/>
      <c r="C51" s="15"/>
      <c r="D51" s="15"/>
      <c r="E51" s="15"/>
      <c r="F51" s="15"/>
      <c r="G51" s="15"/>
      <c r="H51" s="41">
        <f>SUM(H49:H50)</f>
        <v>1022276.4091428572</v>
      </c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</row>
    <row r="52" spans="1:24" ht="15"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</row>
    <row r="53" spans="1:24" ht="15"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</row>
    <row r="54" spans="1:24" ht="15">
      <c r="A54" s="96" t="s">
        <v>54</v>
      </c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</row>
    <row r="55" spans="1:24" ht="15">
      <c r="A55" t="s">
        <v>55</v>
      </c>
      <c r="C55" s="101" t="s">
        <v>6</v>
      </c>
      <c r="D55" s="101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</row>
    <row r="56" spans="1:24" ht="15">
      <c r="A56" s="96" t="s">
        <v>65</v>
      </c>
      <c r="C56" s="111">
        <f>-'Iron Ore RV (2)'!C63</f>
        <v>314690.32131578936</v>
      </c>
      <c r="D56" s="111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</row>
    <row r="57" spans="1:24" ht="15">
      <c r="A57" t="s">
        <v>33</v>
      </c>
      <c r="C57" s="111">
        <v>10000</v>
      </c>
      <c r="D57" s="111"/>
      <c r="N57" s="1"/>
      <c r="O57" s="2"/>
      <c r="P57" s="3"/>
      <c r="Q57" s="3"/>
      <c r="R57" s="3"/>
      <c r="S57" s="3"/>
      <c r="T57" s="3"/>
      <c r="U57" s="3"/>
      <c r="V57" s="3"/>
      <c r="W57" s="3"/>
      <c r="X57" s="3"/>
    </row>
    <row r="58" spans="1:24" ht="15">
      <c r="A58" t="s">
        <v>57</v>
      </c>
      <c r="C58" s="111">
        <f>C57+C56</f>
        <v>324690.32131578936</v>
      </c>
      <c r="D58" s="111"/>
      <c r="N58" s="1"/>
      <c r="O58" s="1"/>
      <c r="P58" s="3"/>
      <c r="Q58" s="3"/>
      <c r="R58" s="3"/>
      <c r="S58" s="3"/>
      <c r="T58" s="3"/>
      <c r="U58" s="3"/>
      <c r="V58" s="3"/>
      <c r="W58" s="3"/>
      <c r="X58" s="3"/>
    </row>
    <row r="59" spans="1:24" ht="15">
      <c r="C59" s="101"/>
      <c r="D59" s="101"/>
      <c r="J59" s="4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</row>
    <row r="60" spans="1:24" ht="15">
      <c r="C60" s="101"/>
      <c r="D60" s="101"/>
      <c r="J60" s="4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</row>
    <row r="61" spans="1:24" ht="15">
      <c r="A61" t="s">
        <v>58</v>
      </c>
      <c r="C61" s="111">
        <f>C58+H51+F40+I33</f>
        <v>2786596.9936165409</v>
      </c>
      <c r="D61" s="111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</row>
    <row r="62" spans="1:24" ht="15">
      <c r="A62" t="s">
        <v>59</v>
      </c>
      <c r="C62" s="111">
        <f>F18</f>
        <v>2419375</v>
      </c>
      <c r="D62" s="111"/>
      <c r="N62" s="2"/>
      <c r="O62" s="2"/>
      <c r="P62" s="3"/>
      <c r="Q62" s="3"/>
      <c r="R62" s="3"/>
      <c r="S62" s="3"/>
      <c r="T62" s="3"/>
      <c r="U62" s="3"/>
      <c r="V62" s="3"/>
      <c r="W62" s="3"/>
      <c r="X62" s="3"/>
    </row>
    <row r="63" spans="1:24" ht="15">
      <c r="A63" t="s">
        <v>60</v>
      </c>
      <c r="C63" s="111">
        <f>C62-C61</f>
        <v>-367221.99361654092</v>
      </c>
      <c r="D63" s="111"/>
      <c r="N63" s="2"/>
      <c r="O63" s="2"/>
      <c r="P63" s="3"/>
      <c r="Q63" s="3"/>
      <c r="R63" s="3"/>
      <c r="S63" s="3"/>
      <c r="T63" s="3"/>
      <c r="U63" s="3"/>
      <c r="V63" s="3"/>
      <c r="W63" s="3"/>
      <c r="X63" s="3"/>
    </row>
    <row r="64" spans="1:24" ht="15">
      <c r="N64" s="2"/>
      <c r="O64" s="2"/>
      <c r="P64" s="3"/>
      <c r="Q64" s="3"/>
      <c r="R64" s="3"/>
      <c r="S64" s="3"/>
      <c r="T64" s="3"/>
      <c r="U64" s="3"/>
      <c r="V64" s="3"/>
      <c r="W64" s="3"/>
      <c r="X64" s="3"/>
    </row>
    <row r="65" spans="14:24" ht="15">
      <c r="N65" s="2"/>
      <c r="O65" s="2"/>
      <c r="P65" s="3"/>
      <c r="Q65" s="3"/>
      <c r="R65" s="3"/>
      <c r="S65" s="3"/>
      <c r="T65" s="3"/>
      <c r="U65" s="3"/>
      <c r="V65" s="3"/>
      <c r="W65" s="3"/>
      <c r="X65" s="3"/>
    </row>
    <row r="66" spans="14:24" ht="15">
      <c r="N66" s="2"/>
      <c r="O66" s="2"/>
      <c r="P66" s="3"/>
      <c r="Q66" s="3"/>
      <c r="R66" s="3"/>
      <c r="S66" s="3"/>
      <c r="T66" s="3"/>
      <c r="U66" s="3"/>
      <c r="V66" s="3"/>
      <c r="W66" s="3"/>
      <c r="X66" s="3"/>
    </row>
    <row r="67" spans="14:24" ht="15">
      <c r="N67" s="2"/>
      <c r="O67" s="2"/>
      <c r="P67" s="3"/>
      <c r="Q67" s="3"/>
      <c r="R67" s="3"/>
      <c r="S67" s="3"/>
      <c r="T67" s="3"/>
      <c r="U67" s="3"/>
      <c r="V67" s="3"/>
      <c r="W67" s="3"/>
      <c r="X67" s="3"/>
    </row>
    <row r="68" spans="14:24" ht="15">
      <c r="N68" s="2"/>
      <c r="O68" s="2"/>
      <c r="P68" s="3"/>
      <c r="Q68" s="3"/>
      <c r="R68" s="3"/>
      <c r="S68" s="3"/>
      <c r="T68" s="3"/>
      <c r="U68" s="3"/>
      <c r="V68" s="3"/>
      <c r="W68" s="3"/>
      <c r="X68" s="3"/>
    </row>
    <row r="69" spans="14:24" ht="15">
      <c r="P69" s="3"/>
      <c r="Q69" s="3"/>
      <c r="R69" s="3"/>
      <c r="S69" s="3"/>
      <c r="T69" s="3"/>
      <c r="U69" s="3"/>
      <c r="V69" s="3"/>
      <c r="W69" s="3"/>
      <c r="X69" s="3"/>
    </row>
    <row r="70" spans="14:24" ht="15">
      <c r="P70" s="3"/>
      <c r="Q70" s="3"/>
      <c r="R70" s="3"/>
      <c r="S70" s="3"/>
      <c r="T70" s="3"/>
      <c r="U70" s="3"/>
      <c r="V70" s="3"/>
      <c r="W70" s="3"/>
      <c r="X70" s="3"/>
    </row>
    <row r="71" spans="14:24" ht="15">
      <c r="P71" s="3"/>
      <c r="Q71" s="3"/>
      <c r="R71" s="3"/>
      <c r="S71" s="3"/>
      <c r="T71" s="3"/>
      <c r="U71" s="3"/>
      <c r="V71" s="3"/>
      <c r="W71" s="3"/>
      <c r="X71" s="3"/>
    </row>
    <row r="72" spans="14:24">
      <c r="P72" s="3"/>
      <c r="Q72" s="3"/>
      <c r="R72" s="3"/>
      <c r="S72" s="3"/>
      <c r="T72" s="3"/>
      <c r="U72" s="3"/>
      <c r="V72" s="3"/>
      <c r="W72" s="3"/>
      <c r="X72" s="3"/>
    </row>
    <row r="76" spans="14:24" ht="15"/>
    <row r="82" ht="15"/>
    <row r="90" ht="15"/>
    <row r="98" ht="15"/>
    <row r="106" ht="15"/>
    <row r="115" ht="15"/>
    <row r="124" ht="15"/>
    <row r="132" ht="15"/>
    <row r="140" ht="15"/>
  </sheetData>
  <mergeCells count="35">
    <mergeCell ref="A2:F2"/>
    <mergeCell ref="A11:C11"/>
    <mergeCell ref="D11:E11"/>
    <mergeCell ref="A4:B4"/>
    <mergeCell ref="A7:C7"/>
    <mergeCell ref="D7:E7"/>
    <mergeCell ref="A8:C8"/>
    <mergeCell ref="A30:B30"/>
    <mergeCell ref="A23:B23"/>
    <mergeCell ref="A12:C12"/>
    <mergeCell ref="A13:C13"/>
    <mergeCell ref="D13:E13"/>
    <mergeCell ref="A14:C14"/>
    <mergeCell ref="A15:C15"/>
    <mergeCell ref="D15:E15"/>
    <mergeCell ref="A22:B22"/>
    <mergeCell ref="A20:I20"/>
    <mergeCell ref="A24:B24"/>
    <mergeCell ref="A25:B25"/>
    <mergeCell ref="A26:B26"/>
    <mergeCell ref="A28:B28"/>
    <mergeCell ref="A29:B29"/>
    <mergeCell ref="C57:D57"/>
    <mergeCell ref="C58:D58"/>
    <mergeCell ref="C62:D62"/>
    <mergeCell ref="C63:D63"/>
    <mergeCell ref="A32:C32"/>
    <mergeCell ref="A35:F35"/>
    <mergeCell ref="A42:H42"/>
    <mergeCell ref="C56:D56"/>
    <mergeCell ref="C55:D55"/>
    <mergeCell ref="C59:D59"/>
    <mergeCell ref="C60:D60"/>
    <mergeCell ref="C61:D61"/>
    <mergeCell ref="F33:H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67"/>
  <sheetViews>
    <sheetView topLeftCell="A42" workbookViewId="0">
      <selection activeCell="E4" sqref="E4"/>
    </sheetView>
  </sheetViews>
  <sheetFormatPr defaultColWidth="11.42578125" defaultRowHeight="14.45"/>
  <cols>
    <col min="4" max="4" width="11.5703125" customWidth="1"/>
    <col min="5" max="5" width="13.7109375" customWidth="1"/>
    <col min="6" max="6" width="13.7109375" bestFit="1" customWidth="1"/>
    <col min="8" max="8" width="13.7109375" customWidth="1"/>
    <col min="9" max="9" width="12" customWidth="1"/>
    <col min="11" max="11" width="15.7109375" bestFit="1" customWidth="1"/>
    <col min="15" max="23" width="4.7109375" customWidth="1"/>
  </cols>
  <sheetData>
    <row r="2" spans="1:8" ht="15" thickBot="1">
      <c r="A2" s="112" t="s">
        <v>0</v>
      </c>
      <c r="B2" s="112"/>
      <c r="C2" s="112"/>
    </row>
    <row r="3" spans="1:8">
      <c r="A3" s="31" t="s">
        <v>1</v>
      </c>
      <c r="B3" s="7"/>
      <c r="C3" s="7"/>
      <c r="D3" s="32" t="s">
        <v>2</v>
      </c>
      <c r="E3" s="32" t="s">
        <v>3</v>
      </c>
      <c r="F3" s="8" t="s">
        <v>4</v>
      </c>
    </row>
    <row r="4" spans="1:8">
      <c r="A4" s="106"/>
      <c r="B4" s="107"/>
      <c r="C4" s="45" t="s">
        <v>66</v>
      </c>
      <c r="D4" s="9">
        <v>50000</v>
      </c>
      <c r="E4" s="10">
        <v>9</v>
      </c>
      <c r="F4" s="11">
        <f>D4*E4</f>
        <v>450000</v>
      </c>
    </row>
    <row r="5" spans="1:8">
      <c r="A5" s="98"/>
      <c r="B5" s="99"/>
      <c r="C5" s="99"/>
      <c r="D5" s="9"/>
      <c r="E5" s="10"/>
      <c r="F5" s="11">
        <f t="shared" ref="F5:F6" si="0">D5*E5</f>
        <v>0</v>
      </c>
      <c r="H5" s="4">
        <f>I62</f>
        <v>7106.5131578947767</v>
      </c>
    </row>
    <row r="6" spans="1:8">
      <c r="A6" s="98"/>
      <c r="B6" s="99"/>
      <c r="C6" s="99"/>
      <c r="D6" s="9"/>
      <c r="E6" s="10"/>
      <c r="F6" s="11">
        <f t="shared" si="0"/>
        <v>0</v>
      </c>
    </row>
    <row r="7" spans="1:8">
      <c r="A7" s="100" t="s">
        <v>7</v>
      </c>
      <c r="B7" s="101"/>
      <c r="C7" s="101"/>
      <c r="D7" s="102">
        <v>1.2500000000000001E-2</v>
      </c>
      <c r="E7" s="102"/>
      <c r="F7" s="11">
        <f>(SUM(F4:F6))*-D7</f>
        <v>-5625</v>
      </c>
    </row>
    <row r="8" spans="1:8">
      <c r="A8" s="106"/>
      <c r="B8" s="107"/>
      <c r="C8" s="107"/>
      <c r="D8" s="9">
        <v>50000</v>
      </c>
      <c r="E8" s="10"/>
      <c r="F8" s="11">
        <f>D8*E8</f>
        <v>0</v>
      </c>
    </row>
    <row r="9" spans="1:8">
      <c r="A9" s="98"/>
      <c r="B9" s="99"/>
      <c r="C9" s="99"/>
      <c r="D9" s="9"/>
      <c r="E9" s="10"/>
      <c r="F9" s="11">
        <f t="shared" ref="F9:F10" si="1">D9*E9</f>
        <v>0</v>
      </c>
    </row>
    <row r="10" spans="1:8">
      <c r="A10" s="98"/>
      <c r="B10" s="99"/>
      <c r="C10" s="99"/>
      <c r="D10" s="9"/>
      <c r="E10" s="10"/>
      <c r="F10" s="11">
        <f t="shared" si="1"/>
        <v>0</v>
      </c>
    </row>
    <row r="11" spans="1:8">
      <c r="A11" s="100" t="s">
        <v>7</v>
      </c>
      <c r="B11" s="101"/>
      <c r="C11" s="101"/>
      <c r="D11" s="102">
        <v>1.2500000000000001E-2</v>
      </c>
      <c r="E11" s="102"/>
      <c r="F11" s="11">
        <f>(SUM(F8:F10))*-D11</f>
        <v>0</v>
      </c>
    </row>
    <row r="12" spans="1:8">
      <c r="A12" s="106" t="s">
        <v>67</v>
      </c>
      <c r="B12" s="107"/>
      <c r="C12" s="107"/>
      <c r="D12" s="9">
        <v>49500</v>
      </c>
      <c r="E12" s="10"/>
      <c r="F12" s="11">
        <f>D12*E12</f>
        <v>0</v>
      </c>
    </row>
    <row r="13" spans="1:8">
      <c r="A13" s="100" t="s">
        <v>7</v>
      </c>
      <c r="B13" s="101"/>
      <c r="C13" s="101"/>
      <c r="D13" s="102">
        <v>1.2500000000000001E-2</v>
      </c>
      <c r="E13" s="102"/>
      <c r="F13" s="11">
        <f>F12*-D13</f>
        <v>0</v>
      </c>
    </row>
    <row r="14" spans="1:8">
      <c r="A14" s="106" t="s">
        <v>68</v>
      </c>
      <c r="B14" s="107"/>
      <c r="C14" s="107"/>
      <c r="D14" s="9">
        <v>49500</v>
      </c>
      <c r="E14" s="10"/>
      <c r="F14" s="11">
        <f>D14*E14</f>
        <v>0</v>
      </c>
    </row>
    <row r="15" spans="1:8">
      <c r="A15" s="100" t="s">
        <v>7</v>
      </c>
      <c r="B15" s="101"/>
      <c r="C15" s="101"/>
      <c r="D15" s="102">
        <v>1.2500000000000001E-2</v>
      </c>
      <c r="E15" s="102"/>
      <c r="F15" s="11">
        <f>F14*-D15</f>
        <v>0</v>
      </c>
    </row>
    <row r="16" spans="1:8">
      <c r="A16" s="12" t="s">
        <v>8</v>
      </c>
      <c r="B16" s="5"/>
      <c r="C16" s="5"/>
      <c r="D16" s="5"/>
      <c r="E16" s="5"/>
      <c r="F16" s="13">
        <f>F4+F8+F12+F14</f>
        <v>450000</v>
      </c>
    </row>
    <row r="17" spans="1:24">
      <c r="A17" s="12" t="s">
        <v>9</v>
      </c>
      <c r="B17" s="5"/>
      <c r="C17" s="5"/>
      <c r="D17" s="5"/>
      <c r="E17" s="5"/>
      <c r="F17" s="13">
        <f>F7+F11+F13+F15</f>
        <v>-5625</v>
      </c>
    </row>
    <row r="18" spans="1:24" ht="15" thickBot="1">
      <c r="A18" s="14" t="s">
        <v>10</v>
      </c>
      <c r="B18" s="15"/>
      <c r="C18" s="15"/>
      <c r="D18" s="15"/>
      <c r="E18" s="15"/>
      <c r="F18" s="16">
        <f>F16+F17</f>
        <v>444375</v>
      </c>
    </row>
    <row r="19" spans="1:24">
      <c r="F19" s="4"/>
    </row>
    <row r="20" spans="1:24">
      <c r="F20" s="4"/>
    </row>
    <row r="21" spans="1:24" ht="15" thickBot="1">
      <c r="A21" s="112" t="s">
        <v>26</v>
      </c>
      <c r="B21" s="112"/>
      <c r="C21" s="112"/>
    </row>
    <row r="22" spans="1:24">
      <c r="A22" s="6"/>
      <c r="B22" s="7"/>
      <c r="C22" s="32" t="s">
        <v>27</v>
      </c>
      <c r="D22" s="7" t="s">
        <v>28</v>
      </c>
      <c r="E22" s="7" t="s">
        <v>29</v>
      </c>
      <c r="F22" s="8" t="s">
        <v>30</v>
      </c>
    </row>
    <row r="23" spans="1:24">
      <c r="A23" s="19" t="s">
        <v>31</v>
      </c>
      <c r="C23" s="10">
        <v>20000</v>
      </c>
      <c r="D23" s="18">
        <v>3.7499999999999999E-2</v>
      </c>
      <c r="E23" s="17">
        <f>C23*(1-D23)</f>
        <v>19250</v>
      </c>
      <c r="F23" s="20">
        <f>E23*F54</f>
        <v>283205.77485380112</v>
      </c>
    </row>
    <row r="24" spans="1:24">
      <c r="A24" s="33" t="s">
        <v>32</v>
      </c>
      <c r="F24" s="23"/>
    </row>
    <row r="25" spans="1:24">
      <c r="A25" s="33" t="s">
        <v>33</v>
      </c>
      <c r="F25" s="23">
        <v>7000</v>
      </c>
    </row>
    <row r="26" spans="1:24" ht="15" thickBot="1">
      <c r="A26" s="21" t="s">
        <v>34</v>
      </c>
      <c r="B26" s="22"/>
      <c r="C26" s="22"/>
      <c r="D26" s="22"/>
      <c r="E26" s="22"/>
      <c r="F26" s="35">
        <f>SUM(F23:F25)</f>
        <v>290205.77485380112</v>
      </c>
    </row>
    <row r="27" spans="1:24">
      <c r="F27" s="42"/>
    </row>
    <row r="28" spans="1:24">
      <c r="F28" s="42"/>
    </row>
    <row r="29" spans="1:24" ht="15" thickBot="1">
      <c r="A29" s="112" t="s">
        <v>35</v>
      </c>
      <c r="B29" s="112"/>
      <c r="C29" s="112"/>
    </row>
    <row r="30" spans="1:24">
      <c r="A30" s="6"/>
      <c r="B30" s="7"/>
      <c r="C30" s="7"/>
      <c r="D30" s="113" t="s">
        <v>36</v>
      </c>
      <c r="E30" s="113"/>
      <c r="F30" s="113"/>
      <c r="G30" s="7"/>
      <c r="H30" s="8"/>
      <c r="N30" s="2"/>
      <c r="O30" s="2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 s="19" t="s">
        <v>37</v>
      </c>
      <c r="D31" s="34" t="s">
        <v>38</v>
      </c>
      <c r="E31" s="34" t="s">
        <v>39</v>
      </c>
      <c r="F31" s="34" t="s">
        <v>40</v>
      </c>
      <c r="H31" s="36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7" t="s">
        <v>41</v>
      </c>
      <c r="B32" s="26">
        <f>'Iron Ore RV'!B45</f>
        <v>697</v>
      </c>
      <c r="C32" s="24" t="s">
        <v>42</v>
      </c>
      <c r="D32" s="27">
        <v>25</v>
      </c>
      <c r="E32" s="27">
        <v>5</v>
      </c>
      <c r="F32" s="27">
        <v>1</v>
      </c>
      <c r="H32" s="36"/>
      <c r="N32" s="2"/>
      <c r="O32" s="2"/>
      <c r="P32" s="3"/>
      <c r="Q32" s="3"/>
      <c r="R32" s="3"/>
      <c r="S32" s="3"/>
      <c r="T32" s="3"/>
      <c r="U32" s="3"/>
      <c r="V32" s="3"/>
      <c r="W32" s="3"/>
      <c r="X32" s="3"/>
    </row>
    <row r="33" spans="1:24">
      <c r="A33" s="37" t="s">
        <v>43</v>
      </c>
      <c r="B33" s="26">
        <f>'Iron Ore RV'!B46</f>
        <v>720</v>
      </c>
      <c r="C33" s="24" t="s">
        <v>42</v>
      </c>
      <c r="D33" s="27">
        <v>0.5</v>
      </c>
      <c r="E33" s="27">
        <v>5</v>
      </c>
      <c r="F33" s="27">
        <v>0.5</v>
      </c>
      <c r="H33" s="36"/>
      <c r="N33" s="2"/>
      <c r="O33" s="2"/>
      <c r="P33" s="3"/>
      <c r="Q33" s="3"/>
      <c r="R33" s="3"/>
      <c r="S33" s="3"/>
      <c r="T33" s="3"/>
      <c r="U33" s="3"/>
      <c r="V33" s="3"/>
      <c r="W33" s="3"/>
      <c r="X33" s="3"/>
    </row>
    <row r="34" spans="1:24">
      <c r="A34" s="19"/>
      <c r="H34" s="36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7" t="s">
        <v>44</v>
      </c>
      <c r="B35" s="28">
        <v>12</v>
      </c>
      <c r="C35" s="24" t="s">
        <v>45</v>
      </c>
      <c r="D35" s="24" t="s">
        <v>46</v>
      </c>
      <c r="E35" s="24" t="s">
        <v>47</v>
      </c>
      <c r="F35" s="24" t="s">
        <v>48</v>
      </c>
      <c r="G35" s="24" t="s">
        <v>49</v>
      </c>
      <c r="H35" s="38" t="s">
        <v>50</v>
      </c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7" t="s">
        <v>51</v>
      </c>
      <c r="B36" s="29">
        <v>0.05</v>
      </c>
      <c r="C36" s="24"/>
      <c r="D36" s="30" t="s">
        <v>41</v>
      </c>
      <c r="E36" s="30">
        <f>B32*D32*F53</f>
        <v>25475.146198830411</v>
      </c>
      <c r="F36" s="30">
        <f>B32*E32*H53</f>
        <v>6970</v>
      </c>
      <c r="G36" s="30">
        <f>B32*F32*G53</f>
        <v>7841.25</v>
      </c>
      <c r="H36" s="39">
        <f>SUM(E36:G36)</f>
        <v>40286.396198830407</v>
      </c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40" t="s">
        <v>52</v>
      </c>
      <c r="B37" s="24">
        <f>B35*(1-B36)</f>
        <v>11.399999999999999</v>
      </c>
      <c r="C37" s="24" t="s">
        <v>45</v>
      </c>
      <c r="D37" s="24" t="s">
        <v>43</v>
      </c>
      <c r="E37" s="30">
        <f>B33*D33*F53</f>
        <v>526.31578947368428</v>
      </c>
      <c r="F37" s="30">
        <f>B33*E33*H53</f>
        <v>7200</v>
      </c>
      <c r="G37" s="30">
        <f>B33*F33*G53</f>
        <v>4050</v>
      </c>
      <c r="H37" s="39">
        <f>SUM(E37:G37)</f>
        <v>11776.315789473683</v>
      </c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</row>
    <row r="38" spans="1:24" ht="15" thickBot="1">
      <c r="A38" s="14" t="s">
        <v>53</v>
      </c>
      <c r="B38" s="15"/>
      <c r="C38" s="15"/>
      <c r="D38" s="15"/>
      <c r="E38" s="15"/>
      <c r="F38" s="15"/>
      <c r="G38" s="15"/>
      <c r="H38" s="41">
        <f>SUM(H36:H37)</f>
        <v>52062.711988304087</v>
      </c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</row>
    <row r="39" spans="1:24"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</row>
    <row r="41" spans="1:24" ht="15" thickBot="1">
      <c r="A41" s="114" t="s">
        <v>11</v>
      </c>
      <c r="B41" s="114"/>
      <c r="C41" s="114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6" t="s">
        <v>12</v>
      </c>
      <c r="B42" s="7"/>
      <c r="C42" s="7" t="s">
        <v>13</v>
      </c>
      <c r="D42" s="7" t="s">
        <v>14</v>
      </c>
      <c r="E42" s="50" t="s">
        <v>15</v>
      </c>
      <c r="F42" s="50" t="s">
        <v>16</v>
      </c>
      <c r="G42" s="7" t="s">
        <v>62</v>
      </c>
      <c r="H42" s="7" t="s">
        <v>18</v>
      </c>
      <c r="I42" s="8" t="s">
        <v>19</v>
      </c>
      <c r="N42" s="1"/>
      <c r="O42" s="2"/>
      <c r="P42" s="3"/>
      <c r="Q42" s="3"/>
      <c r="R42" s="3"/>
      <c r="S42" s="3"/>
      <c r="T42" s="3"/>
      <c r="U42" s="3"/>
      <c r="V42" s="3"/>
      <c r="W42" s="3"/>
      <c r="X42" s="3"/>
    </row>
    <row r="43" spans="1:24">
      <c r="A43" s="106"/>
      <c r="B43" s="107"/>
      <c r="C43" s="97"/>
      <c r="E43" s="97"/>
      <c r="F43" s="97"/>
      <c r="I43" s="36"/>
      <c r="N43" s="1"/>
      <c r="O43" s="1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106"/>
      <c r="B44" s="107"/>
      <c r="C44" s="44">
        <v>6000</v>
      </c>
      <c r="D44" s="28" t="s">
        <v>69</v>
      </c>
      <c r="E44" s="47"/>
      <c r="F44" s="43">
        <f>E44/$B$37/24</f>
        <v>0</v>
      </c>
      <c r="G44" s="28"/>
      <c r="H44" s="24"/>
      <c r="I44" s="51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106"/>
      <c r="B45" s="107"/>
      <c r="C45" s="44"/>
      <c r="D45" s="28"/>
      <c r="E45" s="47"/>
      <c r="F45" s="43">
        <f t="shared" ref="F45:F50" si="2">E45/$B$37/24</f>
        <v>0</v>
      </c>
      <c r="G45" s="28"/>
      <c r="H45" s="24"/>
      <c r="I45" s="51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106" t="s">
        <v>63</v>
      </c>
      <c r="B46" s="107"/>
      <c r="C46" s="44"/>
      <c r="D46" s="28">
        <v>10000</v>
      </c>
      <c r="E46" s="47"/>
      <c r="F46" s="43">
        <f t="shared" si="2"/>
        <v>0</v>
      </c>
      <c r="G46" s="28">
        <f>$D$4/D46</f>
        <v>5</v>
      </c>
      <c r="H46" s="24">
        <v>1</v>
      </c>
      <c r="I46" s="51">
        <v>45000</v>
      </c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106" t="s">
        <v>70</v>
      </c>
      <c r="B47" s="107"/>
      <c r="C47" s="44"/>
      <c r="D47" s="28">
        <v>8000</v>
      </c>
      <c r="E47" s="47">
        <v>200</v>
      </c>
      <c r="F47" s="43">
        <f t="shared" si="2"/>
        <v>0.73099415204678364</v>
      </c>
      <c r="G47" s="28">
        <f>$D$4/D47</f>
        <v>6.25</v>
      </c>
      <c r="H47" s="24">
        <v>1</v>
      </c>
      <c r="I47" s="51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98" t="s">
        <v>63</v>
      </c>
      <c r="B48" s="99"/>
      <c r="C48" s="44"/>
      <c r="D48" s="28"/>
      <c r="E48" s="9">
        <v>200</v>
      </c>
      <c r="F48" s="43">
        <f t="shared" si="2"/>
        <v>0.73099415204678364</v>
      </c>
      <c r="G48" s="28"/>
      <c r="H48" s="24"/>
      <c r="I48" s="51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</row>
    <row r="49" spans="1:24">
      <c r="A49" s="106" t="s">
        <v>71</v>
      </c>
      <c r="B49" s="107"/>
      <c r="C49" s="44"/>
      <c r="D49" s="28"/>
      <c r="E49" s="9"/>
      <c r="F49" s="43">
        <f t="shared" si="2"/>
        <v>0</v>
      </c>
      <c r="G49" s="28"/>
      <c r="H49" s="24"/>
      <c r="I49" s="51">
        <f>D4*1</f>
        <v>50000</v>
      </c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</row>
    <row r="50" spans="1:24">
      <c r="A50" s="106"/>
      <c r="B50" s="107"/>
      <c r="C50" s="44"/>
      <c r="D50" s="28"/>
      <c r="E50" s="9"/>
      <c r="F50" s="43">
        <f t="shared" si="2"/>
        <v>0</v>
      </c>
      <c r="G50" s="28"/>
      <c r="H50" s="24"/>
      <c r="I50" s="51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106"/>
      <c r="B51" s="107"/>
      <c r="C51" s="9"/>
      <c r="D51" s="45"/>
      <c r="E51" s="9"/>
      <c r="F51" s="43"/>
      <c r="G51" s="28"/>
      <c r="H51" s="24"/>
      <c r="I51" s="51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52"/>
      <c r="B52" s="53"/>
      <c r="C52" s="53"/>
      <c r="D52" s="53"/>
      <c r="E52" s="53"/>
      <c r="F52" s="49"/>
      <c r="G52" s="49"/>
      <c r="H52" s="49"/>
      <c r="I52" s="54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108" t="s">
        <v>25</v>
      </c>
      <c r="B53" s="109"/>
      <c r="C53" s="109"/>
      <c r="D53" s="5"/>
      <c r="E53" s="5"/>
      <c r="F53" s="48">
        <f>SUM(F44:F51)</f>
        <v>1.4619883040935673</v>
      </c>
      <c r="G53" s="48">
        <f>SUM(G44:G51)</f>
        <v>11.25</v>
      </c>
      <c r="H53" s="48">
        <f>SUM(H44:H51)</f>
        <v>2</v>
      </c>
      <c r="I53" s="38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</row>
    <row r="54" spans="1:24" ht="15" thickBot="1">
      <c r="A54" s="14" t="s">
        <v>6</v>
      </c>
      <c r="B54" s="15"/>
      <c r="C54" s="15"/>
      <c r="D54" s="15"/>
      <c r="E54" s="15"/>
      <c r="F54" s="110">
        <f>F53+H53+G53</f>
        <v>14.711988304093566</v>
      </c>
      <c r="G54" s="110"/>
      <c r="H54" s="110"/>
      <c r="I54" s="55">
        <f>SUM(I44:I53)</f>
        <v>95000</v>
      </c>
      <c r="P54" s="3"/>
      <c r="Q54" s="3"/>
      <c r="R54" s="3"/>
      <c r="S54" s="3"/>
      <c r="T54" s="3"/>
      <c r="U54" s="3"/>
      <c r="V54" s="3"/>
      <c r="W54" s="3"/>
      <c r="X54" s="3"/>
    </row>
    <row r="55" spans="1:24">
      <c r="P55" s="3"/>
      <c r="Q55" s="3"/>
      <c r="R55" s="3"/>
      <c r="S55" s="3"/>
      <c r="T55" s="3"/>
      <c r="U55" s="3"/>
      <c r="V55" s="3"/>
      <c r="W55" s="3"/>
      <c r="X55" s="3"/>
    </row>
    <row r="56" spans="1:24" ht="15" thickBot="1">
      <c r="A56" t="s">
        <v>72</v>
      </c>
      <c r="P56" s="3"/>
      <c r="Q56" s="3"/>
      <c r="R56" s="3"/>
      <c r="S56" s="3"/>
      <c r="T56" s="3"/>
      <c r="U56" s="3"/>
      <c r="V56" s="3"/>
      <c r="W56" s="3"/>
      <c r="X56" s="3"/>
    </row>
    <row r="57" spans="1:24">
      <c r="A57" s="74" t="s">
        <v>31</v>
      </c>
      <c r="B57" s="75"/>
      <c r="C57" s="75"/>
      <c r="D57" s="75"/>
      <c r="E57" s="75"/>
      <c r="F57" s="75"/>
      <c r="G57" s="75"/>
      <c r="H57" s="75"/>
      <c r="I57" s="76">
        <f>F26</f>
        <v>290205.77485380112</v>
      </c>
      <c r="P57" s="3"/>
      <c r="Q57" s="3"/>
      <c r="R57" s="3"/>
      <c r="S57" s="3"/>
      <c r="T57" s="3"/>
      <c r="U57" s="3"/>
      <c r="V57" s="3"/>
      <c r="W57" s="3"/>
      <c r="X57" s="3"/>
    </row>
    <row r="58" spans="1:24">
      <c r="A58" s="60" t="s">
        <v>37</v>
      </c>
      <c r="I58" s="77">
        <f>H38</f>
        <v>52062.711988304087</v>
      </c>
      <c r="P58" s="3"/>
      <c r="Q58" s="3"/>
      <c r="R58" s="3"/>
      <c r="S58" s="3"/>
      <c r="T58" s="3"/>
      <c r="U58" s="3"/>
      <c r="V58" s="3"/>
      <c r="W58" s="3"/>
      <c r="X58" s="3"/>
    </row>
    <row r="59" spans="1:24">
      <c r="A59" s="60" t="s">
        <v>73</v>
      </c>
      <c r="I59" s="77">
        <f>I54</f>
        <v>95000</v>
      </c>
      <c r="P59" s="3"/>
      <c r="Q59" s="3"/>
      <c r="R59" s="3"/>
      <c r="S59" s="3"/>
      <c r="T59" s="3"/>
      <c r="U59" s="3"/>
      <c r="V59" s="3"/>
      <c r="W59" s="3"/>
      <c r="X59" s="3"/>
    </row>
    <row r="60" spans="1:24">
      <c r="A60" s="84" t="s">
        <v>58</v>
      </c>
      <c r="B60" s="45"/>
      <c r="C60" s="45"/>
      <c r="D60" s="45"/>
      <c r="E60" s="45"/>
      <c r="F60" s="45"/>
      <c r="G60" s="45"/>
      <c r="H60" s="45"/>
      <c r="I60" s="85">
        <f>SUM(I57:I59)</f>
        <v>437268.48684210522</v>
      </c>
    </row>
    <row r="61" spans="1:24">
      <c r="A61" s="86" t="s">
        <v>59</v>
      </c>
      <c r="B61" s="87"/>
      <c r="C61" s="87"/>
      <c r="D61" s="87"/>
      <c r="E61" s="87"/>
      <c r="F61" s="87"/>
      <c r="G61" s="87"/>
      <c r="H61" s="87"/>
      <c r="I61" s="88">
        <f>F18</f>
        <v>444375</v>
      </c>
    </row>
    <row r="62" spans="1:24">
      <c r="A62" s="81" t="s">
        <v>74</v>
      </c>
      <c r="B62" s="82"/>
      <c r="C62" s="82"/>
      <c r="D62" s="82"/>
      <c r="E62" s="82"/>
      <c r="F62" s="82"/>
      <c r="G62" s="82"/>
      <c r="H62" s="82"/>
      <c r="I62" s="83">
        <f>I61-I60</f>
        <v>7106.5131578947767</v>
      </c>
    </row>
    <row r="63" spans="1:24">
      <c r="A63" s="60" t="s">
        <v>75</v>
      </c>
      <c r="I63" s="77">
        <f>I60/D4</f>
        <v>8.7453697368421039</v>
      </c>
    </row>
    <row r="64" spans="1:24" ht="15" thickBot="1">
      <c r="A64" s="78" t="s">
        <v>76</v>
      </c>
      <c r="B64" s="79"/>
      <c r="C64" s="79"/>
      <c r="D64" s="79"/>
      <c r="E64" s="79"/>
      <c r="F64" s="79"/>
      <c r="G64" s="79"/>
      <c r="H64" s="79"/>
      <c r="I64" s="80">
        <f>I62/F54</f>
        <v>483.04233330021145</v>
      </c>
      <c r="K64" s="90"/>
    </row>
    <row r="66" spans="7:11">
      <c r="K66" s="90"/>
    </row>
    <row r="67" spans="7:11">
      <c r="G67" s="89"/>
    </row>
  </sheetData>
  <mergeCells count="27">
    <mergeCell ref="A53:C53"/>
    <mergeCell ref="F54:H54"/>
    <mergeCell ref="A45:B45"/>
    <mergeCell ref="A46:B46"/>
    <mergeCell ref="A47:B47"/>
    <mergeCell ref="A49:B49"/>
    <mergeCell ref="A50:B50"/>
    <mergeCell ref="A51:B51"/>
    <mergeCell ref="A44:B44"/>
    <mergeCell ref="A12:C12"/>
    <mergeCell ref="A13:C13"/>
    <mergeCell ref="D13:E13"/>
    <mergeCell ref="A14:C14"/>
    <mergeCell ref="A15:C15"/>
    <mergeCell ref="D15:E15"/>
    <mergeCell ref="A21:C21"/>
    <mergeCell ref="A29:C29"/>
    <mergeCell ref="D30:F30"/>
    <mergeCell ref="A41:C41"/>
    <mergeCell ref="A43:B43"/>
    <mergeCell ref="A11:C11"/>
    <mergeCell ref="D11:E11"/>
    <mergeCell ref="A2:C2"/>
    <mergeCell ref="A4:B4"/>
    <mergeCell ref="A7:C7"/>
    <mergeCell ref="D7:E7"/>
    <mergeCell ref="A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A129"/>
  <sheetViews>
    <sheetView topLeftCell="A64" zoomScaleNormal="100" workbookViewId="0">
      <selection activeCell="I72" sqref="I72"/>
    </sheetView>
  </sheetViews>
  <sheetFormatPr defaultColWidth="11.42578125" defaultRowHeight="14.45"/>
  <cols>
    <col min="4" max="4" width="11.5703125" customWidth="1"/>
    <col min="5" max="5" width="13.7109375" customWidth="1"/>
    <col min="6" max="6" width="13.7109375" bestFit="1" customWidth="1"/>
    <col min="8" max="8" width="13.7109375" customWidth="1"/>
    <col min="9" max="9" width="13" customWidth="1"/>
    <col min="10" max="11" width="12.7109375" customWidth="1"/>
    <col min="12" max="12" width="13.42578125" bestFit="1" customWidth="1"/>
    <col min="13" max="13" width="13.28515625" customWidth="1"/>
    <col min="14" max="14" width="14" customWidth="1"/>
    <col min="15" max="15" width="13.42578125" customWidth="1"/>
    <col min="16" max="16" width="13.42578125" bestFit="1" customWidth="1"/>
    <col min="17" max="17" width="12.7109375" bestFit="1" customWidth="1"/>
    <col min="18" max="18" width="13.42578125" bestFit="1" customWidth="1"/>
    <col min="19" max="19" width="13.28515625" customWidth="1"/>
    <col min="20" max="20" width="13.42578125" bestFit="1" customWidth="1"/>
    <col min="21" max="21" width="11.7109375" bestFit="1" customWidth="1"/>
    <col min="22" max="23" width="13.42578125" bestFit="1" customWidth="1"/>
    <col min="24" max="24" width="13.7109375" bestFit="1" customWidth="1"/>
    <col min="25" max="25" width="13.42578125" bestFit="1" customWidth="1"/>
    <col min="26" max="26" width="13.7109375" bestFit="1" customWidth="1"/>
    <col min="27" max="27" width="13.42578125" bestFit="1" customWidth="1"/>
  </cols>
  <sheetData>
    <row r="2" spans="1:6" ht="15" thickBot="1">
      <c r="A2" s="112" t="s">
        <v>0</v>
      </c>
      <c r="B2" s="112"/>
      <c r="C2" s="112"/>
    </row>
    <row r="3" spans="1:6">
      <c r="A3" s="31" t="s">
        <v>1</v>
      </c>
      <c r="B3" s="7"/>
      <c r="C3" s="7"/>
      <c r="D3" s="32" t="s">
        <v>2</v>
      </c>
      <c r="E3" s="32" t="s">
        <v>3</v>
      </c>
      <c r="F3" s="8" t="s">
        <v>4</v>
      </c>
    </row>
    <row r="4" spans="1:6">
      <c r="A4" s="106" t="s">
        <v>67</v>
      </c>
      <c r="B4" s="107"/>
      <c r="C4" s="45" t="s">
        <v>77</v>
      </c>
      <c r="D4" s="9">
        <v>15000</v>
      </c>
      <c r="E4" s="10">
        <v>19.75</v>
      </c>
      <c r="F4" s="11">
        <f>D4*E4</f>
        <v>296250</v>
      </c>
    </row>
    <row r="5" spans="1:6">
      <c r="A5" s="98"/>
      <c r="B5" s="99"/>
      <c r="C5" s="99" t="s">
        <v>78</v>
      </c>
      <c r="D5" s="9">
        <v>34500</v>
      </c>
      <c r="E5" s="10">
        <f>E4</f>
        <v>19.75</v>
      </c>
      <c r="F5" s="11">
        <f t="shared" ref="F5:F6" si="0">D5*E5</f>
        <v>681375</v>
      </c>
    </row>
    <row r="6" spans="1:6">
      <c r="A6" s="98"/>
      <c r="B6" s="99"/>
      <c r="C6" s="99"/>
      <c r="D6" s="9"/>
      <c r="E6" s="10">
        <f>E5</f>
        <v>19.75</v>
      </c>
      <c r="F6" s="11">
        <f t="shared" si="0"/>
        <v>0</v>
      </c>
    </row>
    <row r="7" spans="1:6">
      <c r="A7" s="100" t="s">
        <v>7</v>
      </c>
      <c r="B7" s="101"/>
      <c r="C7" s="101"/>
      <c r="D7" s="102">
        <v>1.2500000000000001E-2</v>
      </c>
      <c r="E7" s="102"/>
      <c r="F7" s="11">
        <f>(SUM(F4:F6))*-D7</f>
        <v>-12220.3125</v>
      </c>
    </row>
    <row r="8" spans="1:6">
      <c r="A8" s="106" t="s">
        <v>68</v>
      </c>
      <c r="B8" s="107"/>
      <c r="C8" s="107"/>
      <c r="D8" s="9">
        <v>50000</v>
      </c>
      <c r="E8" s="10">
        <v>40</v>
      </c>
      <c r="F8" s="11">
        <f>D8*E8</f>
        <v>2000000</v>
      </c>
    </row>
    <row r="9" spans="1:6">
      <c r="A9" s="98"/>
      <c r="B9" s="99"/>
      <c r="C9" s="99"/>
      <c r="D9" s="9"/>
      <c r="E9" s="10"/>
      <c r="F9" s="11">
        <f t="shared" ref="F9:F10" si="1">D9*E9</f>
        <v>0</v>
      </c>
    </row>
    <row r="10" spans="1:6">
      <c r="A10" s="98"/>
      <c r="B10" s="99"/>
      <c r="C10" s="99"/>
      <c r="D10" s="9"/>
      <c r="E10" s="10"/>
      <c r="F10" s="11">
        <f t="shared" si="1"/>
        <v>0</v>
      </c>
    </row>
    <row r="11" spans="1:6">
      <c r="A11" s="100" t="s">
        <v>7</v>
      </c>
      <c r="B11" s="101"/>
      <c r="C11" s="101"/>
      <c r="D11" s="102">
        <v>1.2500000000000001E-2</v>
      </c>
      <c r="E11" s="102"/>
      <c r="F11" s="11">
        <f>(SUM(F8:F10))*-D11</f>
        <v>-25000</v>
      </c>
    </row>
    <row r="12" spans="1:6">
      <c r="A12" s="106" t="s">
        <v>67</v>
      </c>
      <c r="B12" s="107"/>
      <c r="C12" s="107"/>
      <c r="D12" s="9">
        <v>49500</v>
      </c>
      <c r="E12" s="10"/>
      <c r="F12" s="11">
        <f>D12*E12</f>
        <v>0</v>
      </c>
    </row>
    <row r="13" spans="1:6">
      <c r="A13" s="100" t="s">
        <v>7</v>
      </c>
      <c r="B13" s="101"/>
      <c r="C13" s="101"/>
      <c r="D13" s="102">
        <v>1.2500000000000001E-2</v>
      </c>
      <c r="E13" s="102"/>
      <c r="F13" s="11">
        <f>F12*-D13</f>
        <v>0</v>
      </c>
    </row>
    <row r="14" spans="1:6">
      <c r="A14" s="106" t="s">
        <v>68</v>
      </c>
      <c r="B14" s="107"/>
      <c r="C14" s="107"/>
      <c r="D14" s="9">
        <v>49500</v>
      </c>
      <c r="E14" s="10"/>
      <c r="F14" s="11">
        <f>D14*E14</f>
        <v>0</v>
      </c>
    </row>
    <row r="15" spans="1:6">
      <c r="A15" s="100" t="s">
        <v>7</v>
      </c>
      <c r="B15" s="101"/>
      <c r="C15" s="101"/>
      <c r="D15" s="102">
        <v>1.2500000000000001E-2</v>
      </c>
      <c r="E15" s="102"/>
      <c r="F15" s="11">
        <f>F14*-D15</f>
        <v>0</v>
      </c>
    </row>
    <row r="16" spans="1:6">
      <c r="A16" s="12" t="s">
        <v>8</v>
      </c>
      <c r="B16" s="5"/>
      <c r="C16" s="5"/>
      <c r="D16" s="5"/>
      <c r="E16" s="5"/>
      <c r="F16" s="13">
        <f>F4+F5+F6+F8+F9+F10+F12+F14</f>
        <v>2977625</v>
      </c>
    </row>
    <row r="17" spans="1:24">
      <c r="A17" s="12" t="s">
        <v>9</v>
      </c>
      <c r="B17" s="5"/>
      <c r="C17" s="5"/>
      <c r="D17" s="5"/>
      <c r="E17" s="5"/>
      <c r="F17" s="13">
        <f>F7+F11+F13+F15</f>
        <v>-37220.3125</v>
      </c>
    </row>
    <row r="18" spans="1:24" ht="15" thickBot="1">
      <c r="A18" s="14" t="s">
        <v>10</v>
      </c>
      <c r="B18" s="15"/>
      <c r="C18" s="15"/>
      <c r="D18" s="15"/>
      <c r="E18" s="15"/>
      <c r="F18" s="16">
        <f>F16+F17</f>
        <v>2940404.6875</v>
      </c>
    </row>
    <row r="19" spans="1:24">
      <c r="F19" s="4"/>
    </row>
    <row r="20" spans="1:24">
      <c r="F20" s="4"/>
    </row>
    <row r="21" spans="1:24" ht="15" thickBot="1">
      <c r="A21" s="112" t="s">
        <v>26</v>
      </c>
      <c r="B21" s="112"/>
      <c r="C21" s="112"/>
    </row>
    <row r="22" spans="1:24">
      <c r="A22" s="6"/>
      <c r="B22" s="7"/>
      <c r="C22" s="32" t="s">
        <v>27</v>
      </c>
      <c r="D22" s="7" t="s">
        <v>28</v>
      </c>
      <c r="E22" s="7" t="s">
        <v>29</v>
      </c>
      <c r="F22" s="8" t="s">
        <v>30</v>
      </c>
    </row>
    <row r="23" spans="1:24">
      <c r="A23" s="19" t="s">
        <v>31</v>
      </c>
      <c r="C23" s="10">
        <v>8500</v>
      </c>
      <c r="D23" s="18">
        <v>3.7499999999999999E-2</v>
      </c>
      <c r="E23" s="17">
        <f>C23*(1-D23)</f>
        <v>8181.25</v>
      </c>
      <c r="F23" s="20">
        <f>E23*F54</f>
        <v>804033.20886127348</v>
      </c>
    </row>
    <row r="24" spans="1:24">
      <c r="A24" s="33" t="s">
        <v>32</v>
      </c>
      <c r="F24" s="23">
        <v>5000</v>
      </c>
    </row>
    <row r="25" spans="1:24">
      <c r="A25" s="33" t="s">
        <v>33</v>
      </c>
      <c r="F25" s="23">
        <v>7000</v>
      </c>
    </row>
    <row r="26" spans="1:24" ht="15" thickBot="1">
      <c r="A26" s="21" t="s">
        <v>34</v>
      </c>
      <c r="B26" s="22"/>
      <c r="C26" s="22"/>
      <c r="D26" s="22"/>
      <c r="E26" s="22"/>
      <c r="F26" s="35">
        <f>SUM(F23:F25)</f>
        <v>816033.20886127348</v>
      </c>
    </row>
    <row r="27" spans="1:24">
      <c r="F27" s="42"/>
    </row>
    <row r="28" spans="1:24">
      <c r="F28" s="42"/>
    </row>
    <row r="29" spans="1:24" ht="15" thickBot="1">
      <c r="A29" s="112" t="s">
        <v>35</v>
      </c>
      <c r="B29" s="112"/>
      <c r="C29" s="112"/>
    </row>
    <row r="30" spans="1:24">
      <c r="A30" s="6"/>
      <c r="B30" s="7"/>
      <c r="C30" s="7"/>
      <c r="D30" s="113" t="s">
        <v>36</v>
      </c>
      <c r="E30" s="113"/>
      <c r="F30" s="113"/>
      <c r="G30" s="7"/>
      <c r="H30" s="8"/>
      <c r="N30" s="2"/>
      <c r="O30" s="2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 s="19" t="s">
        <v>37</v>
      </c>
      <c r="D31" s="34" t="s">
        <v>38</v>
      </c>
      <c r="E31" s="34" t="s">
        <v>39</v>
      </c>
      <c r="F31" s="34" t="s">
        <v>40</v>
      </c>
      <c r="H31" s="36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7" t="s">
        <v>41</v>
      </c>
      <c r="B32" s="26">
        <v>654.4</v>
      </c>
      <c r="C32" s="24" t="s">
        <v>42</v>
      </c>
      <c r="D32" s="27">
        <v>33</v>
      </c>
      <c r="E32" s="27">
        <v>1</v>
      </c>
      <c r="F32" s="27">
        <v>1</v>
      </c>
      <c r="H32" s="36"/>
      <c r="N32" s="2"/>
      <c r="O32" s="2"/>
      <c r="P32" s="3"/>
      <c r="Q32" s="3"/>
      <c r="R32" s="3"/>
      <c r="S32" s="3"/>
      <c r="T32" s="3"/>
      <c r="U32" s="3"/>
      <c r="V32" s="3"/>
      <c r="W32" s="3"/>
      <c r="X32" s="3"/>
    </row>
    <row r="33" spans="1:24">
      <c r="A33" s="37" t="s">
        <v>43</v>
      </c>
      <c r="B33" s="26">
        <v>1245</v>
      </c>
      <c r="C33" s="24" t="s">
        <v>42</v>
      </c>
      <c r="D33" s="27">
        <v>0.5</v>
      </c>
      <c r="E33" s="27">
        <v>4</v>
      </c>
      <c r="F33" s="27">
        <v>0.5</v>
      </c>
      <c r="H33" s="36"/>
      <c r="N33" s="2"/>
      <c r="O33" s="2"/>
      <c r="P33" s="3"/>
      <c r="Q33" s="3"/>
      <c r="R33" s="3"/>
      <c r="S33" s="3"/>
      <c r="T33" s="3"/>
      <c r="U33" s="3"/>
      <c r="V33" s="3"/>
      <c r="W33" s="3"/>
      <c r="X33" s="3"/>
    </row>
    <row r="34" spans="1:24">
      <c r="A34" s="19"/>
      <c r="H34" s="36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7" t="s">
        <v>44</v>
      </c>
      <c r="B35" s="28">
        <v>13.5</v>
      </c>
      <c r="C35" s="24" t="s">
        <v>45</v>
      </c>
      <c r="D35" s="24" t="s">
        <v>46</v>
      </c>
      <c r="E35" s="24" t="s">
        <v>47</v>
      </c>
      <c r="F35" s="24" t="s">
        <v>48</v>
      </c>
      <c r="G35" s="24" t="s">
        <v>49</v>
      </c>
      <c r="H35" s="38" t="s">
        <v>50</v>
      </c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7" t="s">
        <v>51</v>
      </c>
      <c r="B36" s="29">
        <v>0.05</v>
      </c>
      <c r="C36" s="24"/>
      <c r="D36" s="30" t="s">
        <v>41</v>
      </c>
      <c r="E36" s="30">
        <f>B32*D32*F53</f>
        <v>1477706.6354775827</v>
      </c>
      <c r="F36" s="30">
        <f>B32*E32*H53</f>
        <v>14625.84</v>
      </c>
      <c r="G36" s="30">
        <f>B32*F32*G53</f>
        <v>4908</v>
      </c>
      <c r="H36" s="39">
        <f>SUM(E36:G36)</f>
        <v>1497240.4754775828</v>
      </c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40" t="s">
        <v>52</v>
      </c>
      <c r="B37" s="24">
        <f>B35*(1-B36)</f>
        <v>12.824999999999999</v>
      </c>
      <c r="C37" s="24" t="s">
        <v>45</v>
      </c>
      <c r="D37" s="24" t="s">
        <v>43</v>
      </c>
      <c r="E37" s="30">
        <f>B33*D33*F53</f>
        <v>42596.150097465885</v>
      </c>
      <c r="F37" s="30">
        <f>B33*E33*H53</f>
        <v>111303</v>
      </c>
      <c r="G37" s="30">
        <f>B33*F33*G53</f>
        <v>4668.75</v>
      </c>
      <c r="H37" s="39">
        <f>SUM(E37:G37)</f>
        <v>158567.9000974659</v>
      </c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</row>
    <row r="38" spans="1:24" ht="15" thickBot="1">
      <c r="A38" s="14" t="s">
        <v>53</v>
      </c>
      <c r="B38" s="15"/>
      <c r="C38" s="15"/>
      <c r="D38" s="15"/>
      <c r="E38" s="15"/>
      <c r="F38" s="15"/>
      <c r="G38" s="15"/>
      <c r="H38" s="41">
        <f>SUM(H36:H37)</f>
        <v>1655808.3755750486</v>
      </c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</row>
    <row r="39" spans="1:24"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</row>
    <row r="41" spans="1:24" ht="15" thickBot="1">
      <c r="A41" s="114" t="s">
        <v>11</v>
      </c>
      <c r="B41" s="114"/>
      <c r="C41" s="114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6" t="s">
        <v>12</v>
      </c>
      <c r="B42" s="7"/>
      <c r="C42" s="7" t="s">
        <v>13</v>
      </c>
      <c r="D42" s="7" t="s">
        <v>14</v>
      </c>
      <c r="E42" s="50" t="s">
        <v>15</v>
      </c>
      <c r="F42" s="50" t="s">
        <v>16</v>
      </c>
      <c r="G42" s="7" t="s">
        <v>62</v>
      </c>
      <c r="H42" s="7" t="s">
        <v>18</v>
      </c>
      <c r="I42" s="8" t="s">
        <v>19</v>
      </c>
      <c r="N42" s="1"/>
      <c r="O42" s="2"/>
      <c r="P42" s="3"/>
      <c r="Q42" s="3"/>
      <c r="R42" s="3"/>
      <c r="S42" s="3"/>
      <c r="T42" s="3"/>
      <c r="U42" s="3"/>
      <c r="V42" s="3"/>
      <c r="W42" s="3"/>
      <c r="X42" s="3"/>
    </row>
    <row r="43" spans="1:24">
      <c r="A43" s="106" t="s">
        <v>79</v>
      </c>
      <c r="B43" s="107"/>
      <c r="C43" s="97"/>
      <c r="E43" s="97"/>
      <c r="F43" s="97"/>
      <c r="I43" s="36"/>
      <c r="N43" s="1"/>
      <c r="O43" s="1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106" t="s">
        <v>80</v>
      </c>
      <c r="B44" s="107"/>
      <c r="C44" s="44">
        <v>6000</v>
      </c>
      <c r="D44" s="28" t="s">
        <v>69</v>
      </c>
      <c r="E44" s="47">
        <v>5115</v>
      </c>
      <c r="F44" s="43">
        <f>E44/$B$37/24</f>
        <v>16.617933723196881</v>
      </c>
      <c r="G44" s="28">
        <v>2</v>
      </c>
      <c r="H44" s="46">
        <f>SUM(D4:D6)/C44</f>
        <v>8.25</v>
      </c>
      <c r="I44" s="51">
        <v>90000</v>
      </c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106" t="s">
        <v>81</v>
      </c>
      <c r="B45" s="107"/>
      <c r="C45" s="44"/>
      <c r="D45" s="28"/>
      <c r="E45" s="47"/>
      <c r="F45" s="43"/>
      <c r="G45" s="28">
        <v>1</v>
      </c>
      <c r="H45" s="24"/>
      <c r="I45" s="51">
        <v>10000</v>
      </c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106" t="s">
        <v>82</v>
      </c>
      <c r="B46" s="107"/>
      <c r="C46" s="44">
        <v>7500</v>
      </c>
      <c r="D46" s="28" t="s">
        <v>24</v>
      </c>
      <c r="E46" s="47">
        <v>4557</v>
      </c>
      <c r="F46" s="43">
        <f t="shared" ref="F46:F50" si="2">E46/$B$37/24</f>
        <v>14.805068226120859</v>
      </c>
      <c r="G46" s="28">
        <v>1</v>
      </c>
      <c r="H46" s="25">
        <f>D4/C46</f>
        <v>2</v>
      </c>
      <c r="I46" s="51">
        <v>20000</v>
      </c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106" t="s">
        <v>83</v>
      </c>
      <c r="B47" s="107"/>
      <c r="C47" s="44">
        <v>7500</v>
      </c>
      <c r="D47" s="28" t="s">
        <v>24</v>
      </c>
      <c r="E47" s="47">
        <v>983</v>
      </c>
      <c r="F47" s="43">
        <f t="shared" si="2"/>
        <v>3.1936322287199483</v>
      </c>
      <c r="G47" s="28">
        <v>0.5</v>
      </c>
      <c r="H47" s="25">
        <f>D5/C47</f>
        <v>4.5999999999999996</v>
      </c>
      <c r="I47" s="51">
        <v>20000</v>
      </c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98" t="s">
        <v>84</v>
      </c>
      <c r="B48" s="99"/>
      <c r="C48" s="44"/>
      <c r="D48" s="28"/>
      <c r="E48" s="9"/>
      <c r="F48" s="43">
        <f t="shared" si="2"/>
        <v>0</v>
      </c>
      <c r="G48" s="28">
        <v>1</v>
      </c>
      <c r="H48" s="24"/>
      <c r="I48" s="51">
        <v>5000</v>
      </c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</row>
    <row r="49" spans="1:27">
      <c r="A49" s="106" t="s">
        <v>23</v>
      </c>
      <c r="B49" s="107"/>
      <c r="C49" s="44">
        <v>20000</v>
      </c>
      <c r="D49" s="28" t="s">
        <v>24</v>
      </c>
      <c r="E49" s="9">
        <v>478</v>
      </c>
      <c r="F49" s="43">
        <f t="shared" si="2"/>
        <v>1.552956465237167</v>
      </c>
      <c r="G49" s="28">
        <v>1</v>
      </c>
      <c r="H49" s="24">
        <f>D8/C49</f>
        <v>2.5</v>
      </c>
      <c r="I49" s="51">
        <v>20000</v>
      </c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</row>
    <row r="50" spans="1:27">
      <c r="A50" s="106" t="s">
        <v>79</v>
      </c>
      <c r="B50" s="107"/>
      <c r="C50" s="44">
        <v>10000</v>
      </c>
      <c r="D50" s="28" t="s">
        <v>24</v>
      </c>
      <c r="E50" s="9">
        <v>9929</v>
      </c>
      <c r="F50" s="43">
        <f t="shared" si="2"/>
        <v>32.257959714100068</v>
      </c>
      <c r="G50" s="28">
        <v>1</v>
      </c>
      <c r="H50" s="24">
        <f>D8/C50</f>
        <v>5</v>
      </c>
      <c r="I50" s="51">
        <v>60000</v>
      </c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</row>
    <row r="51" spans="1:27">
      <c r="A51" s="106"/>
      <c r="B51" s="107"/>
      <c r="C51" s="9"/>
      <c r="D51" s="45"/>
      <c r="E51" s="9"/>
      <c r="F51" s="43"/>
      <c r="G51" s="28"/>
      <c r="H51" s="24"/>
      <c r="I51" s="51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</row>
    <row r="52" spans="1:27">
      <c r="A52" s="52"/>
      <c r="B52" s="53"/>
      <c r="C52" s="53"/>
      <c r="D52" s="53"/>
      <c r="E52" s="53"/>
      <c r="F52" s="49"/>
      <c r="G52" s="49"/>
      <c r="H52" s="49"/>
      <c r="I52" s="54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</row>
    <row r="53" spans="1:27">
      <c r="A53" s="108" t="s">
        <v>25</v>
      </c>
      <c r="B53" s="109"/>
      <c r="C53" s="109"/>
      <c r="D53" s="5"/>
      <c r="E53" s="5"/>
      <c r="F53" s="48">
        <f>SUM(F44:F51)</f>
        <v>68.427550357374912</v>
      </c>
      <c r="G53" s="48">
        <f>SUM(G44:G51)</f>
        <v>7.5</v>
      </c>
      <c r="H53" s="48">
        <f>SUM(H44:H51)</f>
        <v>22.35</v>
      </c>
      <c r="I53" s="38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</row>
    <row r="54" spans="1:27" ht="15" thickBot="1">
      <c r="A54" s="14" t="s">
        <v>6</v>
      </c>
      <c r="B54" s="15"/>
      <c r="C54" s="15"/>
      <c r="D54" s="15"/>
      <c r="E54" s="15"/>
      <c r="F54" s="110">
        <f>F53+H53+G53</f>
        <v>98.277550357374906</v>
      </c>
      <c r="G54" s="110"/>
      <c r="H54" s="110"/>
      <c r="I54" s="55">
        <f>SUM(I44:I53)</f>
        <v>225000</v>
      </c>
      <c r="P54" s="3"/>
      <c r="Q54" s="3"/>
      <c r="R54" s="3"/>
      <c r="S54" s="3"/>
      <c r="T54" s="3"/>
      <c r="U54" s="3"/>
      <c r="V54" s="3"/>
      <c r="W54" s="3"/>
      <c r="X54" s="3"/>
    </row>
    <row r="55" spans="1:27">
      <c r="P55" s="3"/>
      <c r="Q55" s="3"/>
      <c r="R55" s="3"/>
      <c r="S55" s="3"/>
      <c r="T55" s="3"/>
      <c r="U55" s="3"/>
      <c r="V55" s="3"/>
      <c r="W55" s="3"/>
      <c r="X55" s="3"/>
    </row>
    <row r="56" spans="1:27">
      <c r="G56" t="s">
        <v>85</v>
      </c>
      <c r="P56" s="3"/>
      <c r="Q56" s="3"/>
      <c r="R56" s="3"/>
      <c r="S56" s="3"/>
      <c r="T56" s="3"/>
      <c r="U56" s="3"/>
      <c r="V56" s="3"/>
      <c r="W56" s="3"/>
      <c r="X56" s="3"/>
    </row>
    <row r="57" spans="1:27" ht="15" thickBot="1">
      <c r="A57" s="114" t="s">
        <v>86</v>
      </c>
      <c r="B57" s="114"/>
      <c r="C57" s="114"/>
      <c r="G57" t="s">
        <v>87</v>
      </c>
      <c r="H57" s="67" t="s">
        <v>88</v>
      </c>
      <c r="I57" s="67" t="s">
        <v>89</v>
      </c>
      <c r="J57" s="67" t="s">
        <v>90</v>
      </c>
      <c r="K57" s="67" t="s">
        <v>91</v>
      </c>
      <c r="L57" s="67" t="s">
        <v>92</v>
      </c>
      <c r="M57" s="67" t="s">
        <v>93</v>
      </c>
      <c r="P57" s="3"/>
      <c r="Q57" s="3"/>
      <c r="R57" s="3"/>
      <c r="S57" s="3"/>
      <c r="T57" s="3"/>
      <c r="U57" s="3"/>
      <c r="V57" s="3"/>
      <c r="W57" s="3"/>
      <c r="X57" s="3"/>
    </row>
    <row r="58" spans="1:27">
      <c r="A58" s="57" t="s">
        <v>94</v>
      </c>
      <c r="B58" s="58"/>
      <c r="C58" s="58"/>
      <c r="D58" s="58"/>
      <c r="E58" s="58"/>
      <c r="F58" s="68">
        <f>F26</f>
        <v>816033.20886127348</v>
      </c>
      <c r="G58" s="70">
        <f>$F$58/$F$54*15</f>
        <v>124550.29748307675</v>
      </c>
      <c r="H58" s="70">
        <f>G58</f>
        <v>124550.29748307675</v>
      </c>
      <c r="I58" s="70">
        <f t="shared" ref="I58:L58" si="3">H58</f>
        <v>124550.29748307675</v>
      </c>
      <c r="J58" s="70">
        <f t="shared" si="3"/>
        <v>124550.29748307675</v>
      </c>
      <c r="K58" s="70">
        <f t="shared" si="3"/>
        <v>124550.29748307675</v>
      </c>
      <c r="L58" s="70">
        <f t="shared" si="3"/>
        <v>124550.29748307675</v>
      </c>
      <c r="M58" s="70">
        <v>31200</v>
      </c>
      <c r="N58" s="70"/>
      <c r="P58" s="3"/>
      <c r="Q58" s="3"/>
      <c r="R58" s="3"/>
      <c r="S58" s="3"/>
      <c r="T58" s="3"/>
      <c r="U58" s="3"/>
      <c r="V58" s="3"/>
      <c r="W58" s="3"/>
      <c r="X58" s="3"/>
    </row>
    <row r="59" spans="1:27">
      <c r="A59" s="59" t="s">
        <v>95</v>
      </c>
      <c r="B59" s="56"/>
      <c r="C59" s="56"/>
      <c r="D59" s="56"/>
      <c r="E59" s="56"/>
      <c r="F59" s="69">
        <f>H38</f>
        <v>1655808.3755750486</v>
      </c>
      <c r="G59" s="70">
        <f>(500*$B$32)+(100*$B$33)</f>
        <v>451700</v>
      </c>
      <c r="H59" s="71"/>
      <c r="I59" s="70">
        <f>(500*$B$32)+(100*$B$33)</f>
        <v>451700</v>
      </c>
      <c r="J59" s="71"/>
      <c r="K59" s="71"/>
      <c r="L59" s="70">
        <f>(800*$B$32)+(100*$B$33)</f>
        <v>648020</v>
      </c>
      <c r="M59" s="71"/>
      <c r="N59" s="70"/>
      <c r="P59" s="3"/>
      <c r="Q59" s="3"/>
      <c r="R59" s="3"/>
      <c r="S59" s="3"/>
      <c r="T59" s="3"/>
      <c r="U59" s="3"/>
      <c r="V59" s="3"/>
      <c r="W59" s="3"/>
      <c r="X59" s="3"/>
    </row>
    <row r="60" spans="1:27">
      <c r="A60" s="59" t="s">
        <v>96</v>
      </c>
      <c r="B60" s="56"/>
      <c r="C60" s="56"/>
      <c r="D60" s="56"/>
      <c r="E60" s="56"/>
      <c r="F60" s="69">
        <f>I54</f>
        <v>225000</v>
      </c>
      <c r="G60" s="71"/>
      <c r="H60" s="70">
        <f>$I$44+$I$45</f>
        <v>100000</v>
      </c>
      <c r="I60" s="71"/>
      <c r="J60" s="70">
        <f>$I$46+$I$47</f>
        <v>40000</v>
      </c>
      <c r="K60" s="70">
        <f>$I$48+$I$49</f>
        <v>25000</v>
      </c>
      <c r="L60" s="71"/>
      <c r="M60" s="70">
        <f>$I$50</f>
        <v>60000</v>
      </c>
      <c r="N60" s="70"/>
    </row>
    <row r="61" spans="1:27">
      <c r="A61" s="60"/>
      <c r="G61" s="70"/>
      <c r="H61" s="71"/>
      <c r="I61" s="70">
        <f>-($F$4+$F$5)</f>
        <v>-977625</v>
      </c>
      <c r="J61" s="71"/>
      <c r="K61" s="71"/>
      <c r="L61" s="70">
        <f>-$F$8</f>
        <v>-2000000</v>
      </c>
      <c r="M61" s="71"/>
      <c r="N61" s="70"/>
    </row>
    <row r="62" spans="1:27">
      <c r="A62" s="64" t="s">
        <v>58</v>
      </c>
      <c r="B62" s="65"/>
      <c r="C62" s="65"/>
      <c r="D62" s="65"/>
      <c r="E62" s="65"/>
      <c r="F62" s="72">
        <f>SUM(F58:F61)</f>
        <v>2696841.5844363221</v>
      </c>
      <c r="G62" s="70">
        <f>SUM(G58:G61)</f>
        <v>576250.29748307681</v>
      </c>
      <c r="H62" s="70">
        <f t="shared" ref="H62:M62" si="4">SUM(H58:H61)</f>
        <v>224550.29748307675</v>
      </c>
      <c r="I62" s="70">
        <f t="shared" si="4"/>
        <v>-401374.70251692319</v>
      </c>
      <c r="J62" s="70">
        <f t="shared" si="4"/>
        <v>164550.29748307675</v>
      </c>
      <c r="K62" s="70">
        <f t="shared" si="4"/>
        <v>149550.29748307675</v>
      </c>
      <c r="L62" s="70">
        <f t="shared" si="4"/>
        <v>-1227429.7025169232</v>
      </c>
      <c r="M62" s="70">
        <f t="shared" si="4"/>
        <v>91200</v>
      </c>
      <c r="N62" s="70"/>
    </row>
    <row r="63" spans="1:27">
      <c r="A63" s="60"/>
      <c r="F63" s="4"/>
      <c r="G63" s="73">
        <f>G62</f>
        <v>576250.29748307681</v>
      </c>
      <c r="H63" s="73">
        <f>G62+H62</f>
        <v>800800.59496615361</v>
      </c>
      <c r="I63" s="73">
        <f>H63+I62</f>
        <v>399425.89244923042</v>
      </c>
      <c r="J63" s="73">
        <f t="shared" ref="J63:L63" si="5">I63+J62</f>
        <v>563976.18993230723</v>
      </c>
      <c r="K63" s="73">
        <f t="shared" si="5"/>
        <v>713526.48741538404</v>
      </c>
      <c r="L63" s="70">
        <f t="shared" si="5"/>
        <v>-513903.21510153916</v>
      </c>
      <c r="M63" s="70">
        <f>L63+M62</f>
        <v>-422703.21510153916</v>
      </c>
      <c r="N63" s="70">
        <f>M63</f>
        <v>-422703.21510153916</v>
      </c>
      <c r="O63" s="70">
        <f t="shared" ref="O63:AA63" si="6">N63</f>
        <v>-422703.21510153916</v>
      </c>
      <c r="P63" s="70">
        <f t="shared" si="6"/>
        <v>-422703.21510153916</v>
      </c>
      <c r="Q63" s="70">
        <f t="shared" si="6"/>
        <v>-422703.21510153916</v>
      </c>
      <c r="R63" s="70">
        <f t="shared" si="6"/>
        <v>-422703.21510153916</v>
      </c>
      <c r="S63" s="70">
        <f t="shared" si="6"/>
        <v>-422703.21510153916</v>
      </c>
      <c r="T63" s="70">
        <f t="shared" si="6"/>
        <v>-422703.21510153916</v>
      </c>
      <c r="U63" s="70">
        <f t="shared" si="6"/>
        <v>-422703.21510153916</v>
      </c>
      <c r="V63" s="70">
        <f t="shared" si="6"/>
        <v>-422703.21510153916</v>
      </c>
      <c r="W63" s="70">
        <f t="shared" si="6"/>
        <v>-422703.21510153916</v>
      </c>
      <c r="X63" s="70">
        <f t="shared" si="6"/>
        <v>-422703.21510153916</v>
      </c>
      <c r="Y63" s="70">
        <f t="shared" si="6"/>
        <v>-422703.21510153916</v>
      </c>
      <c r="Z63" s="70">
        <f t="shared" si="6"/>
        <v>-422703.21510153916</v>
      </c>
      <c r="AA63" s="70">
        <f t="shared" si="6"/>
        <v>-422703.21510153916</v>
      </c>
    </row>
    <row r="64" spans="1:27">
      <c r="A64" s="64" t="s">
        <v>59</v>
      </c>
      <c r="B64" s="65"/>
      <c r="C64" s="65"/>
      <c r="D64" s="65"/>
      <c r="E64" s="65"/>
      <c r="F64" s="66">
        <f>F18</f>
        <v>2940404.6875</v>
      </c>
    </row>
    <row r="65" spans="1:27">
      <c r="A65" s="64" t="s">
        <v>74</v>
      </c>
      <c r="B65" s="65"/>
      <c r="C65" s="65"/>
      <c r="D65" s="65"/>
      <c r="E65" s="65"/>
      <c r="F65" s="66">
        <f>F64-F62</f>
        <v>243563.1030636779</v>
      </c>
      <c r="I65" t="s">
        <v>87</v>
      </c>
      <c r="J65" s="67" t="s">
        <v>88</v>
      </c>
      <c r="K65" s="67" t="s">
        <v>89</v>
      </c>
      <c r="L65" s="67" t="s">
        <v>90</v>
      </c>
      <c r="M65" s="67" t="s">
        <v>91</v>
      </c>
      <c r="N65" s="67" t="s">
        <v>92</v>
      </c>
      <c r="O65" s="67" t="s">
        <v>93</v>
      </c>
    </row>
    <row r="66" spans="1:27" ht="15" thickBot="1">
      <c r="A66" s="61" t="s">
        <v>76</v>
      </c>
      <c r="B66" s="62"/>
      <c r="C66" s="62"/>
      <c r="D66" s="62"/>
      <c r="E66" s="62"/>
      <c r="F66" s="63">
        <f>F65/F54</f>
        <v>2478.3188243702548</v>
      </c>
      <c r="I66" s="70">
        <f>$F$58/$F$54*15</f>
        <v>124550.29748307675</v>
      </c>
      <c r="J66" s="70">
        <f>I66</f>
        <v>124550.29748307675</v>
      </c>
      <c r="K66" s="70">
        <f t="shared" ref="K66:N66" si="7">J66</f>
        <v>124550.29748307675</v>
      </c>
      <c r="L66" s="70">
        <f t="shared" si="7"/>
        <v>124550.29748307675</v>
      </c>
      <c r="M66" s="70">
        <f t="shared" si="7"/>
        <v>124550.29748307675</v>
      </c>
      <c r="N66" s="70">
        <f t="shared" si="7"/>
        <v>124550.29748307675</v>
      </c>
      <c r="O66" s="70">
        <v>31200</v>
      </c>
      <c r="P66" s="70"/>
    </row>
    <row r="67" spans="1:27">
      <c r="I67" s="70">
        <f>(500*$B$32)+(100*$B$33)</f>
        <v>451700</v>
      </c>
      <c r="J67" s="71"/>
      <c r="K67" s="70">
        <f>(500*$B$32)+(100*$B$33)</f>
        <v>451700</v>
      </c>
      <c r="L67" s="71"/>
      <c r="M67" s="71"/>
      <c r="N67" s="70">
        <f>(800*$B$32)+(100*$B$33)</f>
        <v>648020</v>
      </c>
      <c r="O67" s="71"/>
      <c r="P67" s="70"/>
    </row>
    <row r="68" spans="1:27">
      <c r="I68" s="71"/>
      <c r="J68" s="70">
        <f>$I$44+$I$45</f>
        <v>100000</v>
      </c>
      <c r="K68" s="71"/>
      <c r="L68" s="70">
        <f>$I$46+$I$47</f>
        <v>40000</v>
      </c>
      <c r="M68" s="70">
        <f>$I$48+$I$49</f>
        <v>25000</v>
      </c>
      <c r="N68" s="71"/>
      <c r="O68" s="70">
        <f>$I$50</f>
        <v>60000</v>
      </c>
      <c r="P68" s="70"/>
    </row>
    <row r="69" spans="1:27">
      <c r="I69" s="70"/>
      <c r="J69" s="71"/>
      <c r="K69" s="70">
        <f>-($F$4+$F$5)</f>
        <v>-977625</v>
      </c>
      <c r="L69" s="71"/>
      <c r="M69" s="71"/>
      <c r="N69" s="70">
        <f>-$F$8</f>
        <v>-2000000</v>
      </c>
      <c r="O69" s="71"/>
      <c r="P69" s="70"/>
    </row>
    <row r="70" spans="1:27">
      <c r="I70" s="70">
        <f>SUM(I66:I69)</f>
        <v>576250.29748307681</v>
      </c>
      <c r="J70" s="70">
        <f t="shared" ref="J70" si="8">SUM(J66:J69)</f>
        <v>224550.29748307675</v>
      </c>
      <c r="K70" s="70">
        <f t="shared" ref="K70" si="9">SUM(K66:K69)</f>
        <v>-401374.70251692319</v>
      </c>
      <c r="L70" s="70">
        <f t="shared" ref="L70" si="10">SUM(L66:L69)</f>
        <v>164550.29748307675</v>
      </c>
      <c r="M70" s="70">
        <f t="shared" ref="M70" si="11">SUM(M66:M69)</f>
        <v>149550.29748307675</v>
      </c>
      <c r="N70" s="70">
        <f t="shared" ref="N70" si="12">SUM(N66:N69)</f>
        <v>-1227429.7025169232</v>
      </c>
      <c r="O70" s="70">
        <f t="shared" ref="O70" si="13">SUM(O66:O69)</f>
        <v>91200</v>
      </c>
      <c r="P70" s="70"/>
    </row>
    <row r="71" spans="1:27">
      <c r="I71" s="73">
        <f>I70</f>
        <v>576250.29748307681</v>
      </c>
      <c r="J71" s="73">
        <f>I70+J70</f>
        <v>800800.59496615361</v>
      </c>
      <c r="K71" s="73">
        <f>J71+K70</f>
        <v>399425.89244923042</v>
      </c>
      <c r="L71" s="73">
        <f t="shared" ref="L71" si="14">K71+L70</f>
        <v>563976.18993230723</v>
      </c>
      <c r="M71" s="73">
        <f t="shared" ref="M71" si="15">L71+M70</f>
        <v>713526.48741538404</v>
      </c>
      <c r="N71" s="70">
        <f t="shared" ref="N71" si="16">M71+N70</f>
        <v>-513903.21510153916</v>
      </c>
      <c r="O71" s="70">
        <f>N71+O70</f>
        <v>-422703.21510153916</v>
      </c>
      <c r="P71" s="70">
        <f>O71</f>
        <v>-422703.21510153916</v>
      </c>
      <c r="Q71" s="70">
        <f t="shared" ref="Q71:AA71" si="17">P71</f>
        <v>-422703.21510153916</v>
      </c>
      <c r="R71" s="70">
        <f t="shared" si="17"/>
        <v>-422703.21510153916</v>
      </c>
      <c r="S71" s="70">
        <f t="shared" si="17"/>
        <v>-422703.21510153916</v>
      </c>
      <c r="T71" s="70">
        <f t="shared" si="17"/>
        <v>-422703.21510153916</v>
      </c>
      <c r="U71" s="70">
        <f t="shared" si="17"/>
        <v>-422703.21510153916</v>
      </c>
      <c r="V71" s="70">
        <f t="shared" si="17"/>
        <v>-422703.21510153916</v>
      </c>
      <c r="W71" s="70">
        <f t="shared" si="17"/>
        <v>-422703.21510153916</v>
      </c>
      <c r="X71" s="70">
        <f t="shared" si="17"/>
        <v>-422703.21510153916</v>
      </c>
      <c r="Y71" s="70">
        <f t="shared" si="17"/>
        <v>-422703.21510153916</v>
      </c>
      <c r="Z71" s="70">
        <f t="shared" si="17"/>
        <v>-422703.21510153916</v>
      </c>
      <c r="AA71" s="70">
        <f t="shared" si="17"/>
        <v>-422703.21510153916</v>
      </c>
    </row>
    <row r="73" spans="1:27">
      <c r="K73" t="s">
        <v>87</v>
      </c>
      <c r="L73" s="67" t="s">
        <v>88</v>
      </c>
      <c r="M73" s="67" t="s">
        <v>89</v>
      </c>
      <c r="N73" s="67" t="s">
        <v>90</v>
      </c>
      <c r="O73" s="67" t="s">
        <v>91</v>
      </c>
      <c r="P73" s="67" t="s">
        <v>92</v>
      </c>
      <c r="Q73" s="67" t="s">
        <v>93</v>
      </c>
    </row>
    <row r="74" spans="1:27">
      <c r="K74" s="70">
        <f>$F$58/$F$54*15</f>
        <v>124550.29748307675</v>
      </c>
      <c r="L74" s="70">
        <f>K74</f>
        <v>124550.29748307675</v>
      </c>
      <c r="M74" s="70">
        <f t="shared" ref="M74:P74" si="18">L74</f>
        <v>124550.29748307675</v>
      </c>
      <c r="N74" s="70">
        <f t="shared" si="18"/>
        <v>124550.29748307675</v>
      </c>
      <c r="O74" s="70">
        <f t="shared" si="18"/>
        <v>124550.29748307675</v>
      </c>
      <c r="P74" s="70">
        <f t="shared" si="18"/>
        <v>124550.29748307675</v>
      </c>
      <c r="Q74" s="70">
        <v>31200</v>
      </c>
      <c r="R74" s="70"/>
    </row>
    <row r="75" spans="1:27">
      <c r="K75" s="70">
        <f>(500*$B$32)+(100*$B$33)</f>
        <v>451700</v>
      </c>
      <c r="L75" s="71"/>
      <c r="M75" s="70">
        <f>(500*$B$32)+(100*$B$33)</f>
        <v>451700</v>
      </c>
      <c r="N75" s="71"/>
      <c r="O75" s="71"/>
      <c r="P75" s="70">
        <f>(800*$B$32)+(100*$B$33)</f>
        <v>648020</v>
      </c>
      <c r="Q75" s="71"/>
      <c r="R75" s="70"/>
    </row>
    <row r="76" spans="1:27">
      <c r="K76" s="71"/>
      <c r="L76" s="70">
        <f>$I$44+$I$45</f>
        <v>100000</v>
      </c>
      <c r="M76" s="71"/>
      <c r="N76" s="70">
        <f>$I$46+$I$47</f>
        <v>40000</v>
      </c>
      <c r="O76" s="70">
        <f>$I$48+$I$49</f>
        <v>25000</v>
      </c>
      <c r="P76" s="71"/>
      <c r="Q76" s="70">
        <f>$I$50</f>
        <v>60000</v>
      </c>
      <c r="R76" s="70"/>
    </row>
    <row r="77" spans="1:27">
      <c r="K77" s="70"/>
      <c r="L77" s="71"/>
      <c r="M77" s="70">
        <f>-($F$4+$F$5)</f>
        <v>-977625</v>
      </c>
      <c r="N77" s="71"/>
      <c r="O77" s="71"/>
      <c r="P77" s="70">
        <f>-$F$8</f>
        <v>-2000000</v>
      </c>
      <c r="Q77" s="71"/>
      <c r="R77" s="70"/>
    </row>
    <row r="78" spans="1:27">
      <c r="K78" s="70">
        <f>SUM(K74:K77)</f>
        <v>576250.29748307681</v>
      </c>
      <c r="L78" s="70">
        <f t="shared" ref="L78" si="19">SUM(L74:L77)</f>
        <v>224550.29748307675</v>
      </c>
      <c r="M78" s="70">
        <f t="shared" ref="M78" si="20">SUM(M74:M77)</f>
        <v>-401374.70251692319</v>
      </c>
      <c r="N78" s="70">
        <f t="shared" ref="N78" si="21">SUM(N74:N77)</f>
        <v>164550.29748307675</v>
      </c>
      <c r="O78" s="70">
        <f t="shared" ref="O78" si="22">SUM(O74:O77)</f>
        <v>149550.29748307675</v>
      </c>
      <c r="P78" s="70">
        <f t="shared" ref="P78" si="23">SUM(P74:P77)</f>
        <v>-1227429.7025169232</v>
      </c>
      <c r="Q78" s="70">
        <f t="shared" ref="Q78" si="24">SUM(Q74:Q77)</f>
        <v>91200</v>
      </c>
      <c r="R78" s="70"/>
    </row>
    <row r="79" spans="1:27">
      <c r="K79" s="73">
        <f>K78</f>
        <v>576250.29748307681</v>
      </c>
      <c r="L79" s="73">
        <f>K78+L78</f>
        <v>800800.59496615361</v>
      </c>
      <c r="M79" s="73">
        <f>L79+M78</f>
        <v>399425.89244923042</v>
      </c>
      <c r="N79" s="73">
        <f t="shared" ref="N79" si="25">M79+N78</f>
        <v>563976.18993230723</v>
      </c>
      <c r="O79" s="73">
        <f t="shared" ref="O79" si="26">N79+O78</f>
        <v>713526.48741538404</v>
      </c>
      <c r="P79" s="70">
        <f t="shared" ref="P79" si="27">O79+P78</f>
        <v>-513903.21510153916</v>
      </c>
      <c r="Q79" s="70">
        <f>P79+Q78</f>
        <v>-422703.21510153916</v>
      </c>
      <c r="R79" s="70">
        <f>Q79</f>
        <v>-422703.21510153916</v>
      </c>
      <c r="S79" s="70">
        <f t="shared" ref="S79:AA79" si="28">R79</f>
        <v>-422703.21510153916</v>
      </c>
      <c r="T79" s="70">
        <f t="shared" si="28"/>
        <v>-422703.21510153916</v>
      </c>
      <c r="U79" s="70">
        <f t="shared" si="28"/>
        <v>-422703.21510153916</v>
      </c>
      <c r="V79" s="70">
        <f t="shared" si="28"/>
        <v>-422703.21510153916</v>
      </c>
      <c r="W79" s="70">
        <f t="shared" si="28"/>
        <v>-422703.21510153916</v>
      </c>
      <c r="X79" s="70">
        <f t="shared" si="28"/>
        <v>-422703.21510153916</v>
      </c>
      <c r="Y79" s="70">
        <f t="shared" si="28"/>
        <v>-422703.21510153916</v>
      </c>
      <c r="Z79" s="70">
        <f t="shared" si="28"/>
        <v>-422703.21510153916</v>
      </c>
      <c r="AA79" s="70">
        <f t="shared" si="28"/>
        <v>-422703.21510153916</v>
      </c>
    </row>
    <row r="81" spans="8:27">
      <c r="M81" t="s">
        <v>87</v>
      </c>
      <c r="N81" s="67" t="s">
        <v>88</v>
      </c>
      <c r="O81" s="67" t="s">
        <v>89</v>
      </c>
      <c r="P81" s="67" t="s">
        <v>90</v>
      </c>
      <c r="Q81" s="67" t="s">
        <v>91</v>
      </c>
      <c r="R81" s="67" t="s">
        <v>92</v>
      </c>
      <c r="S81" s="67" t="s">
        <v>93</v>
      </c>
    </row>
    <row r="82" spans="8:27">
      <c r="H82" s="4"/>
      <c r="I82" s="4"/>
      <c r="J82" s="4"/>
      <c r="K82" s="4"/>
      <c r="L82" s="4"/>
      <c r="M82" s="70">
        <f>$F$58/$F$54*15</f>
        <v>124550.29748307675</v>
      </c>
      <c r="N82" s="70">
        <f>M82</f>
        <v>124550.29748307675</v>
      </c>
      <c r="O82" s="70">
        <f t="shared" ref="O82:R82" si="29">N82</f>
        <v>124550.29748307675</v>
      </c>
      <c r="P82" s="70">
        <f t="shared" si="29"/>
        <v>124550.29748307675</v>
      </c>
      <c r="Q82" s="70">
        <f t="shared" si="29"/>
        <v>124550.29748307675</v>
      </c>
      <c r="R82" s="70">
        <f t="shared" si="29"/>
        <v>124550.29748307675</v>
      </c>
      <c r="S82" s="70">
        <v>31200</v>
      </c>
    </row>
    <row r="83" spans="8:27">
      <c r="M83" s="70">
        <f>(500*$B$32)+(100*$B$33)</f>
        <v>451700</v>
      </c>
      <c r="N83" s="71"/>
      <c r="O83" s="70">
        <f>(500*$B$32)+(100*$B$33)</f>
        <v>451700</v>
      </c>
      <c r="P83" s="71"/>
      <c r="Q83" s="71"/>
      <c r="R83" s="70">
        <f>(800*$B$32)+(100*$B$33)</f>
        <v>648020</v>
      </c>
      <c r="S83" s="71"/>
    </row>
    <row r="84" spans="8:27">
      <c r="M84" s="71"/>
      <c r="N84" s="70">
        <f>$I$44+$I$45</f>
        <v>100000</v>
      </c>
      <c r="O84" s="71"/>
      <c r="P84" s="70">
        <f>$I$46+$I$47</f>
        <v>40000</v>
      </c>
      <c r="Q84" s="70">
        <f>$I$48+$I$49</f>
        <v>25000</v>
      </c>
      <c r="R84" s="71"/>
      <c r="S84" s="70">
        <f>$I$50</f>
        <v>60000</v>
      </c>
    </row>
    <row r="85" spans="8:27">
      <c r="M85" s="70"/>
      <c r="N85" s="71"/>
      <c r="O85" s="70">
        <f>-($F$4+$F$5)</f>
        <v>-977625</v>
      </c>
      <c r="P85" s="71"/>
      <c r="Q85" s="71"/>
      <c r="R85" s="70">
        <f>-$F$8</f>
        <v>-2000000</v>
      </c>
      <c r="S85" s="71"/>
    </row>
    <row r="86" spans="8:27">
      <c r="M86" s="70">
        <f>SUM(M82:M85)</f>
        <v>576250.29748307681</v>
      </c>
      <c r="N86" s="70">
        <f t="shared" ref="N86" si="30">SUM(N82:N85)</f>
        <v>224550.29748307675</v>
      </c>
      <c r="O86" s="70">
        <f t="shared" ref="O86" si="31">SUM(O82:O85)</f>
        <v>-401374.70251692319</v>
      </c>
      <c r="P86" s="70">
        <f t="shared" ref="P86" si="32">SUM(P82:P85)</f>
        <v>164550.29748307675</v>
      </c>
      <c r="Q86" s="70">
        <f t="shared" ref="Q86" si="33">SUM(Q82:Q85)</f>
        <v>149550.29748307675</v>
      </c>
      <c r="R86" s="70">
        <f t="shared" ref="R86" si="34">SUM(R82:R85)</f>
        <v>-1227429.7025169232</v>
      </c>
      <c r="S86" s="70">
        <f t="shared" ref="S86" si="35">SUM(S82:S85)</f>
        <v>91200</v>
      </c>
    </row>
    <row r="87" spans="8:27">
      <c r="M87" s="73">
        <f>M86</f>
        <v>576250.29748307681</v>
      </c>
      <c r="N87" s="73">
        <f>M86+N86</f>
        <v>800800.59496615361</v>
      </c>
      <c r="O87" s="73">
        <f>N87+O86</f>
        <v>399425.89244923042</v>
      </c>
      <c r="P87" s="73">
        <f t="shared" ref="P87" si="36">O87+P86</f>
        <v>563976.18993230723</v>
      </c>
      <c r="Q87" s="73">
        <f t="shared" ref="Q87" si="37">P87+Q86</f>
        <v>713526.48741538404</v>
      </c>
      <c r="R87" s="70">
        <f t="shared" ref="R87" si="38">Q87+R86</f>
        <v>-513903.21510153916</v>
      </c>
      <c r="S87" s="70">
        <f>R87+S86</f>
        <v>-422703.21510153916</v>
      </c>
      <c r="T87" s="4">
        <f>S87</f>
        <v>-422703.21510153916</v>
      </c>
      <c r="U87" s="4">
        <f t="shared" ref="U87:AA87" si="39">T87</f>
        <v>-422703.21510153916</v>
      </c>
      <c r="V87" s="4">
        <f t="shared" si="39"/>
        <v>-422703.21510153916</v>
      </c>
      <c r="W87" s="4">
        <f t="shared" si="39"/>
        <v>-422703.21510153916</v>
      </c>
      <c r="X87" s="4">
        <f t="shared" si="39"/>
        <v>-422703.21510153916</v>
      </c>
      <c r="Y87" s="4">
        <f t="shared" si="39"/>
        <v>-422703.21510153916</v>
      </c>
      <c r="Z87" s="4">
        <f t="shared" si="39"/>
        <v>-422703.21510153916</v>
      </c>
      <c r="AA87" s="4">
        <f t="shared" si="39"/>
        <v>-422703.21510153916</v>
      </c>
    </row>
    <row r="90" spans="8:27">
      <c r="O90" t="s">
        <v>87</v>
      </c>
      <c r="P90" s="67" t="s">
        <v>88</v>
      </c>
      <c r="Q90" s="67" t="s">
        <v>89</v>
      </c>
      <c r="R90" s="67" t="s">
        <v>90</v>
      </c>
      <c r="S90" s="67" t="s">
        <v>91</v>
      </c>
      <c r="T90" s="67" t="s">
        <v>92</v>
      </c>
      <c r="U90" s="67" t="s">
        <v>93</v>
      </c>
    </row>
    <row r="91" spans="8:27">
      <c r="O91" s="70">
        <f>$F$58/$F$54*15</f>
        <v>124550.29748307675</v>
      </c>
      <c r="P91" s="70">
        <f>O91</f>
        <v>124550.29748307675</v>
      </c>
      <c r="Q91" s="70">
        <f t="shared" ref="Q91:T91" si="40">P91</f>
        <v>124550.29748307675</v>
      </c>
      <c r="R91" s="70">
        <f t="shared" si="40"/>
        <v>124550.29748307675</v>
      </c>
      <c r="S91" s="70">
        <f t="shared" si="40"/>
        <v>124550.29748307675</v>
      </c>
      <c r="T91" s="70">
        <f t="shared" si="40"/>
        <v>124550.29748307675</v>
      </c>
      <c r="U91" s="70">
        <v>31200</v>
      </c>
    </row>
    <row r="92" spans="8:27">
      <c r="O92" s="70">
        <f>(500*$B$32)+(100*$B$33)</f>
        <v>451700</v>
      </c>
      <c r="P92" s="71"/>
      <c r="Q92" s="70">
        <f>(500*$B$32)+(100*$B$33)</f>
        <v>451700</v>
      </c>
      <c r="R92" s="71"/>
      <c r="S92" s="71"/>
      <c r="T92" s="70">
        <f>(800*$B$32)+(100*$B$33)</f>
        <v>648020</v>
      </c>
      <c r="U92" s="71"/>
    </row>
    <row r="93" spans="8:27">
      <c r="O93" s="71"/>
      <c r="P93" s="70">
        <f>$I$44+$I$45</f>
        <v>100000</v>
      </c>
      <c r="Q93" s="71"/>
      <c r="R93" s="70">
        <f>$I$46+$I$47</f>
        <v>40000</v>
      </c>
      <c r="S93" s="70">
        <f>$I$48+$I$49</f>
        <v>25000</v>
      </c>
      <c r="T93" s="71"/>
      <c r="U93" s="70">
        <f>$I$50</f>
        <v>60000</v>
      </c>
    </row>
    <row r="94" spans="8:27">
      <c r="O94" s="70"/>
      <c r="P94" s="71"/>
      <c r="Q94" s="70">
        <f>-($F$4+$F$5)</f>
        <v>-977625</v>
      </c>
      <c r="R94" s="71"/>
      <c r="S94" s="71"/>
      <c r="T94" s="70">
        <f>-$F$8</f>
        <v>-2000000</v>
      </c>
      <c r="U94" s="71"/>
    </row>
    <row r="95" spans="8:27">
      <c r="O95" s="70">
        <f>SUM(O91:O94)</f>
        <v>576250.29748307681</v>
      </c>
      <c r="P95" s="70">
        <f t="shared" ref="P95" si="41">SUM(P91:P94)</f>
        <v>224550.29748307675</v>
      </c>
      <c r="Q95" s="70">
        <f t="shared" ref="Q95" si="42">SUM(Q91:Q94)</f>
        <v>-401374.70251692319</v>
      </c>
      <c r="R95" s="70">
        <f t="shared" ref="R95" si="43">SUM(R91:R94)</f>
        <v>164550.29748307675</v>
      </c>
      <c r="S95" s="70">
        <f t="shared" ref="S95" si="44">SUM(S91:S94)</f>
        <v>149550.29748307675</v>
      </c>
      <c r="T95" s="70">
        <f t="shared" ref="T95" si="45">SUM(T91:T94)</f>
        <v>-1227429.7025169232</v>
      </c>
      <c r="U95" s="70">
        <f t="shared" ref="U95" si="46">SUM(U91:U94)</f>
        <v>91200</v>
      </c>
    </row>
    <row r="96" spans="8:27">
      <c r="O96" s="73">
        <f>O95</f>
        <v>576250.29748307681</v>
      </c>
      <c r="P96" s="73">
        <f>O95+P95</f>
        <v>800800.59496615361</v>
      </c>
      <c r="Q96" s="73">
        <f>P96+Q95</f>
        <v>399425.89244923042</v>
      </c>
      <c r="R96" s="73">
        <f t="shared" ref="R96" si="47">Q96+R95</f>
        <v>563976.18993230723</v>
      </c>
      <c r="S96" s="73">
        <f t="shared" ref="S96" si="48">R96+S95</f>
        <v>713526.48741538404</v>
      </c>
      <c r="T96" s="70">
        <f t="shared" ref="T96" si="49">S96+T95</f>
        <v>-513903.21510153916</v>
      </c>
      <c r="U96" s="70">
        <f>T96+U95</f>
        <v>-422703.21510153916</v>
      </c>
      <c r="V96" s="4">
        <f>U96</f>
        <v>-422703.21510153916</v>
      </c>
      <c r="W96" s="4">
        <f>V96</f>
        <v>-422703.21510153916</v>
      </c>
      <c r="X96" s="4">
        <f t="shared" ref="X96:AA96" si="50">W96</f>
        <v>-422703.21510153916</v>
      </c>
      <c r="Y96" s="4">
        <f t="shared" si="50"/>
        <v>-422703.21510153916</v>
      </c>
      <c r="Z96" s="4">
        <f t="shared" si="50"/>
        <v>-422703.21510153916</v>
      </c>
      <c r="AA96" s="4">
        <f t="shared" si="50"/>
        <v>-422703.21510153916</v>
      </c>
    </row>
    <row r="99" spans="17:27">
      <c r="Q99" t="s">
        <v>87</v>
      </c>
      <c r="R99" s="67" t="s">
        <v>88</v>
      </c>
      <c r="S99" s="67" t="s">
        <v>89</v>
      </c>
      <c r="T99" s="67" t="s">
        <v>90</v>
      </c>
      <c r="U99" s="67" t="s">
        <v>91</v>
      </c>
      <c r="V99" s="67" t="s">
        <v>92</v>
      </c>
      <c r="W99" s="67" t="s">
        <v>93</v>
      </c>
    </row>
    <row r="100" spans="17:27">
      <c r="Q100" s="70">
        <f>$F$58/$F$54*15</f>
        <v>124550.29748307675</v>
      </c>
      <c r="R100" s="70">
        <f>Q100</f>
        <v>124550.29748307675</v>
      </c>
      <c r="S100" s="70">
        <f t="shared" ref="S100:V100" si="51">R100</f>
        <v>124550.29748307675</v>
      </c>
      <c r="T100" s="70">
        <f t="shared" si="51"/>
        <v>124550.29748307675</v>
      </c>
      <c r="U100" s="70">
        <f t="shared" si="51"/>
        <v>124550.29748307675</v>
      </c>
      <c r="V100" s="70">
        <f t="shared" si="51"/>
        <v>124550.29748307675</v>
      </c>
      <c r="W100" s="70">
        <v>31200</v>
      </c>
    </row>
    <row r="101" spans="17:27">
      <c r="Q101" s="70">
        <f>(500*$B$32)+(100*$B$33)</f>
        <v>451700</v>
      </c>
      <c r="R101" s="71"/>
      <c r="S101" s="70">
        <f>(500*$B$32)+(100*$B$33)</f>
        <v>451700</v>
      </c>
      <c r="T101" s="71"/>
      <c r="U101" s="71"/>
      <c r="V101" s="70">
        <f>(800*$B$32)+(100*$B$33)</f>
        <v>648020</v>
      </c>
      <c r="W101" s="71"/>
    </row>
    <row r="102" spans="17:27">
      <c r="Q102" s="71"/>
      <c r="R102" s="70">
        <f>$I$44+$I$45</f>
        <v>100000</v>
      </c>
      <c r="S102" s="71"/>
      <c r="T102" s="70">
        <f>$I$46+$I$47</f>
        <v>40000</v>
      </c>
      <c r="U102" s="70">
        <f>$I$48+$I$49</f>
        <v>25000</v>
      </c>
      <c r="V102" s="71"/>
      <c r="W102" s="70">
        <f>$I$50</f>
        <v>60000</v>
      </c>
    </row>
    <row r="103" spans="17:27">
      <c r="Q103" s="70"/>
      <c r="R103" s="71"/>
      <c r="S103" s="70">
        <f>-($F$4+$F$5)</f>
        <v>-977625</v>
      </c>
      <c r="T103" s="71"/>
      <c r="U103" s="71"/>
      <c r="V103" s="70">
        <f>-$F$8</f>
        <v>-2000000</v>
      </c>
      <c r="W103" s="71"/>
    </row>
    <row r="104" spans="17:27">
      <c r="Q104" s="70">
        <f>SUM(Q100:Q103)</f>
        <v>576250.29748307681</v>
      </c>
      <c r="R104" s="70">
        <f t="shared" ref="R104" si="52">SUM(R100:R103)</f>
        <v>224550.29748307675</v>
      </c>
      <c r="S104" s="70">
        <f t="shared" ref="S104" si="53">SUM(S100:S103)</f>
        <v>-401374.70251692319</v>
      </c>
      <c r="T104" s="70">
        <f t="shared" ref="T104" si="54">SUM(T100:T103)</f>
        <v>164550.29748307675</v>
      </c>
      <c r="U104" s="70">
        <f t="shared" ref="U104" si="55">SUM(U100:U103)</f>
        <v>149550.29748307675</v>
      </c>
      <c r="V104" s="70">
        <f t="shared" ref="V104" si="56">SUM(V100:V103)</f>
        <v>-1227429.7025169232</v>
      </c>
      <c r="W104" s="70">
        <f t="shared" ref="W104" si="57">SUM(W100:W103)</f>
        <v>91200</v>
      </c>
    </row>
    <row r="105" spans="17:27">
      <c r="Q105" s="73">
        <f>Q104</f>
        <v>576250.29748307681</v>
      </c>
      <c r="R105" s="73">
        <f>Q104+R104</f>
        <v>800800.59496615361</v>
      </c>
      <c r="S105" s="73">
        <f>R105+S104</f>
        <v>399425.89244923042</v>
      </c>
      <c r="T105" s="73">
        <f t="shared" ref="T105" si="58">S105+T104</f>
        <v>563976.18993230723</v>
      </c>
      <c r="U105" s="73">
        <f t="shared" ref="U105" si="59">T105+U104</f>
        <v>713526.48741538404</v>
      </c>
      <c r="V105" s="70">
        <f t="shared" ref="V105" si="60">U105+V104</f>
        <v>-513903.21510153916</v>
      </c>
      <c r="W105" s="70">
        <f>V105+W104</f>
        <v>-422703.21510153916</v>
      </c>
      <c r="X105" s="4">
        <f>W105</f>
        <v>-422703.21510153916</v>
      </c>
      <c r="Y105" s="4">
        <f t="shared" ref="Y105:AA105" si="61">X105</f>
        <v>-422703.21510153916</v>
      </c>
      <c r="Z105" s="4">
        <f t="shared" si="61"/>
        <v>-422703.21510153916</v>
      </c>
      <c r="AA105" s="4">
        <f t="shared" si="61"/>
        <v>-422703.21510153916</v>
      </c>
    </row>
    <row r="107" spans="17:27">
      <c r="S107" t="s">
        <v>87</v>
      </c>
      <c r="T107" s="67" t="s">
        <v>88</v>
      </c>
      <c r="U107" s="67" t="s">
        <v>89</v>
      </c>
      <c r="V107" s="67" t="s">
        <v>90</v>
      </c>
      <c r="W107" s="67" t="s">
        <v>91</v>
      </c>
      <c r="X107" s="67" t="s">
        <v>92</v>
      </c>
      <c r="Y107" s="67" t="s">
        <v>93</v>
      </c>
    </row>
    <row r="108" spans="17:27">
      <c r="S108" s="70">
        <f>$F$58/$F$54*15</f>
        <v>124550.29748307675</v>
      </c>
      <c r="T108" s="70">
        <f>S108</f>
        <v>124550.29748307675</v>
      </c>
      <c r="U108" s="70">
        <f t="shared" ref="U108:X108" si="62">T108</f>
        <v>124550.29748307675</v>
      </c>
      <c r="V108" s="70">
        <f t="shared" si="62"/>
        <v>124550.29748307675</v>
      </c>
      <c r="W108" s="70">
        <f t="shared" si="62"/>
        <v>124550.29748307675</v>
      </c>
      <c r="X108" s="70">
        <f t="shared" si="62"/>
        <v>124550.29748307675</v>
      </c>
      <c r="Y108" s="70">
        <v>31200</v>
      </c>
    </row>
    <row r="109" spans="17:27">
      <c r="S109" s="70">
        <f>(500*$B$32)+(100*$B$33)</f>
        <v>451700</v>
      </c>
      <c r="T109" s="71"/>
      <c r="U109" s="70">
        <f>(500*$B$32)+(100*$B$33)</f>
        <v>451700</v>
      </c>
      <c r="V109" s="71"/>
      <c r="W109" s="71"/>
      <c r="X109" s="70">
        <f>(800*$B$32)+(100*$B$33)</f>
        <v>648020</v>
      </c>
      <c r="Y109" s="71"/>
    </row>
    <row r="110" spans="17:27">
      <c r="S110" s="71"/>
      <c r="T110" s="70">
        <f>$I$44+$I$45</f>
        <v>100000</v>
      </c>
      <c r="U110" s="71"/>
      <c r="V110" s="70">
        <f>$I$46+$I$47</f>
        <v>40000</v>
      </c>
      <c r="W110" s="70">
        <f>$I$48+$I$49</f>
        <v>25000</v>
      </c>
      <c r="X110" s="71"/>
      <c r="Y110" s="70">
        <f>$I$50</f>
        <v>60000</v>
      </c>
    </row>
    <row r="111" spans="17:27">
      <c r="S111" s="70"/>
      <c r="T111" s="71"/>
      <c r="U111" s="70">
        <f>-($F$4+$F$5)</f>
        <v>-977625</v>
      </c>
      <c r="V111" s="71"/>
      <c r="W111" s="71"/>
      <c r="X111" s="70">
        <f>-$F$8</f>
        <v>-2000000</v>
      </c>
      <c r="Y111" s="71"/>
    </row>
    <row r="112" spans="17:27">
      <c r="S112" s="70">
        <f>SUM(S108:S111)</f>
        <v>576250.29748307681</v>
      </c>
      <c r="T112" s="70">
        <f t="shared" ref="T112" si="63">SUM(T108:T111)</f>
        <v>224550.29748307675</v>
      </c>
      <c r="U112" s="70">
        <f t="shared" ref="U112" si="64">SUM(U108:U111)</f>
        <v>-401374.70251692319</v>
      </c>
      <c r="V112" s="70">
        <f t="shared" ref="V112" si="65">SUM(V108:V111)</f>
        <v>164550.29748307675</v>
      </c>
      <c r="W112" s="70">
        <f t="shared" ref="W112" si="66">SUM(W108:W111)</f>
        <v>149550.29748307675</v>
      </c>
      <c r="X112" s="70">
        <f t="shared" ref="X112" si="67">SUM(X108:X111)</f>
        <v>-1227429.7025169232</v>
      </c>
      <c r="Y112" s="70">
        <f t="shared" ref="Y112" si="68">SUM(Y108:Y111)</f>
        <v>91200</v>
      </c>
    </row>
    <row r="113" spans="19:27">
      <c r="S113" s="73">
        <f>S112</f>
        <v>576250.29748307681</v>
      </c>
      <c r="T113" s="73">
        <f>S112+T112</f>
        <v>800800.59496615361</v>
      </c>
      <c r="U113" s="73">
        <f>T113+U112</f>
        <v>399425.89244923042</v>
      </c>
      <c r="V113" s="73">
        <f t="shared" ref="V113" si="69">U113+V112</f>
        <v>563976.18993230723</v>
      </c>
      <c r="W113" s="73">
        <f t="shared" ref="W113" si="70">V113+W112</f>
        <v>713526.48741538404</v>
      </c>
      <c r="X113" s="70">
        <f t="shared" ref="X113" si="71">W113+X112</f>
        <v>-513903.21510153916</v>
      </c>
      <c r="Y113" s="70">
        <f>X113+Y112</f>
        <v>-422703.21510153916</v>
      </c>
      <c r="Z113" s="4">
        <f>Y113</f>
        <v>-422703.21510153916</v>
      </c>
      <c r="AA113" s="4">
        <f>Z113</f>
        <v>-422703.21510153916</v>
      </c>
    </row>
    <row r="115" spans="19:27">
      <c r="U115" t="s">
        <v>87</v>
      </c>
      <c r="V115" s="67" t="s">
        <v>88</v>
      </c>
      <c r="W115" s="67" t="s">
        <v>89</v>
      </c>
      <c r="X115" s="67" t="s">
        <v>90</v>
      </c>
      <c r="Y115" s="67" t="s">
        <v>91</v>
      </c>
      <c r="Z115" s="67" t="s">
        <v>92</v>
      </c>
      <c r="AA115" s="67" t="s">
        <v>93</v>
      </c>
    </row>
    <row r="116" spans="19:27">
      <c r="U116" s="70">
        <f>$F$58/$F$54*15</f>
        <v>124550.29748307675</v>
      </c>
      <c r="V116" s="70">
        <f>U116</f>
        <v>124550.29748307675</v>
      </c>
      <c r="W116" s="70">
        <f t="shared" ref="W116:Z116" si="72">V116</f>
        <v>124550.29748307675</v>
      </c>
      <c r="X116" s="70">
        <f t="shared" si="72"/>
        <v>124550.29748307675</v>
      </c>
      <c r="Y116" s="70">
        <f t="shared" si="72"/>
        <v>124550.29748307675</v>
      </c>
      <c r="Z116" s="70">
        <f t="shared" si="72"/>
        <v>124550.29748307675</v>
      </c>
      <c r="AA116" s="70">
        <v>31200</v>
      </c>
    </row>
    <row r="117" spans="19:27">
      <c r="U117" s="70">
        <f>(500*$B$32)+(100*$B$33)</f>
        <v>451700</v>
      </c>
      <c r="V117" s="71"/>
      <c r="W117" s="70">
        <f>(500*$B$32)+(100*$B$33)</f>
        <v>451700</v>
      </c>
      <c r="X117" s="71"/>
      <c r="Y117" s="71"/>
      <c r="Z117" s="70">
        <f>(800*$B$32)+(100*$B$33)</f>
        <v>648020</v>
      </c>
      <c r="AA117" s="71"/>
    </row>
    <row r="118" spans="19:27">
      <c r="U118" s="71"/>
      <c r="V118" s="70">
        <f>$I$44+$I$45</f>
        <v>100000</v>
      </c>
      <c r="W118" s="71"/>
      <c r="X118" s="70">
        <f>$I$46+$I$47</f>
        <v>40000</v>
      </c>
      <c r="Y118" s="70">
        <f>$I$48+$I$49</f>
        <v>25000</v>
      </c>
      <c r="Z118" s="71"/>
      <c r="AA118" s="70">
        <f>$I$50</f>
        <v>60000</v>
      </c>
    </row>
    <row r="119" spans="19:27">
      <c r="U119" s="70"/>
      <c r="V119" s="71"/>
      <c r="W119" s="70">
        <f>-($F$4+$F$5)</f>
        <v>-977625</v>
      </c>
      <c r="X119" s="71"/>
      <c r="Y119" s="71"/>
      <c r="Z119" s="70">
        <f>-$F$8</f>
        <v>-2000000</v>
      </c>
      <c r="AA119" s="71"/>
    </row>
    <row r="120" spans="19:27">
      <c r="U120" s="70">
        <f>SUM(U116:U119)</f>
        <v>576250.29748307681</v>
      </c>
      <c r="V120" s="70">
        <f t="shared" ref="V120" si="73">SUM(V116:V119)</f>
        <v>224550.29748307675</v>
      </c>
      <c r="W120" s="70">
        <f t="shared" ref="W120" si="74">SUM(W116:W119)</f>
        <v>-401374.70251692319</v>
      </c>
      <c r="X120" s="70">
        <f t="shared" ref="X120" si="75">SUM(X116:X119)</f>
        <v>164550.29748307675</v>
      </c>
      <c r="Y120" s="70">
        <f t="shared" ref="Y120" si="76">SUM(Y116:Y119)</f>
        <v>149550.29748307675</v>
      </c>
      <c r="Z120" s="70">
        <f t="shared" ref="Z120" si="77">SUM(Z116:Z119)</f>
        <v>-1227429.7025169232</v>
      </c>
      <c r="AA120" s="70">
        <f t="shared" ref="AA120" si="78">SUM(AA116:AA119)</f>
        <v>91200</v>
      </c>
    </row>
    <row r="121" spans="19:27">
      <c r="U121" s="73">
        <f>U120</f>
        <v>576250.29748307681</v>
      </c>
      <c r="V121" s="73">
        <f>U120+V120</f>
        <v>800800.59496615361</v>
      </c>
      <c r="W121" s="73">
        <f>V121+W120</f>
        <v>399425.89244923042</v>
      </c>
      <c r="X121" s="73">
        <f t="shared" ref="X121" si="79">W121+X120</f>
        <v>563976.18993230723</v>
      </c>
      <c r="Y121" s="73">
        <f t="shared" ref="Y121" si="80">X121+Y120</f>
        <v>713526.48741538404</v>
      </c>
      <c r="Z121" s="70">
        <f t="shared" ref="Z121" si="81">Y121+Z120</f>
        <v>-513903.21510153916</v>
      </c>
      <c r="AA121" s="70">
        <f>Z121+AA120</f>
        <v>-422703.21510153916</v>
      </c>
    </row>
    <row r="129" spans="7:27">
      <c r="G129" s="4">
        <f>G63+G71+G79+G87+G96+G105+G113+G121</f>
        <v>576250.29748307681</v>
      </c>
      <c r="H129" s="4">
        <f t="shared" ref="H129:AA129" si="82">H63+H71+H79+H87+H96+H105+H113+H121</f>
        <v>800800.59496615361</v>
      </c>
      <c r="I129" s="4">
        <f t="shared" si="82"/>
        <v>975676.18993230723</v>
      </c>
      <c r="J129" s="4">
        <f t="shared" si="82"/>
        <v>1364776.7848984608</v>
      </c>
      <c r="K129" s="4">
        <f t="shared" si="82"/>
        <v>1689202.6773476913</v>
      </c>
      <c r="L129" s="4">
        <f t="shared" si="82"/>
        <v>850873.56979692169</v>
      </c>
      <c r="M129" s="4">
        <f t="shared" si="82"/>
        <v>1266499.4622461521</v>
      </c>
      <c r="N129" s="4">
        <f t="shared" si="82"/>
        <v>428170.35469538253</v>
      </c>
      <c r="O129" s="4">
        <f t="shared" si="82"/>
        <v>843796.24714461295</v>
      </c>
      <c r="P129" s="4">
        <f t="shared" si="82"/>
        <v>5467.1395938433707</v>
      </c>
      <c r="Q129" s="4">
        <f t="shared" si="82"/>
        <v>421093.03204307379</v>
      </c>
      <c r="R129" s="4">
        <f t="shared" si="82"/>
        <v>-417236.07550769579</v>
      </c>
      <c r="S129" s="4">
        <f t="shared" si="82"/>
        <v>-1610.1830584653653</v>
      </c>
      <c r="T129" s="4">
        <f t="shared" si="82"/>
        <v>-839939.29060923494</v>
      </c>
      <c r="U129" s="4">
        <f t="shared" si="82"/>
        <v>-424313.39816000452</v>
      </c>
      <c r="V129" s="4">
        <f t="shared" si="82"/>
        <v>-1262642.5057107741</v>
      </c>
      <c r="W129" s="4">
        <f t="shared" si="82"/>
        <v>-1423266.9107446205</v>
      </c>
      <c r="X129" s="4">
        <f t="shared" si="82"/>
        <v>-2486146.3157784669</v>
      </c>
      <c r="Y129" s="4">
        <f t="shared" si="82"/>
        <v>-2245396.0182953901</v>
      </c>
      <c r="Z129" s="4">
        <f t="shared" si="82"/>
        <v>-3472825.7208123133</v>
      </c>
      <c r="AA129" s="4">
        <f t="shared" si="82"/>
        <v>-3381625.7208123133</v>
      </c>
    </row>
  </sheetData>
  <mergeCells count="28">
    <mergeCell ref="F54:H54"/>
    <mergeCell ref="A53:C53"/>
    <mergeCell ref="A43:B43"/>
    <mergeCell ref="A44:B44"/>
    <mergeCell ref="A45:B45"/>
    <mergeCell ref="A46:B46"/>
    <mergeCell ref="A47:B47"/>
    <mergeCell ref="A49:B49"/>
    <mergeCell ref="A50:B50"/>
    <mergeCell ref="A51:B51"/>
    <mergeCell ref="D15:E15"/>
    <mergeCell ref="D13:E13"/>
    <mergeCell ref="D11:E11"/>
    <mergeCell ref="D7:E7"/>
    <mergeCell ref="D30:F30"/>
    <mergeCell ref="A12:C12"/>
    <mergeCell ref="A57:C57"/>
    <mergeCell ref="A2:C2"/>
    <mergeCell ref="A41:C41"/>
    <mergeCell ref="A4:B4"/>
    <mergeCell ref="A29:C29"/>
    <mergeCell ref="A21:C21"/>
    <mergeCell ref="A14:C14"/>
    <mergeCell ref="A7:C7"/>
    <mergeCell ref="A11:C11"/>
    <mergeCell ref="A13:C13"/>
    <mergeCell ref="A15:C15"/>
    <mergeCell ref="A8:C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63"/>
  <sheetViews>
    <sheetView topLeftCell="A32" workbookViewId="0">
      <selection activeCell="A10" sqref="A10"/>
    </sheetView>
  </sheetViews>
  <sheetFormatPr defaultColWidth="11.42578125" defaultRowHeight="14.45"/>
  <cols>
    <col min="4" max="4" width="11.5703125" customWidth="1"/>
    <col min="5" max="5" width="13.7109375" customWidth="1"/>
    <col min="6" max="6" width="13.7109375" bestFit="1" customWidth="1"/>
    <col min="8" max="8" width="13.7109375" customWidth="1"/>
    <col min="15" max="23" width="4.7109375" customWidth="1"/>
  </cols>
  <sheetData>
    <row r="2" spans="1:6" ht="15" thickBot="1">
      <c r="A2" s="112" t="s">
        <v>0</v>
      </c>
      <c r="B2" s="112"/>
      <c r="C2" s="112"/>
    </row>
    <row r="3" spans="1:6">
      <c r="A3" s="31" t="s">
        <v>1</v>
      </c>
      <c r="B3" s="7"/>
      <c r="C3" s="7"/>
      <c r="D3" s="32" t="s">
        <v>2</v>
      </c>
      <c r="E3" s="32" t="s">
        <v>3</v>
      </c>
      <c r="F3" s="8" t="s">
        <v>4</v>
      </c>
    </row>
    <row r="4" spans="1:6">
      <c r="A4" s="106" t="s">
        <v>67</v>
      </c>
      <c r="B4" s="107"/>
      <c r="C4" s="45" t="s">
        <v>97</v>
      </c>
      <c r="D4" s="9">
        <v>4000</v>
      </c>
      <c r="E4" s="10">
        <v>21</v>
      </c>
      <c r="F4" s="11">
        <f>D4*E4</f>
        <v>84000</v>
      </c>
    </row>
    <row r="5" spans="1:6">
      <c r="A5" s="98"/>
      <c r="B5" s="99"/>
      <c r="C5" s="99" t="s">
        <v>23</v>
      </c>
      <c r="D5" s="9">
        <v>45000</v>
      </c>
      <c r="E5" s="10">
        <f>E4</f>
        <v>21</v>
      </c>
      <c r="F5" s="11">
        <f t="shared" ref="F5:F6" si="0">D5*E5</f>
        <v>945000</v>
      </c>
    </row>
    <row r="6" spans="1:6">
      <c r="A6" s="98"/>
      <c r="B6" s="99"/>
      <c r="C6" s="99"/>
      <c r="D6" s="9"/>
      <c r="E6" s="10">
        <f>E5</f>
        <v>21</v>
      </c>
      <c r="F6" s="11">
        <f t="shared" si="0"/>
        <v>0</v>
      </c>
    </row>
    <row r="7" spans="1:6">
      <c r="A7" s="100" t="s">
        <v>7</v>
      </c>
      <c r="B7" s="101"/>
      <c r="C7" s="101"/>
      <c r="D7" s="102">
        <v>1.2500000000000001E-2</v>
      </c>
      <c r="E7" s="102"/>
      <c r="F7" s="11">
        <f>(SUM(F4:F6))*-D7</f>
        <v>-12862.5</v>
      </c>
    </row>
    <row r="8" spans="1:6">
      <c r="A8" s="106"/>
      <c r="B8" s="107"/>
      <c r="C8" s="107"/>
      <c r="D8" s="9"/>
      <c r="E8" s="10"/>
      <c r="F8" s="11">
        <f>D8*E8</f>
        <v>0</v>
      </c>
    </row>
    <row r="9" spans="1:6">
      <c r="A9" s="98"/>
      <c r="B9" s="99"/>
      <c r="C9" s="99"/>
      <c r="D9" s="9"/>
      <c r="E9" s="10"/>
      <c r="F9" s="11">
        <f t="shared" ref="F9:F10" si="1">D9*E9</f>
        <v>0</v>
      </c>
    </row>
    <row r="10" spans="1:6">
      <c r="A10" s="98"/>
      <c r="B10" s="99"/>
      <c r="C10" s="99"/>
      <c r="D10" s="9"/>
      <c r="E10" s="10"/>
      <c r="F10" s="11">
        <f t="shared" si="1"/>
        <v>0</v>
      </c>
    </row>
    <row r="11" spans="1:6">
      <c r="A11" s="100" t="s">
        <v>7</v>
      </c>
      <c r="B11" s="101"/>
      <c r="C11" s="101"/>
      <c r="D11" s="102">
        <v>1.2500000000000001E-2</v>
      </c>
      <c r="E11" s="102"/>
      <c r="F11" s="11">
        <f>(SUM(F8:F10))*-D11</f>
        <v>0</v>
      </c>
    </row>
    <row r="12" spans="1:6">
      <c r="A12" s="106" t="s">
        <v>67</v>
      </c>
      <c r="B12" s="107"/>
      <c r="C12" s="107"/>
      <c r="D12" s="9">
        <v>49500</v>
      </c>
      <c r="E12" s="10"/>
      <c r="F12" s="11">
        <f>D12*E12</f>
        <v>0</v>
      </c>
    </row>
    <row r="13" spans="1:6">
      <c r="A13" s="100" t="s">
        <v>7</v>
      </c>
      <c r="B13" s="101"/>
      <c r="C13" s="101"/>
      <c r="D13" s="102">
        <v>1.2500000000000001E-2</v>
      </c>
      <c r="E13" s="102"/>
      <c r="F13" s="11">
        <f>F12*-D13</f>
        <v>0</v>
      </c>
    </row>
    <row r="14" spans="1:6">
      <c r="A14" s="106" t="s">
        <v>68</v>
      </c>
      <c r="B14" s="107"/>
      <c r="C14" s="107"/>
      <c r="D14" s="9">
        <v>49500</v>
      </c>
      <c r="E14" s="10"/>
      <c r="F14" s="11">
        <f>D14*E14</f>
        <v>0</v>
      </c>
    </row>
    <row r="15" spans="1:6">
      <c r="A15" s="100" t="s">
        <v>7</v>
      </c>
      <c r="B15" s="101"/>
      <c r="C15" s="101"/>
      <c r="D15" s="102">
        <v>1.2500000000000001E-2</v>
      </c>
      <c r="E15" s="102"/>
      <c r="F15" s="11">
        <f>F14*-D15</f>
        <v>0</v>
      </c>
    </row>
    <row r="16" spans="1:6">
      <c r="A16" s="12" t="s">
        <v>8</v>
      </c>
      <c r="B16" s="5"/>
      <c r="C16" s="5"/>
      <c r="D16" s="5"/>
      <c r="E16" s="5"/>
      <c r="F16" s="13">
        <f>F4+F8+F12+F14</f>
        <v>84000</v>
      </c>
    </row>
    <row r="17" spans="1:24">
      <c r="A17" s="12" t="s">
        <v>9</v>
      </c>
      <c r="B17" s="5"/>
      <c r="C17" s="5"/>
      <c r="D17" s="5"/>
      <c r="E17" s="5"/>
      <c r="F17" s="13">
        <f>F7+F11+F13+F15</f>
        <v>-12862.5</v>
      </c>
    </row>
    <row r="18" spans="1:24" ht="15" thickBot="1">
      <c r="A18" s="14" t="s">
        <v>10</v>
      </c>
      <c r="B18" s="15"/>
      <c r="C18" s="15"/>
      <c r="D18" s="15"/>
      <c r="E18" s="15"/>
      <c r="F18" s="16">
        <f>F16+F17</f>
        <v>71137.5</v>
      </c>
    </row>
    <row r="19" spans="1:24">
      <c r="F19" s="4"/>
    </row>
    <row r="20" spans="1:24">
      <c r="F20" s="4"/>
    </row>
    <row r="21" spans="1:24" ht="15" thickBot="1">
      <c r="A21" s="112" t="s">
        <v>26</v>
      </c>
      <c r="B21" s="112"/>
      <c r="C21" s="112"/>
    </row>
    <row r="22" spans="1:24">
      <c r="A22" s="6"/>
      <c r="B22" s="7"/>
      <c r="C22" s="32" t="s">
        <v>27</v>
      </c>
      <c r="D22" s="7" t="s">
        <v>28</v>
      </c>
      <c r="E22" s="7" t="s">
        <v>29</v>
      </c>
      <c r="F22" s="8" t="s">
        <v>30</v>
      </c>
    </row>
    <row r="23" spans="1:24">
      <c r="A23" s="19" t="s">
        <v>31</v>
      </c>
      <c r="C23" s="10">
        <v>9000</v>
      </c>
      <c r="D23" s="18">
        <v>3.7499999999999999E-2</v>
      </c>
      <c r="E23" s="17">
        <f>C23*(1-D23)</f>
        <v>8662.5</v>
      </c>
      <c r="F23" s="20">
        <f>E23*F54</f>
        <v>741129.50292397663</v>
      </c>
    </row>
    <row r="24" spans="1:24">
      <c r="A24" s="33" t="s">
        <v>32</v>
      </c>
      <c r="F24" s="23">
        <v>5000</v>
      </c>
    </row>
    <row r="25" spans="1:24">
      <c r="A25" s="33" t="s">
        <v>33</v>
      </c>
      <c r="F25" s="23">
        <v>7000</v>
      </c>
    </row>
    <row r="26" spans="1:24" ht="15" thickBot="1">
      <c r="A26" s="21" t="s">
        <v>34</v>
      </c>
      <c r="B26" s="22"/>
      <c r="C26" s="22"/>
      <c r="D26" s="22"/>
      <c r="E26" s="22"/>
      <c r="F26" s="35">
        <f>SUM(F23:F25)</f>
        <v>753129.50292397663</v>
      </c>
    </row>
    <row r="27" spans="1:24">
      <c r="F27" s="42"/>
    </row>
    <row r="28" spans="1:24">
      <c r="F28" s="42"/>
    </row>
    <row r="29" spans="1:24" ht="15" thickBot="1">
      <c r="A29" s="112" t="s">
        <v>35</v>
      </c>
      <c r="B29" s="112"/>
      <c r="C29" s="112"/>
    </row>
    <row r="30" spans="1:24">
      <c r="A30" s="6"/>
      <c r="B30" s="7"/>
      <c r="C30" s="7"/>
      <c r="D30" s="113" t="s">
        <v>36</v>
      </c>
      <c r="E30" s="113"/>
      <c r="F30" s="113"/>
      <c r="G30" s="7"/>
      <c r="H30" s="8"/>
      <c r="N30" s="2"/>
      <c r="O30" s="2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 s="19" t="s">
        <v>37</v>
      </c>
      <c r="D31" s="34" t="s">
        <v>38</v>
      </c>
      <c r="E31" s="34" t="s">
        <v>39</v>
      </c>
      <c r="F31" s="34" t="s">
        <v>40</v>
      </c>
      <c r="H31" s="36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7" t="s">
        <v>41</v>
      </c>
      <c r="B32" s="26">
        <v>654.4</v>
      </c>
      <c r="C32" s="24" t="s">
        <v>42</v>
      </c>
      <c r="D32" s="27">
        <v>25</v>
      </c>
      <c r="E32" s="27">
        <v>1</v>
      </c>
      <c r="F32" s="27">
        <v>1</v>
      </c>
      <c r="H32" s="36"/>
      <c r="N32" s="2"/>
      <c r="O32" s="2"/>
      <c r="P32" s="3"/>
      <c r="Q32" s="3"/>
      <c r="R32" s="3"/>
      <c r="S32" s="3"/>
      <c r="T32" s="3"/>
      <c r="U32" s="3"/>
      <c r="V32" s="3"/>
      <c r="W32" s="3"/>
      <c r="X32" s="3"/>
    </row>
    <row r="33" spans="1:24">
      <c r="A33" s="37" t="s">
        <v>43</v>
      </c>
      <c r="B33" s="26">
        <v>1245</v>
      </c>
      <c r="C33" s="24" t="s">
        <v>42</v>
      </c>
      <c r="D33" s="27">
        <v>0.5</v>
      </c>
      <c r="E33" s="27">
        <v>2</v>
      </c>
      <c r="F33" s="27">
        <v>0.5</v>
      </c>
      <c r="H33" s="36"/>
      <c r="N33" s="2"/>
      <c r="O33" s="2"/>
      <c r="P33" s="3"/>
      <c r="Q33" s="3"/>
      <c r="R33" s="3"/>
      <c r="S33" s="3"/>
      <c r="T33" s="3"/>
      <c r="U33" s="3"/>
      <c r="V33" s="3"/>
      <c r="W33" s="3"/>
      <c r="X33" s="3"/>
    </row>
    <row r="34" spans="1:24">
      <c r="A34" s="19"/>
      <c r="H34" s="36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7" t="s">
        <v>44</v>
      </c>
      <c r="B35" s="28">
        <v>13.5</v>
      </c>
      <c r="C35" s="24" t="s">
        <v>45</v>
      </c>
      <c r="D35" s="24" t="s">
        <v>46</v>
      </c>
      <c r="E35" s="24" t="s">
        <v>47</v>
      </c>
      <c r="F35" s="24" t="s">
        <v>48</v>
      </c>
      <c r="G35" s="24" t="s">
        <v>49</v>
      </c>
      <c r="H35" s="38" t="s">
        <v>50</v>
      </c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7" t="s">
        <v>51</v>
      </c>
      <c r="B36" s="29">
        <v>0.05</v>
      </c>
      <c r="C36" s="24"/>
      <c r="D36" s="30" t="s">
        <v>41</v>
      </c>
      <c r="E36" s="30">
        <f>B32*D32*F53</f>
        <v>1036505.3931124107</v>
      </c>
      <c r="F36" s="30">
        <f>B32*E32*H53</f>
        <v>9619.6799999999985</v>
      </c>
      <c r="G36" s="30">
        <f>B32*F32*G53</f>
        <v>4908</v>
      </c>
      <c r="H36" s="39">
        <f>SUM(E36:G36)</f>
        <v>1051033.0731124107</v>
      </c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40" t="s">
        <v>52</v>
      </c>
      <c r="B37" s="24">
        <f>B35*(1-B36)</f>
        <v>12.824999999999999</v>
      </c>
      <c r="C37" s="24" t="s">
        <v>45</v>
      </c>
      <c r="D37" s="24" t="s">
        <v>43</v>
      </c>
      <c r="E37" s="30">
        <f>B33*D33*F53</f>
        <v>39439.15692007797</v>
      </c>
      <c r="F37" s="30">
        <f>B33*E33*H53</f>
        <v>36603</v>
      </c>
      <c r="G37" s="30">
        <f>B33*F33*G53</f>
        <v>4668.75</v>
      </c>
      <c r="H37" s="39">
        <f>SUM(E37:G37)</f>
        <v>80710.906920077978</v>
      </c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</row>
    <row r="38" spans="1:24" ht="15" thickBot="1">
      <c r="A38" s="14" t="s">
        <v>53</v>
      </c>
      <c r="B38" s="15"/>
      <c r="C38" s="15"/>
      <c r="D38" s="15"/>
      <c r="E38" s="15"/>
      <c r="F38" s="15"/>
      <c r="G38" s="15"/>
      <c r="H38" s="41">
        <f>SUM(H36:H37)</f>
        <v>1131743.9800324887</v>
      </c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</row>
    <row r="39" spans="1:24"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</row>
    <row r="41" spans="1:24" ht="15" thickBot="1">
      <c r="A41" s="114" t="s">
        <v>11</v>
      </c>
      <c r="B41" s="114"/>
      <c r="C41" s="114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6" t="s">
        <v>12</v>
      </c>
      <c r="B42" s="7"/>
      <c r="C42" s="7" t="s">
        <v>13</v>
      </c>
      <c r="D42" s="7" t="s">
        <v>14</v>
      </c>
      <c r="E42" s="50" t="s">
        <v>15</v>
      </c>
      <c r="F42" s="50" t="s">
        <v>16</v>
      </c>
      <c r="G42" s="7" t="s">
        <v>62</v>
      </c>
      <c r="H42" s="7" t="s">
        <v>18</v>
      </c>
      <c r="I42" s="8" t="s">
        <v>19</v>
      </c>
      <c r="N42" s="1"/>
      <c r="O42" s="2"/>
      <c r="P42" s="3"/>
      <c r="Q42" s="3"/>
      <c r="R42" s="3"/>
      <c r="S42" s="3"/>
      <c r="T42" s="3"/>
      <c r="U42" s="3"/>
      <c r="V42" s="3"/>
      <c r="W42" s="3"/>
      <c r="X42" s="3"/>
    </row>
    <row r="43" spans="1:24">
      <c r="A43" s="106" t="s">
        <v>98</v>
      </c>
      <c r="B43" s="107"/>
      <c r="C43" s="97"/>
      <c r="E43" s="97"/>
      <c r="F43" s="97"/>
      <c r="I43" s="36"/>
      <c r="N43" s="1"/>
      <c r="O43" s="1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106" t="s">
        <v>80</v>
      </c>
      <c r="B44" s="107"/>
      <c r="C44" s="44">
        <v>6000</v>
      </c>
      <c r="D44" s="28" t="s">
        <v>69</v>
      </c>
      <c r="E44" s="47">
        <v>4617</v>
      </c>
      <c r="F44" s="43">
        <f>E44/$B$37/24</f>
        <v>15</v>
      </c>
      <c r="G44" s="28">
        <v>2</v>
      </c>
      <c r="H44" s="46">
        <f>SUM(D4:D6)/C44</f>
        <v>8.1666666666666661</v>
      </c>
      <c r="I44" s="51">
        <v>90000</v>
      </c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106" t="s">
        <v>81</v>
      </c>
      <c r="B45" s="107"/>
      <c r="C45" s="44"/>
      <c r="D45" s="28"/>
      <c r="E45" s="47"/>
      <c r="F45" s="43"/>
      <c r="G45" s="28">
        <v>1</v>
      </c>
      <c r="H45" s="24"/>
      <c r="I45" s="51">
        <v>10000</v>
      </c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106" t="s">
        <v>82</v>
      </c>
      <c r="B46" s="107"/>
      <c r="C46" s="44">
        <v>7500</v>
      </c>
      <c r="D46" s="28" t="s">
        <v>24</v>
      </c>
      <c r="E46" s="47">
        <v>4557</v>
      </c>
      <c r="F46" s="43">
        <f t="shared" ref="F46:F50" si="2">E46/$B$37/24</f>
        <v>14.805068226120859</v>
      </c>
      <c r="G46" s="28">
        <v>1</v>
      </c>
      <c r="H46" s="25">
        <f>D4/C46</f>
        <v>0.53333333333333333</v>
      </c>
      <c r="I46" s="51">
        <v>20000</v>
      </c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106" t="s">
        <v>83</v>
      </c>
      <c r="B47" s="107"/>
      <c r="C47" s="44">
        <v>7500</v>
      </c>
      <c r="D47" s="28" t="s">
        <v>24</v>
      </c>
      <c r="E47" s="47">
        <v>983</v>
      </c>
      <c r="F47" s="43">
        <f t="shared" si="2"/>
        <v>3.1936322287199483</v>
      </c>
      <c r="G47" s="28">
        <v>0.5</v>
      </c>
      <c r="H47" s="25">
        <f>D5/C47</f>
        <v>6</v>
      </c>
      <c r="I47" s="51">
        <v>20000</v>
      </c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98" t="s">
        <v>84</v>
      </c>
      <c r="B48" s="99"/>
      <c r="C48" s="44"/>
      <c r="D48" s="28"/>
      <c r="E48" s="9"/>
      <c r="F48" s="43">
        <f t="shared" si="2"/>
        <v>0</v>
      </c>
      <c r="G48" s="28">
        <v>1</v>
      </c>
      <c r="H48" s="24"/>
      <c r="I48" s="51">
        <v>5000</v>
      </c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</row>
    <row r="49" spans="1:24">
      <c r="A49" s="106" t="s">
        <v>23</v>
      </c>
      <c r="B49" s="107"/>
      <c r="C49" s="44">
        <v>20000</v>
      </c>
      <c r="D49" s="28" t="s">
        <v>24</v>
      </c>
      <c r="E49" s="9">
        <v>478</v>
      </c>
      <c r="F49" s="43">
        <f t="shared" si="2"/>
        <v>1.552956465237167</v>
      </c>
      <c r="G49" s="28">
        <v>1</v>
      </c>
      <c r="H49" s="24">
        <f>D8/C49</f>
        <v>0</v>
      </c>
      <c r="I49" s="51">
        <v>20000</v>
      </c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</row>
    <row r="50" spans="1:24">
      <c r="A50" s="106" t="s">
        <v>99</v>
      </c>
      <c r="B50" s="107"/>
      <c r="C50" s="44">
        <v>10000</v>
      </c>
      <c r="D50" s="28" t="s">
        <v>24</v>
      </c>
      <c r="E50" s="9">
        <v>8866</v>
      </c>
      <c r="F50" s="43">
        <f t="shared" si="2"/>
        <v>28.804418453541263</v>
      </c>
      <c r="G50" s="28">
        <v>1</v>
      </c>
      <c r="H50" s="24">
        <f>D8/C50</f>
        <v>0</v>
      </c>
      <c r="I50" s="51">
        <v>60000</v>
      </c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106" t="s">
        <v>100</v>
      </c>
      <c r="B51" s="107"/>
      <c r="C51" s="9"/>
      <c r="D51" s="45"/>
      <c r="E51" s="9"/>
      <c r="F51" s="43"/>
      <c r="G51" s="28"/>
      <c r="H51" s="24"/>
      <c r="I51" s="51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52"/>
      <c r="B52" s="53"/>
      <c r="C52" s="53"/>
      <c r="D52" s="53"/>
      <c r="E52" s="53"/>
      <c r="F52" s="49"/>
      <c r="G52" s="49"/>
      <c r="H52" s="49"/>
      <c r="I52" s="54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108" t="s">
        <v>25</v>
      </c>
      <c r="B53" s="109"/>
      <c r="C53" s="109"/>
      <c r="D53" s="5"/>
      <c r="E53" s="5"/>
      <c r="F53" s="48">
        <f>SUM(F44:F51)</f>
        <v>63.356075373619234</v>
      </c>
      <c r="G53" s="48">
        <f>SUM(G44:G51)</f>
        <v>7.5</v>
      </c>
      <c r="H53" s="48">
        <f>SUM(H44:H51)</f>
        <v>14.7</v>
      </c>
      <c r="I53" s="38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</row>
    <row r="54" spans="1:24" ht="15" thickBot="1">
      <c r="A54" s="14" t="s">
        <v>6</v>
      </c>
      <c r="B54" s="15"/>
      <c r="C54" s="15"/>
      <c r="D54" s="15"/>
      <c r="E54" s="15"/>
      <c r="F54" s="110">
        <f>F53+H53+G53</f>
        <v>85.556075373619237</v>
      </c>
      <c r="G54" s="110"/>
      <c r="H54" s="110"/>
      <c r="I54" s="55">
        <f>SUM(I44:I53)</f>
        <v>225000</v>
      </c>
      <c r="P54" s="3"/>
      <c r="Q54" s="3"/>
      <c r="R54" s="3"/>
      <c r="S54" s="3"/>
      <c r="T54" s="3"/>
      <c r="U54" s="3"/>
      <c r="V54" s="3"/>
      <c r="W54" s="3"/>
      <c r="X54" s="3"/>
    </row>
    <row r="55" spans="1:24">
      <c r="P55" s="3"/>
      <c r="Q55" s="3"/>
      <c r="R55" s="3"/>
      <c r="S55" s="3"/>
      <c r="T55" s="3"/>
      <c r="U55" s="3"/>
      <c r="V55" s="3"/>
      <c r="W55" s="3"/>
      <c r="X55" s="3"/>
    </row>
    <row r="56" spans="1:24">
      <c r="D56" t="s">
        <v>72</v>
      </c>
      <c r="P56" s="3"/>
      <c r="Q56" s="3"/>
      <c r="R56" s="3"/>
      <c r="S56" s="3"/>
      <c r="T56" s="3"/>
      <c r="U56" s="3"/>
      <c r="V56" s="3"/>
      <c r="W56" s="3"/>
      <c r="X56" s="3"/>
    </row>
    <row r="57" spans="1:24">
      <c r="D57" t="s">
        <v>31</v>
      </c>
      <c r="F57" s="4">
        <f>F26</f>
        <v>753129.50292397663</v>
      </c>
      <c r="P57" s="3"/>
      <c r="Q57" s="3"/>
      <c r="R57" s="3"/>
      <c r="S57" s="3"/>
      <c r="T57" s="3"/>
      <c r="U57" s="3"/>
      <c r="V57" s="3"/>
      <c r="W57" s="3"/>
      <c r="X57" s="3"/>
    </row>
    <row r="58" spans="1:24">
      <c r="D58" t="s">
        <v>37</v>
      </c>
      <c r="F58" s="4">
        <f>H38</f>
        <v>1131743.9800324887</v>
      </c>
      <c r="P58" s="3"/>
      <c r="Q58" s="3"/>
      <c r="R58" s="3"/>
      <c r="S58" s="3"/>
      <c r="T58" s="3"/>
      <c r="U58" s="3"/>
      <c r="V58" s="3"/>
      <c r="W58" s="3"/>
      <c r="X58" s="3"/>
    </row>
    <row r="59" spans="1:24">
      <c r="D59" t="s">
        <v>73</v>
      </c>
      <c r="F59" s="4">
        <f>I54</f>
        <v>225000</v>
      </c>
      <c r="I59" t="s">
        <v>101</v>
      </c>
      <c r="J59" t="s">
        <v>102</v>
      </c>
      <c r="P59" s="3"/>
      <c r="Q59" s="3"/>
      <c r="R59" s="3"/>
      <c r="S59" s="3"/>
      <c r="T59" s="3"/>
      <c r="U59" s="3"/>
      <c r="V59" s="3"/>
      <c r="W59" s="3"/>
      <c r="X59" s="3"/>
    </row>
    <row r="60" spans="1:24">
      <c r="D60" t="s">
        <v>58</v>
      </c>
      <c r="F60" s="4">
        <f>SUM(F57:F59)</f>
        <v>2109873.4829564653</v>
      </c>
    </row>
    <row r="61" spans="1:24">
      <c r="D61" t="s">
        <v>59</v>
      </c>
      <c r="F61" s="4">
        <f>F18</f>
        <v>71137.5</v>
      </c>
    </row>
    <row r="62" spans="1:24">
      <c r="D62" t="s">
        <v>74</v>
      </c>
      <c r="F62" s="4">
        <f>F61-F60</f>
        <v>-2038735.9829564653</v>
      </c>
    </row>
    <row r="63" spans="1:24">
      <c r="D63" t="s">
        <v>76</v>
      </c>
      <c r="F63" s="4">
        <f>F62/F54</f>
        <v>-23829.236837400549</v>
      </c>
    </row>
  </sheetData>
  <mergeCells count="27">
    <mergeCell ref="A53:C53"/>
    <mergeCell ref="F54:H54"/>
    <mergeCell ref="A45:B45"/>
    <mergeCell ref="A46:B46"/>
    <mergeCell ref="A47:B47"/>
    <mergeCell ref="A49:B49"/>
    <mergeCell ref="A50:B50"/>
    <mergeCell ref="A51:B51"/>
    <mergeCell ref="A44:B44"/>
    <mergeCell ref="A12:C12"/>
    <mergeCell ref="A13:C13"/>
    <mergeCell ref="D13:E13"/>
    <mergeCell ref="A14:C14"/>
    <mergeCell ref="A15:C15"/>
    <mergeCell ref="D15:E15"/>
    <mergeCell ref="A21:C21"/>
    <mergeCell ref="A29:C29"/>
    <mergeCell ref="D30:F30"/>
    <mergeCell ref="A41:C41"/>
    <mergeCell ref="A43:B43"/>
    <mergeCell ref="A11:C11"/>
    <mergeCell ref="D11:E11"/>
    <mergeCell ref="A2:C2"/>
    <mergeCell ref="A4:B4"/>
    <mergeCell ref="A7:C7"/>
    <mergeCell ref="D7:E7"/>
    <mergeCell ref="A8:C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H6" sqref="H6"/>
    </sheetView>
  </sheetViews>
  <sheetFormatPr defaultColWidth="11.42578125" defaultRowHeight="14.45"/>
  <sheetData>
    <row r="1" spans="1:1">
      <c r="A1">
        <f>6*9/3*2*(8-3*2)</f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A129"/>
  <sheetViews>
    <sheetView topLeftCell="A27" workbookViewId="0">
      <selection activeCell="H50" sqref="H50"/>
    </sheetView>
  </sheetViews>
  <sheetFormatPr defaultColWidth="11.42578125" defaultRowHeight="14.45"/>
  <cols>
    <col min="4" max="4" width="11.5703125" customWidth="1"/>
    <col min="5" max="5" width="13.7109375" customWidth="1"/>
    <col min="6" max="6" width="13.7109375" bestFit="1" customWidth="1"/>
    <col min="8" max="8" width="13.7109375" customWidth="1"/>
    <col min="9" max="9" width="13" customWidth="1"/>
    <col min="10" max="11" width="12.7109375" customWidth="1"/>
    <col min="12" max="12" width="13.42578125" bestFit="1" customWidth="1"/>
    <col min="13" max="13" width="13.28515625" customWidth="1"/>
    <col min="14" max="14" width="14" customWidth="1"/>
    <col min="15" max="15" width="13.42578125" customWidth="1"/>
    <col min="16" max="16" width="13.42578125" bestFit="1" customWidth="1"/>
    <col min="17" max="17" width="12.7109375" bestFit="1" customWidth="1"/>
    <col min="18" max="18" width="13.42578125" bestFit="1" customWidth="1"/>
    <col min="19" max="19" width="13.28515625" customWidth="1"/>
    <col min="20" max="20" width="13.42578125" bestFit="1" customWidth="1"/>
    <col min="21" max="21" width="11.7109375" bestFit="1" customWidth="1"/>
    <col min="22" max="23" width="13.42578125" bestFit="1" customWidth="1"/>
    <col min="24" max="24" width="13.7109375" bestFit="1" customWidth="1"/>
    <col min="25" max="25" width="13.42578125" bestFit="1" customWidth="1"/>
    <col min="26" max="26" width="13.7109375" bestFit="1" customWidth="1"/>
    <col min="27" max="27" width="13.42578125" bestFit="1" customWidth="1"/>
  </cols>
  <sheetData>
    <row r="2" spans="1:8" ht="15" thickBot="1">
      <c r="A2" s="112" t="s">
        <v>0</v>
      </c>
      <c r="B2" s="112"/>
      <c r="C2" s="112"/>
    </row>
    <row r="3" spans="1:8">
      <c r="A3" s="31" t="s">
        <v>1</v>
      </c>
      <c r="B3" s="7"/>
      <c r="C3" s="7"/>
      <c r="D3" s="32" t="s">
        <v>2</v>
      </c>
      <c r="E3" s="32" t="s">
        <v>3</v>
      </c>
      <c r="F3" s="8" t="s">
        <v>4</v>
      </c>
    </row>
    <row r="4" spans="1:8">
      <c r="A4" s="106" t="s">
        <v>103</v>
      </c>
      <c r="B4" s="107"/>
      <c r="C4" s="45"/>
      <c r="D4" s="9">
        <v>12000</v>
      </c>
      <c r="E4" s="10">
        <v>20.6</v>
      </c>
      <c r="F4" s="11">
        <f>D4*E4</f>
        <v>247200.00000000003</v>
      </c>
      <c r="G4" s="4"/>
      <c r="H4" s="4">
        <f>F65</f>
        <v>2039.2628205127548</v>
      </c>
    </row>
    <row r="5" spans="1:8">
      <c r="A5" s="98"/>
      <c r="B5" s="99"/>
      <c r="C5" s="99"/>
      <c r="D5" s="9">
        <v>38000</v>
      </c>
      <c r="E5" s="10">
        <f>E4</f>
        <v>20.6</v>
      </c>
      <c r="F5" s="11">
        <f t="shared" ref="F5:F6" si="0">D5*E5</f>
        <v>782800</v>
      </c>
    </row>
    <row r="6" spans="1:8">
      <c r="A6" s="98"/>
      <c r="B6" s="99"/>
      <c r="C6" s="99"/>
      <c r="D6" s="9">
        <f>D5+D4</f>
        <v>50000</v>
      </c>
      <c r="E6" s="10"/>
      <c r="F6" s="11">
        <f t="shared" si="0"/>
        <v>0</v>
      </c>
    </row>
    <row r="7" spans="1:8">
      <c r="A7" s="100" t="s">
        <v>7</v>
      </c>
      <c r="B7" s="101"/>
      <c r="C7" s="101"/>
      <c r="D7" s="102">
        <v>1.2500000000000001E-2</v>
      </c>
      <c r="E7" s="102"/>
      <c r="F7" s="11">
        <f>(SUM(F4:F6))*-D7</f>
        <v>-12875</v>
      </c>
    </row>
    <row r="8" spans="1:8">
      <c r="A8" s="106"/>
      <c r="B8" s="107"/>
      <c r="C8" s="107"/>
      <c r="D8" s="9"/>
      <c r="E8" s="10"/>
      <c r="F8" s="11">
        <f>D8*E8</f>
        <v>0</v>
      </c>
    </row>
    <row r="9" spans="1:8">
      <c r="A9" s="98"/>
      <c r="B9" s="99"/>
      <c r="C9" s="99"/>
      <c r="D9" s="9"/>
      <c r="E9" s="10"/>
      <c r="F9" s="11">
        <f t="shared" ref="F9:F10" si="1">D9*E9</f>
        <v>0</v>
      </c>
    </row>
    <row r="10" spans="1:8">
      <c r="A10" s="98"/>
      <c r="B10" s="99"/>
      <c r="C10" s="99"/>
      <c r="D10" s="9"/>
      <c r="E10" s="10"/>
      <c r="F10" s="11">
        <f t="shared" si="1"/>
        <v>0</v>
      </c>
    </row>
    <row r="11" spans="1:8">
      <c r="A11" s="100" t="s">
        <v>7</v>
      </c>
      <c r="B11" s="101"/>
      <c r="C11" s="101"/>
      <c r="D11" s="102">
        <v>1.2500000000000001E-2</v>
      </c>
      <c r="E11" s="102"/>
      <c r="F11" s="11">
        <f>(SUM(F8:F10))*-D11</f>
        <v>0</v>
      </c>
    </row>
    <row r="12" spans="1:8">
      <c r="A12" s="106"/>
      <c r="B12" s="107"/>
      <c r="C12" s="107"/>
      <c r="D12" s="9"/>
      <c r="E12" s="10"/>
      <c r="F12" s="11">
        <f>D12*E12</f>
        <v>0</v>
      </c>
    </row>
    <row r="13" spans="1:8">
      <c r="A13" s="100" t="s">
        <v>7</v>
      </c>
      <c r="B13" s="101"/>
      <c r="C13" s="101"/>
      <c r="D13" s="102">
        <v>1.2500000000000001E-2</v>
      </c>
      <c r="E13" s="102"/>
      <c r="F13" s="11">
        <f>F12*-D13</f>
        <v>0</v>
      </c>
    </row>
    <row r="14" spans="1:8">
      <c r="A14" s="106"/>
      <c r="B14" s="107"/>
      <c r="C14" s="107"/>
      <c r="D14" s="9"/>
      <c r="E14" s="10"/>
      <c r="F14" s="11">
        <f>D14*E14</f>
        <v>0</v>
      </c>
    </row>
    <row r="15" spans="1:8">
      <c r="A15" s="100" t="s">
        <v>7</v>
      </c>
      <c r="B15" s="101"/>
      <c r="C15" s="101"/>
      <c r="D15" s="102">
        <v>1.2500000000000001E-2</v>
      </c>
      <c r="E15" s="102"/>
      <c r="F15" s="11">
        <f>F14*-D15</f>
        <v>0</v>
      </c>
    </row>
    <row r="16" spans="1:8">
      <c r="A16" s="12" t="s">
        <v>8</v>
      </c>
      <c r="B16" s="5"/>
      <c r="C16" s="5"/>
      <c r="D16" s="5"/>
      <c r="E16" s="5"/>
      <c r="F16" s="13">
        <f>F4+F5+F6+F8+F9+F10+F12+F14</f>
        <v>1030000</v>
      </c>
    </row>
    <row r="17" spans="1:24">
      <c r="A17" s="12" t="s">
        <v>9</v>
      </c>
      <c r="B17" s="5"/>
      <c r="C17" s="5"/>
      <c r="D17" s="5"/>
      <c r="E17" s="5"/>
      <c r="F17" s="13">
        <f>F7+F11+F13+F15</f>
        <v>-12875</v>
      </c>
    </row>
    <row r="18" spans="1:24" ht="15" thickBot="1">
      <c r="A18" s="14" t="s">
        <v>10</v>
      </c>
      <c r="B18" s="15"/>
      <c r="C18" s="15"/>
      <c r="D18" s="15"/>
      <c r="E18" s="15"/>
      <c r="F18" s="16">
        <f>F16+F17</f>
        <v>1017125</v>
      </c>
    </row>
    <row r="19" spans="1:24">
      <c r="F19" s="4"/>
    </row>
    <row r="20" spans="1:24">
      <c r="F20" s="4"/>
    </row>
    <row r="21" spans="1:24" ht="15" thickBot="1">
      <c r="A21" s="112" t="s">
        <v>26</v>
      </c>
      <c r="B21" s="112"/>
      <c r="C21" s="112"/>
    </row>
    <row r="22" spans="1:24">
      <c r="A22" s="6"/>
      <c r="B22" s="7"/>
      <c r="C22" s="32" t="s">
        <v>27</v>
      </c>
      <c r="D22" s="7" t="s">
        <v>28</v>
      </c>
      <c r="E22" s="7" t="s">
        <v>29</v>
      </c>
      <c r="F22" s="8" t="s">
        <v>30</v>
      </c>
    </row>
    <row r="23" spans="1:24">
      <c r="A23" s="19" t="s">
        <v>31</v>
      </c>
      <c r="C23" s="10">
        <v>17000</v>
      </c>
      <c r="D23" s="18">
        <v>3.7499999999999999E-2</v>
      </c>
      <c r="E23" s="17">
        <f>C23*(1-D23)</f>
        <v>16362.5</v>
      </c>
      <c r="F23" s="20">
        <f>E23*F54</f>
        <v>439546.21288798924</v>
      </c>
    </row>
    <row r="24" spans="1:24">
      <c r="A24" s="33" t="s">
        <v>32</v>
      </c>
      <c r="F24" s="23">
        <v>5000</v>
      </c>
    </row>
    <row r="25" spans="1:24">
      <c r="A25" s="33" t="s">
        <v>33</v>
      </c>
      <c r="F25" s="23">
        <v>7000</v>
      </c>
    </row>
    <row r="26" spans="1:24" ht="15" thickBot="1">
      <c r="A26" s="21" t="s">
        <v>34</v>
      </c>
      <c r="B26" s="22"/>
      <c r="C26" s="22"/>
      <c r="D26" s="22"/>
      <c r="E26" s="22"/>
      <c r="F26" s="35">
        <f>SUM(F23:F25)</f>
        <v>451546.21288798924</v>
      </c>
    </row>
    <row r="27" spans="1:24">
      <c r="F27" s="42"/>
    </row>
    <row r="28" spans="1:24">
      <c r="F28" s="42"/>
    </row>
    <row r="29" spans="1:24" ht="15" thickBot="1">
      <c r="A29" s="112" t="s">
        <v>35</v>
      </c>
      <c r="B29" s="112"/>
      <c r="C29" s="112"/>
    </row>
    <row r="30" spans="1:24">
      <c r="A30" s="6"/>
      <c r="B30" s="7"/>
      <c r="C30" s="7"/>
      <c r="D30" s="113" t="s">
        <v>36</v>
      </c>
      <c r="E30" s="113"/>
      <c r="F30" s="113"/>
      <c r="G30" s="7"/>
      <c r="H30" s="8"/>
      <c r="N30" s="2"/>
      <c r="O30" s="2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 s="19" t="s">
        <v>37</v>
      </c>
      <c r="D31" s="34" t="s">
        <v>38</v>
      </c>
      <c r="E31" s="34" t="s">
        <v>39</v>
      </c>
      <c r="F31" s="34" t="s">
        <v>40</v>
      </c>
      <c r="H31" s="36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7" t="s">
        <v>41</v>
      </c>
      <c r="B32" s="26">
        <v>450</v>
      </c>
      <c r="C32" s="24" t="s">
        <v>42</v>
      </c>
      <c r="D32" s="27">
        <v>33</v>
      </c>
      <c r="E32" s="27">
        <v>1</v>
      </c>
      <c r="F32" s="27">
        <v>1</v>
      </c>
      <c r="H32" s="36"/>
      <c r="N32" s="2"/>
      <c r="O32" s="2"/>
      <c r="P32" s="3"/>
      <c r="Q32" s="3"/>
      <c r="R32" s="3"/>
      <c r="S32" s="3"/>
      <c r="T32" s="3"/>
      <c r="U32" s="3"/>
      <c r="V32" s="3"/>
      <c r="W32" s="3"/>
      <c r="X32" s="3"/>
    </row>
    <row r="33" spans="1:24">
      <c r="A33" s="37" t="s">
        <v>43</v>
      </c>
      <c r="B33" s="26">
        <v>750</v>
      </c>
      <c r="C33" s="24" t="s">
        <v>42</v>
      </c>
      <c r="D33" s="27">
        <v>0.5</v>
      </c>
      <c r="E33" s="27">
        <v>4</v>
      </c>
      <c r="F33" s="27">
        <v>0.5</v>
      </c>
      <c r="H33" s="36"/>
      <c r="N33" s="2"/>
      <c r="O33" s="2"/>
      <c r="P33" s="3"/>
      <c r="Q33" s="3"/>
      <c r="R33" s="3"/>
      <c r="S33" s="3"/>
      <c r="T33" s="3"/>
      <c r="U33" s="3"/>
      <c r="V33" s="3"/>
      <c r="W33" s="3"/>
      <c r="X33" s="3"/>
    </row>
    <row r="34" spans="1:24">
      <c r="A34" s="19"/>
      <c r="H34" s="36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7" t="s">
        <v>44</v>
      </c>
      <c r="B35" s="28">
        <v>13</v>
      </c>
      <c r="C35" s="24" t="s">
        <v>45</v>
      </c>
      <c r="D35" s="24" t="s">
        <v>46</v>
      </c>
      <c r="E35" s="24" t="s">
        <v>47</v>
      </c>
      <c r="F35" s="24" t="s">
        <v>48</v>
      </c>
      <c r="G35" s="24" t="s">
        <v>49</v>
      </c>
      <c r="H35" s="38" t="s">
        <v>50</v>
      </c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7" t="s">
        <v>51</v>
      </c>
      <c r="B36" s="29">
        <v>0.05</v>
      </c>
      <c r="C36" s="24"/>
      <c r="D36" s="30" t="s">
        <v>41</v>
      </c>
      <c r="E36" s="30">
        <f>B32*D32*F53</f>
        <v>106865.89068825913</v>
      </c>
      <c r="F36" s="30">
        <f>B32*E32*H53</f>
        <v>7500.0000000000009</v>
      </c>
      <c r="G36" s="30">
        <f>B32*F32*G53</f>
        <v>1350</v>
      </c>
      <c r="H36" s="39">
        <f>SUM(E36:G36)</f>
        <v>115715.89068825913</v>
      </c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40" t="s">
        <v>52</v>
      </c>
      <c r="B37" s="24">
        <f>B35*(1-B36)</f>
        <v>12.35</v>
      </c>
      <c r="C37" s="24" t="s">
        <v>45</v>
      </c>
      <c r="D37" s="24" t="s">
        <v>43</v>
      </c>
      <c r="E37" s="30">
        <f>B33*D33*F53</f>
        <v>2698.6336032388667</v>
      </c>
      <c r="F37" s="30">
        <f>B33*E33*H53</f>
        <v>50000</v>
      </c>
      <c r="G37" s="30">
        <f>B33*F33*G53</f>
        <v>1125</v>
      </c>
      <c r="H37" s="39">
        <f>SUM(E37:G37)</f>
        <v>53823.633603238864</v>
      </c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</row>
    <row r="38" spans="1:24" ht="15" thickBot="1">
      <c r="A38" s="14" t="s">
        <v>53</v>
      </c>
      <c r="B38" s="15"/>
      <c r="C38" s="15"/>
      <c r="D38" s="15"/>
      <c r="E38" s="15"/>
      <c r="F38" s="15"/>
      <c r="G38" s="15"/>
      <c r="H38" s="41">
        <f>SUM(H36:H37)</f>
        <v>169539.524291498</v>
      </c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</row>
    <row r="39" spans="1:24"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</row>
    <row r="41" spans="1:24" ht="15" thickBot="1">
      <c r="A41" s="114" t="s">
        <v>11</v>
      </c>
      <c r="B41" s="114"/>
      <c r="C41" s="114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6" t="s">
        <v>12</v>
      </c>
      <c r="B42" s="7"/>
      <c r="C42" s="7" t="s">
        <v>13</v>
      </c>
      <c r="D42" s="7" t="s">
        <v>14</v>
      </c>
      <c r="E42" s="50" t="s">
        <v>15</v>
      </c>
      <c r="F42" s="50" t="s">
        <v>16</v>
      </c>
      <c r="G42" s="7" t="s">
        <v>62</v>
      </c>
      <c r="H42" s="7" t="s">
        <v>18</v>
      </c>
      <c r="I42" s="8" t="s">
        <v>19</v>
      </c>
      <c r="N42" s="1"/>
      <c r="O42" s="2"/>
      <c r="P42" s="3"/>
      <c r="Q42" s="3"/>
      <c r="R42" s="3"/>
      <c r="S42" s="3"/>
      <c r="T42" s="3"/>
      <c r="U42" s="3"/>
      <c r="V42" s="3"/>
      <c r="W42" s="3"/>
      <c r="X42" s="3"/>
    </row>
    <row r="43" spans="1:24">
      <c r="A43" s="106" t="s">
        <v>79</v>
      </c>
      <c r="B43" s="107"/>
      <c r="C43" s="97"/>
      <c r="E43" s="97"/>
      <c r="F43" s="97"/>
      <c r="I43" s="36"/>
      <c r="N43" s="1"/>
      <c r="O43" s="1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106"/>
      <c r="B44" s="107"/>
      <c r="C44" s="44"/>
      <c r="D44" s="28"/>
      <c r="E44" s="47"/>
      <c r="F44" s="43"/>
      <c r="G44" s="28"/>
      <c r="H44" s="46"/>
      <c r="I44" s="51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106" t="s">
        <v>78</v>
      </c>
      <c r="B45" s="107"/>
      <c r="C45" s="44"/>
      <c r="D45" s="28"/>
      <c r="E45" s="47"/>
      <c r="F45" s="43"/>
      <c r="G45" s="28"/>
      <c r="H45" s="24"/>
      <c r="I45" s="51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106" t="s">
        <v>104</v>
      </c>
      <c r="B46" s="107"/>
      <c r="C46" s="44">
        <v>6000</v>
      </c>
      <c r="D46" s="28" t="s">
        <v>24</v>
      </c>
      <c r="E46" s="47">
        <v>141</v>
      </c>
      <c r="F46" s="43">
        <f t="shared" ref="F46:F48" si="2">E46/$B$37/24</f>
        <v>0.47570850202429149</v>
      </c>
      <c r="G46" s="28">
        <v>1</v>
      </c>
      <c r="H46" s="25">
        <f>$D$6/C46</f>
        <v>8.3333333333333339</v>
      </c>
      <c r="I46" s="51">
        <f>200000+60000</f>
        <v>260000</v>
      </c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106" t="s">
        <v>23</v>
      </c>
      <c r="B47" s="107"/>
      <c r="C47" s="44">
        <v>6000</v>
      </c>
      <c r="D47" s="28" t="s">
        <v>24</v>
      </c>
      <c r="E47" s="47">
        <v>580</v>
      </c>
      <c r="F47" s="43">
        <f t="shared" si="2"/>
        <v>1.9568151147098518</v>
      </c>
      <c r="G47" s="28">
        <v>1</v>
      </c>
      <c r="H47" s="25">
        <f>$D$4/C47</f>
        <v>2</v>
      </c>
      <c r="I47" s="51">
        <v>40000</v>
      </c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98" t="s">
        <v>105</v>
      </c>
      <c r="B48" s="99"/>
      <c r="C48" s="44">
        <v>6000</v>
      </c>
      <c r="D48" s="28" t="s">
        <v>24</v>
      </c>
      <c r="E48" s="47">
        <v>706</v>
      </c>
      <c r="F48" s="43">
        <f t="shared" ref="F48:F49" si="3">E48/$B$37/24</f>
        <v>2.3819163292847505</v>
      </c>
      <c r="G48" s="28">
        <v>1</v>
      </c>
      <c r="H48" s="25">
        <f>$D$5/C48</f>
        <v>6.333333333333333</v>
      </c>
      <c r="I48" s="51">
        <v>94000</v>
      </c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</row>
    <row r="49" spans="1:27">
      <c r="A49" s="106" t="s">
        <v>23</v>
      </c>
      <c r="B49" s="107"/>
      <c r="C49" s="44"/>
      <c r="D49" s="28"/>
      <c r="E49" s="47">
        <v>706</v>
      </c>
      <c r="F49" s="43">
        <f t="shared" si="3"/>
        <v>2.3819163292847505</v>
      </c>
      <c r="G49" s="28"/>
      <c r="H49" s="25"/>
      <c r="I49" s="51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</row>
    <row r="50" spans="1:27">
      <c r="A50" s="106"/>
      <c r="B50" s="107"/>
      <c r="C50" s="44"/>
      <c r="D50" s="28"/>
      <c r="E50" s="9"/>
      <c r="F50" s="43"/>
      <c r="G50" s="28"/>
      <c r="H50" s="24"/>
      <c r="I50" s="51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</row>
    <row r="51" spans="1:27">
      <c r="A51" s="106"/>
      <c r="B51" s="107"/>
      <c r="C51" s="9"/>
      <c r="D51" s="45"/>
      <c r="E51" s="9"/>
      <c r="F51" s="43"/>
      <c r="G51" s="28"/>
      <c r="H51" s="24"/>
      <c r="I51" s="51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</row>
    <row r="52" spans="1:27">
      <c r="A52" s="52"/>
      <c r="B52" s="53"/>
      <c r="C52" s="53"/>
      <c r="D52" s="53"/>
      <c r="E52" s="53"/>
      <c r="F52" s="49"/>
      <c r="G52" s="49"/>
      <c r="H52" s="49"/>
      <c r="I52" s="54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</row>
    <row r="53" spans="1:27">
      <c r="A53" s="108" t="s">
        <v>25</v>
      </c>
      <c r="B53" s="109"/>
      <c r="C53" s="109"/>
      <c r="D53" s="5"/>
      <c r="E53" s="5"/>
      <c r="F53" s="48">
        <f>SUM(F44:F51)</f>
        <v>7.1963562753036445</v>
      </c>
      <c r="G53" s="48">
        <f>SUM(G44:G51)</f>
        <v>3</v>
      </c>
      <c r="H53" s="48">
        <f>SUM(H44:H51)</f>
        <v>16.666666666666668</v>
      </c>
      <c r="I53" s="38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</row>
    <row r="54" spans="1:27" ht="15" thickBot="1">
      <c r="A54" s="14" t="s">
        <v>6</v>
      </c>
      <c r="B54" s="15"/>
      <c r="C54" s="15"/>
      <c r="D54" s="15"/>
      <c r="E54" s="15"/>
      <c r="F54" s="110">
        <f>F53+H53+G53</f>
        <v>26.863022941970314</v>
      </c>
      <c r="G54" s="110"/>
      <c r="H54" s="110"/>
      <c r="I54" s="55">
        <f>SUM(I44:I53)</f>
        <v>394000</v>
      </c>
      <c r="P54" s="3"/>
      <c r="Q54" s="3"/>
      <c r="R54" s="3"/>
      <c r="S54" s="3"/>
      <c r="T54" s="3"/>
      <c r="U54" s="3"/>
      <c r="V54" s="3"/>
      <c r="W54" s="3"/>
      <c r="X54" s="3"/>
    </row>
    <row r="55" spans="1:27">
      <c r="P55" s="3"/>
      <c r="Q55" s="3"/>
      <c r="R55" s="3"/>
      <c r="S55" s="3"/>
      <c r="T55" s="3"/>
      <c r="U55" s="3"/>
      <c r="V55" s="3"/>
      <c r="W55" s="3"/>
      <c r="X55" s="3"/>
    </row>
    <row r="56" spans="1:27">
      <c r="G56" t="s">
        <v>85</v>
      </c>
      <c r="P56" s="3"/>
      <c r="Q56" s="3"/>
      <c r="R56" s="3"/>
      <c r="S56" s="3"/>
      <c r="T56" s="3"/>
      <c r="U56" s="3"/>
      <c r="V56" s="3"/>
      <c r="W56" s="3"/>
      <c r="X56" s="3"/>
    </row>
    <row r="57" spans="1:27" ht="15" thickBot="1">
      <c r="A57" s="114" t="s">
        <v>86</v>
      </c>
      <c r="B57" s="114"/>
      <c r="C57" s="114"/>
      <c r="G57" t="s">
        <v>87</v>
      </c>
      <c r="H57" s="67" t="s">
        <v>88</v>
      </c>
      <c r="I57" s="67" t="s">
        <v>89</v>
      </c>
      <c r="J57" s="67" t="s">
        <v>90</v>
      </c>
      <c r="K57" s="67" t="s">
        <v>91</v>
      </c>
      <c r="L57" s="67" t="s">
        <v>92</v>
      </c>
      <c r="M57" s="67" t="s">
        <v>93</v>
      </c>
      <c r="P57" s="3"/>
      <c r="Q57" s="3"/>
      <c r="R57" s="3"/>
      <c r="S57" s="3"/>
      <c r="T57" s="3"/>
      <c r="U57" s="3"/>
      <c r="V57" s="3"/>
      <c r="W57" s="3"/>
      <c r="X57" s="3"/>
    </row>
    <row r="58" spans="1:27">
      <c r="A58" s="57" t="s">
        <v>94</v>
      </c>
      <c r="B58" s="58"/>
      <c r="C58" s="58"/>
      <c r="D58" s="58"/>
      <c r="E58" s="58"/>
      <c r="F58" s="68">
        <f>F26</f>
        <v>451546.21288798924</v>
      </c>
      <c r="G58" s="70">
        <f>$F$58/$F$54*15</f>
        <v>252138.16062143625</v>
      </c>
      <c r="H58" s="70">
        <f>G58</f>
        <v>252138.16062143625</v>
      </c>
      <c r="I58" s="70">
        <f t="shared" ref="I58:L58" si="4">H58</f>
        <v>252138.16062143625</v>
      </c>
      <c r="J58" s="70">
        <f t="shared" si="4"/>
        <v>252138.16062143625</v>
      </c>
      <c r="K58" s="70">
        <f t="shared" si="4"/>
        <v>252138.16062143625</v>
      </c>
      <c r="L58" s="70">
        <f t="shared" si="4"/>
        <v>252138.16062143625</v>
      </c>
      <c r="M58" s="70">
        <v>31200</v>
      </c>
      <c r="N58" s="70"/>
      <c r="P58" s="3"/>
      <c r="Q58" s="3"/>
      <c r="R58" s="3"/>
      <c r="S58" s="3"/>
      <c r="T58" s="3"/>
      <c r="U58" s="3"/>
      <c r="V58" s="3"/>
      <c r="W58" s="3"/>
      <c r="X58" s="3"/>
    </row>
    <row r="59" spans="1:27">
      <c r="A59" s="59" t="s">
        <v>95</v>
      </c>
      <c r="B59" s="56"/>
      <c r="C59" s="56"/>
      <c r="D59" s="56"/>
      <c r="E59" s="56"/>
      <c r="F59" s="69">
        <f>H38</f>
        <v>169539.524291498</v>
      </c>
      <c r="G59" s="70">
        <f>(500*$B$32)+(100*$B$33)</f>
        <v>300000</v>
      </c>
      <c r="H59" s="71"/>
      <c r="I59" s="70">
        <f>(500*$B$32)+(100*$B$33)</f>
        <v>300000</v>
      </c>
      <c r="J59" s="71"/>
      <c r="K59" s="71"/>
      <c r="L59" s="70">
        <f>(800*$B$32)+(100*$B$33)</f>
        <v>435000</v>
      </c>
      <c r="M59" s="71"/>
      <c r="N59" s="70"/>
      <c r="P59" s="3"/>
      <c r="Q59" s="3"/>
      <c r="R59" s="3"/>
      <c r="S59" s="3"/>
      <c r="T59" s="3"/>
      <c r="U59" s="3"/>
      <c r="V59" s="3"/>
      <c r="W59" s="3"/>
      <c r="X59" s="3"/>
    </row>
    <row r="60" spans="1:27">
      <c r="A60" s="59" t="s">
        <v>96</v>
      </c>
      <c r="B60" s="56"/>
      <c r="C60" s="56"/>
      <c r="D60" s="56"/>
      <c r="E60" s="56"/>
      <c r="F60" s="69">
        <f>I54</f>
        <v>394000</v>
      </c>
      <c r="G60" s="71"/>
      <c r="H60" s="70">
        <f>$I$44+$I$45</f>
        <v>0</v>
      </c>
      <c r="I60" s="71"/>
      <c r="J60" s="70">
        <f>$I$46+$I$47</f>
        <v>300000</v>
      </c>
      <c r="K60" s="70">
        <f>$I$48+$I$49</f>
        <v>94000</v>
      </c>
      <c r="L60" s="71"/>
      <c r="M60" s="70">
        <f>$I$50</f>
        <v>0</v>
      </c>
      <c r="N60" s="70"/>
    </row>
    <row r="61" spans="1:27">
      <c r="A61" s="60"/>
      <c r="G61" s="70"/>
      <c r="H61" s="71"/>
      <c r="I61" s="70">
        <f>-($F$4+$F$5)</f>
        <v>-1030000</v>
      </c>
      <c r="J61" s="71"/>
      <c r="K61" s="71"/>
      <c r="L61" s="70">
        <f>-$F$8</f>
        <v>0</v>
      </c>
      <c r="M61" s="71"/>
      <c r="N61" s="70"/>
    </row>
    <row r="62" spans="1:27">
      <c r="A62" s="64" t="s">
        <v>58</v>
      </c>
      <c r="B62" s="65"/>
      <c r="C62" s="65"/>
      <c r="D62" s="65"/>
      <c r="E62" s="65"/>
      <c r="F62" s="72">
        <f>SUM(F58:F61)</f>
        <v>1015085.7371794872</v>
      </c>
      <c r="G62" s="70">
        <f>SUM(G58:G61)</f>
        <v>552138.16062143631</v>
      </c>
      <c r="H62" s="70">
        <f t="shared" ref="H62:M62" si="5">SUM(H58:H61)</f>
        <v>252138.16062143625</v>
      </c>
      <c r="I62" s="70">
        <f t="shared" si="5"/>
        <v>-477861.83937856369</v>
      </c>
      <c r="J62" s="70">
        <f t="shared" si="5"/>
        <v>552138.16062143631</v>
      </c>
      <c r="K62" s="70">
        <f t="shared" si="5"/>
        <v>346138.16062143625</v>
      </c>
      <c r="L62" s="70">
        <f t="shared" si="5"/>
        <v>687138.16062143631</v>
      </c>
      <c r="M62" s="70">
        <f t="shared" si="5"/>
        <v>31200</v>
      </c>
      <c r="N62" s="70"/>
    </row>
    <row r="63" spans="1:27">
      <c r="A63" s="60"/>
      <c r="F63" s="4"/>
      <c r="G63" s="73">
        <f>G62</f>
        <v>552138.16062143631</v>
      </c>
      <c r="H63" s="73">
        <f>G62+H62</f>
        <v>804276.32124287263</v>
      </c>
      <c r="I63" s="73">
        <f>H63+I62</f>
        <v>326414.48186430894</v>
      </c>
      <c r="J63" s="73">
        <f t="shared" ref="J63:L63" si="6">I63+J62</f>
        <v>878552.64248574525</v>
      </c>
      <c r="K63" s="73">
        <f t="shared" si="6"/>
        <v>1224690.8031071816</v>
      </c>
      <c r="L63" s="70">
        <f t="shared" si="6"/>
        <v>1911828.9637286179</v>
      </c>
      <c r="M63" s="70">
        <f>L63+M62</f>
        <v>1943028.9637286179</v>
      </c>
      <c r="N63" s="70">
        <f>M63</f>
        <v>1943028.9637286179</v>
      </c>
      <c r="O63" s="70">
        <f t="shared" ref="O63:AA63" si="7">N63</f>
        <v>1943028.9637286179</v>
      </c>
      <c r="P63" s="70">
        <f t="shared" si="7"/>
        <v>1943028.9637286179</v>
      </c>
      <c r="Q63" s="70">
        <f t="shared" si="7"/>
        <v>1943028.9637286179</v>
      </c>
      <c r="R63" s="70">
        <f t="shared" si="7"/>
        <v>1943028.9637286179</v>
      </c>
      <c r="S63" s="70">
        <f t="shared" si="7"/>
        <v>1943028.9637286179</v>
      </c>
      <c r="T63" s="70">
        <f t="shared" si="7"/>
        <v>1943028.9637286179</v>
      </c>
      <c r="U63" s="70">
        <f t="shared" si="7"/>
        <v>1943028.9637286179</v>
      </c>
      <c r="V63" s="70">
        <f t="shared" si="7"/>
        <v>1943028.9637286179</v>
      </c>
      <c r="W63" s="70">
        <f t="shared" si="7"/>
        <v>1943028.9637286179</v>
      </c>
      <c r="X63" s="70">
        <f t="shared" si="7"/>
        <v>1943028.9637286179</v>
      </c>
      <c r="Y63" s="70">
        <f t="shared" si="7"/>
        <v>1943028.9637286179</v>
      </c>
      <c r="Z63" s="70">
        <f t="shared" si="7"/>
        <v>1943028.9637286179</v>
      </c>
      <c r="AA63" s="70">
        <f t="shared" si="7"/>
        <v>1943028.9637286179</v>
      </c>
    </row>
    <row r="64" spans="1:27">
      <c r="A64" s="64" t="s">
        <v>59</v>
      </c>
      <c r="B64" s="65"/>
      <c r="C64" s="65"/>
      <c r="D64" s="65"/>
      <c r="E64" s="65"/>
      <c r="F64" s="66">
        <f>F18</f>
        <v>1017125</v>
      </c>
    </row>
    <row r="65" spans="1:27">
      <c r="A65" s="64" t="s">
        <v>74</v>
      </c>
      <c r="B65" s="65"/>
      <c r="C65" s="65"/>
      <c r="D65" s="65"/>
      <c r="E65" s="65"/>
      <c r="F65" s="66">
        <f>F64-F62</f>
        <v>2039.2628205127548</v>
      </c>
      <c r="I65" t="s">
        <v>87</v>
      </c>
      <c r="J65" s="67" t="s">
        <v>88</v>
      </c>
      <c r="K65" s="67" t="s">
        <v>89</v>
      </c>
      <c r="L65" s="67" t="s">
        <v>90</v>
      </c>
      <c r="M65" s="67" t="s">
        <v>91</v>
      </c>
      <c r="N65" s="67" t="s">
        <v>92</v>
      </c>
      <c r="O65" s="67" t="s">
        <v>93</v>
      </c>
    </row>
    <row r="66" spans="1:27" ht="15" thickBot="1">
      <c r="A66" s="61" t="s">
        <v>76</v>
      </c>
      <c r="B66" s="62"/>
      <c r="C66" s="62"/>
      <c r="D66" s="62"/>
      <c r="E66" s="62"/>
      <c r="F66" s="63">
        <f>F65/F54</f>
        <v>75.913378212049494</v>
      </c>
      <c r="I66" s="70">
        <f>$F$58/$F$54*15</f>
        <v>252138.16062143625</v>
      </c>
      <c r="J66" s="70">
        <f>I66</f>
        <v>252138.16062143625</v>
      </c>
      <c r="K66" s="70">
        <f t="shared" ref="K66:N66" si="8">J66</f>
        <v>252138.16062143625</v>
      </c>
      <c r="L66" s="70">
        <f t="shared" si="8"/>
        <v>252138.16062143625</v>
      </c>
      <c r="M66" s="70">
        <f t="shared" si="8"/>
        <v>252138.16062143625</v>
      </c>
      <c r="N66" s="70">
        <f t="shared" si="8"/>
        <v>252138.16062143625</v>
      </c>
      <c r="O66" s="70">
        <v>31200</v>
      </c>
      <c r="P66" s="70"/>
    </row>
    <row r="67" spans="1:27">
      <c r="I67" s="70">
        <f>(500*$B$32)+(100*$B$33)</f>
        <v>300000</v>
      </c>
      <c r="J67" s="71"/>
      <c r="K67" s="70">
        <f>(500*$B$32)+(100*$B$33)</f>
        <v>300000</v>
      </c>
      <c r="L67" s="71"/>
      <c r="M67" s="71"/>
      <c r="N67" s="70">
        <f>(800*$B$32)+(100*$B$33)</f>
        <v>435000</v>
      </c>
      <c r="O67" s="71"/>
      <c r="P67" s="70"/>
    </row>
    <row r="68" spans="1:27">
      <c r="I68" s="71"/>
      <c r="J68" s="70">
        <f>$I$44+$I$45</f>
        <v>0</v>
      </c>
      <c r="K68" s="71"/>
      <c r="L68" s="70">
        <f>$I$46+$I$47</f>
        <v>300000</v>
      </c>
      <c r="M68" s="70">
        <f>$I$48+$I$49</f>
        <v>94000</v>
      </c>
      <c r="N68" s="71"/>
      <c r="O68" s="70">
        <f>$I$50</f>
        <v>0</v>
      </c>
      <c r="P68" s="70"/>
    </row>
    <row r="69" spans="1:27">
      <c r="I69" s="70"/>
      <c r="J69" s="71"/>
      <c r="K69" s="70">
        <f>-($F$4+$F$5)</f>
        <v>-1030000</v>
      </c>
      <c r="L69" s="71"/>
      <c r="M69" s="71"/>
      <c r="N69" s="70">
        <f>-$F$8</f>
        <v>0</v>
      </c>
      <c r="O69" s="71"/>
      <c r="P69" s="70"/>
    </row>
    <row r="70" spans="1:27">
      <c r="A70" t="s">
        <v>106</v>
      </c>
      <c r="F70" s="4">
        <f>F58+F59</f>
        <v>621085.73717948725</v>
      </c>
      <c r="I70" s="70">
        <f>SUM(I66:I69)</f>
        <v>552138.16062143631</v>
      </c>
      <c r="J70" s="70">
        <f t="shared" ref="J70:O70" si="9">SUM(J66:J69)</f>
        <v>252138.16062143625</v>
      </c>
      <c r="K70" s="70">
        <f t="shared" si="9"/>
        <v>-477861.83937856369</v>
      </c>
      <c r="L70" s="70">
        <f t="shared" si="9"/>
        <v>552138.16062143631</v>
      </c>
      <c r="M70" s="70">
        <f t="shared" si="9"/>
        <v>346138.16062143625</v>
      </c>
      <c r="N70" s="70">
        <f t="shared" si="9"/>
        <v>687138.16062143631</v>
      </c>
      <c r="O70" s="70">
        <f t="shared" si="9"/>
        <v>31200</v>
      </c>
      <c r="P70" s="70"/>
    </row>
    <row r="71" spans="1:27">
      <c r="I71" s="73">
        <f>I70</f>
        <v>552138.16062143631</v>
      </c>
      <c r="J71" s="73">
        <f>I70+J70</f>
        <v>804276.32124287263</v>
      </c>
      <c r="K71" s="73">
        <f>J71+K70</f>
        <v>326414.48186430894</v>
      </c>
      <c r="L71" s="73">
        <f t="shared" ref="L71:N71" si="10">K71+L70</f>
        <v>878552.64248574525</v>
      </c>
      <c r="M71" s="73">
        <f t="shared" si="10"/>
        <v>1224690.8031071816</v>
      </c>
      <c r="N71" s="70">
        <f t="shared" si="10"/>
        <v>1911828.9637286179</v>
      </c>
      <c r="O71" s="70">
        <f>N71+O70</f>
        <v>1943028.9637286179</v>
      </c>
      <c r="P71" s="70">
        <f>O71</f>
        <v>1943028.9637286179</v>
      </c>
      <c r="Q71" s="70">
        <f t="shared" ref="Q71:AA71" si="11">P71</f>
        <v>1943028.9637286179</v>
      </c>
      <c r="R71" s="70">
        <f t="shared" si="11"/>
        <v>1943028.9637286179</v>
      </c>
      <c r="S71" s="70">
        <f t="shared" si="11"/>
        <v>1943028.9637286179</v>
      </c>
      <c r="T71" s="70">
        <f t="shared" si="11"/>
        <v>1943028.9637286179</v>
      </c>
      <c r="U71" s="70">
        <f t="shared" si="11"/>
        <v>1943028.9637286179</v>
      </c>
      <c r="V71" s="70">
        <f t="shared" si="11"/>
        <v>1943028.9637286179</v>
      </c>
      <c r="W71" s="70">
        <f t="shared" si="11"/>
        <v>1943028.9637286179</v>
      </c>
      <c r="X71" s="70">
        <f t="shared" si="11"/>
        <v>1943028.9637286179</v>
      </c>
      <c r="Y71" s="70">
        <f t="shared" si="11"/>
        <v>1943028.9637286179</v>
      </c>
      <c r="Z71" s="70">
        <f t="shared" si="11"/>
        <v>1943028.9637286179</v>
      </c>
      <c r="AA71" s="70">
        <f t="shared" si="11"/>
        <v>1943028.9637286179</v>
      </c>
    </row>
    <row r="73" spans="1:27">
      <c r="K73" t="s">
        <v>87</v>
      </c>
      <c r="L73" s="67" t="s">
        <v>88</v>
      </c>
      <c r="M73" s="67" t="s">
        <v>89</v>
      </c>
      <c r="N73" s="67" t="s">
        <v>90</v>
      </c>
      <c r="O73" s="67" t="s">
        <v>91</v>
      </c>
      <c r="P73" s="67" t="s">
        <v>92</v>
      </c>
      <c r="Q73" s="67" t="s">
        <v>93</v>
      </c>
    </row>
    <row r="74" spans="1:27">
      <c r="K74" s="70">
        <f>$F$58/$F$54*15</f>
        <v>252138.16062143625</v>
      </c>
      <c r="L74" s="70">
        <f>K74</f>
        <v>252138.16062143625</v>
      </c>
      <c r="M74" s="70">
        <f t="shared" ref="M74:P74" si="12">L74</f>
        <v>252138.16062143625</v>
      </c>
      <c r="N74" s="70">
        <f t="shared" si="12"/>
        <v>252138.16062143625</v>
      </c>
      <c r="O74" s="70">
        <f t="shared" si="12"/>
        <v>252138.16062143625</v>
      </c>
      <c r="P74" s="70">
        <f t="shared" si="12"/>
        <v>252138.16062143625</v>
      </c>
      <c r="Q74" s="70">
        <v>31200</v>
      </c>
      <c r="R74" s="70"/>
    </row>
    <row r="75" spans="1:27">
      <c r="K75" s="70">
        <f>(500*$B$32)+(100*$B$33)</f>
        <v>300000</v>
      </c>
      <c r="L75" s="71"/>
      <c r="M75" s="70">
        <f>(500*$B$32)+(100*$B$33)</f>
        <v>300000</v>
      </c>
      <c r="N75" s="71"/>
      <c r="O75" s="71"/>
      <c r="P75" s="70">
        <f>(800*$B$32)+(100*$B$33)</f>
        <v>435000</v>
      </c>
      <c r="Q75" s="71"/>
      <c r="R75" s="70"/>
    </row>
    <row r="76" spans="1:27">
      <c r="K76" s="71"/>
      <c r="L76" s="70">
        <f>$I$44+$I$45</f>
        <v>0</v>
      </c>
      <c r="M76" s="71"/>
      <c r="N76" s="70">
        <f>$I$46+$I$47</f>
        <v>300000</v>
      </c>
      <c r="O76" s="70">
        <f>$I$48+$I$49</f>
        <v>94000</v>
      </c>
      <c r="P76" s="71"/>
      <c r="Q76" s="70">
        <f>$I$50</f>
        <v>0</v>
      </c>
      <c r="R76" s="70"/>
    </row>
    <row r="77" spans="1:27">
      <c r="K77" s="70"/>
      <c r="L77" s="71"/>
      <c r="M77" s="70">
        <f>-($F$4+$F$5)</f>
        <v>-1030000</v>
      </c>
      <c r="N77" s="71"/>
      <c r="O77" s="71"/>
      <c r="P77" s="70">
        <f>-$F$8</f>
        <v>0</v>
      </c>
      <c r="Q77" s="71"/>
      <c r="R77" s="70"/>
    </row>
    <row r="78" spans="1:27">
      <c r="K78" s="70">
        <f>SUM(K74:K77)</f>
        <v>552138.16062143631</v>
      </c>
      <c r="L78" s="70">
        <f t="shared" ref="L78:Q78" si="13">SUM(L74:L77)</f>
        <v>252138.16062143625</v>
      </c>
      <c r="M78" s="70">
        <f t="shared" si="13"/>
        <v>-477861.83937856369</v>
      </c>
      <c r="N78" s="70">
        <f t="shared" si="13"/>
        <v>552138.16062143631</v>
      </c>
      <c r="O78" s="70">
        <f t="shared" si="13"/>
        <v>346138.16062143625</v>
      </c>
      <c r="P78" s="70">
        <f t="shared" si="13"/>
        <v>687138.16062143631</v>
      </c>
      <c r="Q78" s="70">
        <f t="shared" si="13"/>
        <v>31200</v>
      </c>
      <c r="R78" s="70"/>
    </row>
    <row r="79" spans="1:27">
      <c r="K79" s="73">
        <f>K78</f>
        <v>552138.16062143631</v>
      </c>
      <c r="L79" s="73">
        <f>K78+L78</f>
        <v>804276.32124287263</v>
      </c>
      <c r="M79" s="73">
        <f>L79+M78</f>
        <v>326414.48186430894</v>
      </c>
      <c r="N79" s="73">
        <f t="shared" ref="N79:P79" si="14">M79+N78</f>
        <v>878552.64248574525</v>
      </c>
      <c r="O79" s="73">
        <f t="shared" si="14"/>
        <v>1224690.8031071816</v>
      </c>
      <c r="P79" s="70">
        <f t="shared" si="14"/>
        <v>1911828.9637286179</v>
      </c>
      <c r="Q79" s="70">
        <f>P79+Q78</f>
        <v>1943028.9637286179</v>
      </c>
      <c r="R79" s="70">
        <f>Q79</f>
        <v>1943028.9637286179</v>
      </c>
      <c r="S79" s="70">
        <f t="shared" ref="S79:AA79" si="15">R79</f>
        <v>1943028.9637286179</v>
      </c>
      <c r="T79" s="70">
        <f t="shared" si="15"/>
        <v>1943028.9637286179</v>
      </c>
      <c r="U79" s="70">
        <f t="shared" si="15"/>
        <v>1943028.9637286179</v>
      </c>
      <c r="V79" s="70">
        <f t="shared" si="15"/>
        <v>1943028.9637286179</v>
      </c>
      <c r="W79" s="70">
        <f t="shared" si="15"/>
        <v>1943028.9637286179</v>
      </c>
      <c r="X79" s="70">
        <f t="shared" si="15"/>
        <v>1943028.9637286179</v>
      </c>
      <c r="Y79" s="70">
        <f t="shared" si="15"/>
        <v>1943028.9637286179</v>
      </c>
      <c r="Z79" s="70">
        <f t="shared" si="15"/>
        <v>1943028.9637286179</v>
      </c>
      <c r="AA79" s="70">
        <f t="shared" si="15"/>
        <v>1943028.9637286179</v>
      </c>
    </row>
    <row r="81" spans="8:27">
      <c r="M81" t="s">
        <v>87</v>
      </c>
      <c r="N81" s="67" t="s">
        <v>88</v>
      </c>
      <c r="O81" s="67" t="s">
        <v>89</v>
      </c>
      <c r="P81" s="67" t="s">
        <v>90</v>
      </c>
      <c r="Q81" s="67" t="s">
        <v>91</v>
      </c>
      <c r="R81" s="67" t="s">
        <v>92</v>
      </c>
      <c r="S81" s="67" t="s">
        <v>93</v>
      </c>
    </row>
    <row r="82" spans="8:27">
      <c r="H82" s="4"/>
      <c r="I82" s="4"/>
      <c r="J82" s="4"/>
      <c r="K82" s="4"/>
      <c r="L82" s="4"/>
      <c r="M82" s="70">
        <f>$F$58/$F$54*15</f>
        <v>252138.16062143625</v>
      </c>
      <c r="N82" s="70">
        <f>M82</f>
        <v>252138.16062143625</v>
      </c>
      <c r="O82" s="70">
        <f t="shared" ref="O82:R82" si="16">N82</f>
        <v>252138.16062143625</v>
      </c>
      <c r="P82" s="70">
        <f t="shared" si="16"/>
        <v>252138.16062143625</v>
      </c>
      <c r="Q82" s="70">
        <f t="shared" si="16"/>
        <v>252138.16062143625</v>
      </c>
      <c r="R82" s="70">
        <f t="shared" si="16"/>
        <v>252138.16062143625</v>
      </c>
      <c r="S82" s="70">
        <v>31200</v>
      </c>
    </row>
    <row r="83" spans="8:27">
      <c r="M83" s="70">
        <f>(500*$B$32)+(100*$B$33)</f>
        <v>300000</v>
      </c>
      <c r="N83" s="71"/>
      <c r="O83" s="70">
        <f>(500*$B$32)+(100*$B$33)</f>
        <v>300000</v>
      </c>
      <c r="P83" s="71"/>
      <c r="Q83" s="71"/>
      <c r="R83" s="70">
        <f>(800*$B$32)+(100*$B$33)</f>
        <v>435000</v>
      </c>
      <c r="S83" s="71"/>
    </row>
    <row r="84" spans="8:27">
      <c r="M84" s="71"/>
      <c r="N84" s="70">
        <f>$I$44+$I$45</f>
        <v>0</v>
      </c>
      <c r="O84" s="71"/>
      <c r="P84" s="70">
        <f>$I$46+$I$47</f>
        <v>300000</v>
      </c>
      <c r="Q84" s="70">
        <f>$I$48+$I$49</f>
        <v>94000</v>
      </c>
      <c r="R84" s="71"/>
      <c r="S84" s="70">
        <f>$I$50</f>
        <v>0</v>
      </c>
    </row>
    <row r="85" spans="8:27">
      <c r="M85" s="70"/>
      <c r="N85" s="71"/>
      <c r="O85" s="70">
        <f>-($F$4+$F$5)</f>
        <v>-1030000</v>
      </c>
      <c r="P85" s="71"/>
      <c r="Q85" s="71"/>
      <c r="R85" s="70">
        <f>-$F$8</f>
        <v>0</v>
      </c>
      <c r="S85" s="71"/>
    </row>
    <row r="86" spans="8:27">
      <c r="M86" s="70">
        <f>SUM(M82:M85)</f>
        <v>552138.16062143631</v>
      </c>
      <c r="N86" s="70">
        <f t="shared" ref="N86:S86" si="17">SUM(N82:N85)</f>
        <v>252138.16062143625</v>
      </c>
      <c r="O86" s="70">
        <f t="shared" si="17"/>
        <v>-477861.83937856369</v>
      </c>
      <c r="P86" s="70">
        <f t="shared" si="17"/>
        <v>552138.16062143631</v>
      </c>
      <c r="Q86" s="70">
        <f t="shared" si="17"/>
        <v>346138.16062143625</v>
      </c>
      <c r="R86" s="70">
        <f t="shared" si="17"/>
        <v>687138.16062143631</v>
      </c>
      <c r="S86" s="70">
        <f t="shared" si="17"/>
        <v>31200</v>
      </c>
    </row>
    <row r="87" spans="8:27">
      <c r="M87" s="73">
        <f>M86</f>
        <v>552138.16062143631</v>
      </c>
      <c r="N87" s="73">
        <f>M86+N86</f>
        <v>804276.32124287263</v>
      </c>
      <c r="O87" s="73">
        <f>N87+O86</f>
        <v>326414.48186430894</v>
      </c>
      <c r="P87" s="73">
        <f t="shared" ref="P87:R87" si="18">O87+P86</f>
        <v>878552.64248574525</v>
      </c>
      <c r="Q87" s="73">
        <f t="shared" si="18"/>
        <v>1224690.8031071816</v>
      </c>
      <c r="R87" s="70">
        <f t="shared" si="18"/>
        <v>1911828.9637286179</v>
      </c>
      <c r="S87" s="70">
        <f>R87+S86</f>
        <v>1943028.9637286179</v>
      </c>
      <c r="T87" s="4">
        <f>S87</f>
        <v>1943028.9637286179</v>
      </c>
      <c r="U87" s="4">
        <f t="shared" ref="U87:AA87" si="19">T87</f>
        <v>1943028.9637286179</v>
      </c>
      <c r="V87" s="4">
        <f t="shared" si="19"/>
        <v>1943028.9637286179</v>
      </c>
      <c r="W87" s="4">
        <f t="shared" si="19"/>
        <v>1943028.9637286179</v>
      </c>
      <c r="X87" s="4">
        <f t="shared" si="19"/>
        <v>1943028.9637286179</v>
      </c>
      <c r="Y87" s="4">
        <f t="shared" si="19"/>
        <v>1943028.9637286179</v>
      </c>
      <c r="Z87" s="4">
        <f t="shared" si="19"/>
        <v>1943028.9637286179</v>
      </c>
      <c r="AA87" s="4">
        <f t="shared" si="19"/>
        <v>1943028.9637286179</v>
      </c>
    </row>
    <row r="90" spans="8:27">
      <c r="O90" t="s">
        <v>87</v>
      </c>
      <c r="P90" s="67" t="s">
        <v>88</v>
      </c>
      <c r="Q90" s="67" t="s">
        <v>89</v>
      </c>
      <c r="R90" s="67" t="s">
        <v>90</v>
      </c>
      <c r="S90" s="67" t="s">
        <v>91</v>
      </c>
      <c r="T90" s="67" t="s">
        <v>92</v>
      </c>
      <c r="U90" s="67" t="s">
        <v>93</v>
      </c>
    </row>
    <row r="91" spans="8:27">
      <c r="O91" s="70">
        <f>$F$58/$F$54*15</f>
        <v>252138.16062143625</v>
      </c>
      <c r="P91" s="70">
        <f>O91</f>
        <v>252138.16062143625</v>
      </c>
      <c r="Q91" s="70">
        <f t="shared" ref="Q91:T91" si="20">P91</f>
        <v>252138.16062143625</v>
      </c>
      <c r="R91" s="70">
        <f t="shared" si="20"/>
        <v>252138.16062143625</v>
      </c>
      <c r="S91" s="70">
        <f t="shared" si="20"/>
        <v>252138.16062143625</v>
      </c>
      <c r="T91" s="70">
        <f t="shared" si="20"/>
        <v>252138.16062143625</v>
      </c>
      <c r="U91" s="70">
        <v>31200</v>
      </c>
    </row>
    <row r="92" spans="8:27">
      <c r="O92" s="70">
        <f>(500*$B$32)+(100*$B$33)</f>
        <v>300000</v>
      </c>
      <c r="P92" s="71"/>
      <c r="Q92" s="70">
        <f>(500*$B$32)+(100*$B$33)</f>
        <v>300000</v>
      </c>
      <c r="R92" s="71"/>
      <c r="S92" s="71"/>
      <c r="T92" s="70">
        <f>(800*$B$32)+(100*$B$33)</f>
        <v>435000</v>
      </c>
      <c r="U92" s="71"/>
    </row>
    <row r="93" spans="8:27">
      <c r="O93" s="71"/>
      <c r="P93" s="70">
        <f>$I$44+$I$45</f>
        <v>0</v>
      </c>
      <c r="Q93" s="71"/>
      <c r="R93" s="70">
        <f>$I$46+$I$47</f>
        <v>300000</v>
      </c>
      <c r="S93" s="70">
        <f>$I$48+$I$49</f>
        <v>94000</v>
      </c>
      <c r="T93" s="71"/>
      <c r="U93" s="70">
        <f>$I$50</f>
        <v>0</v>
      </c>
    </row>
    <row r="94" spans="8:27">
      <c r="O94" s="70"/>
      <c r="P94" s="71"/>
      <c r="Q94" s="70">
        <f>-($F$4+$F$5)</f>
        <v>-1030000</v>
      </c>
      <c r="R94" s="71"/>
      <c r="S94" s="71"/>
      <c r="T94" s="70">
        <f>-$F$8</f>
        <v>0</v>
      </c>
      <c r="U94" s="71"/>
    </row>
    <row r="95" spans="8:27">
      <c r="O95" s="70">
        <f>SUM(O91:O94)</f>
        <v>552138.16062143631</v>
      </c>
      <c r="P95" s="70">
        <f t="shared" ref="P95:U95" si="21">SUM(P91:P94)</f>
        <v>252138.16062143625</v>
      </c>
      <c r="Q95" s="70">
        <f t="shared" si="21"/>
        <v>-477861.83937856369</v>
      </c>
      <c r="R95" s="70">
        <f t="shared" si="21"/>
        <v>552138.16062143631</v>
      </c>
      <c r="S95" s="70">
        <f t="shared" si="21"/>
        <v>346138.16062143625</v>
      </c>
      <c r="T95" s="70">
        <f t="shared" si="21"/>
        <v>687138.16062143631</v>
      </c>
      <c r="U95" s="70">
        <f t="shared" si="21"/>
        <v>31200</v>
      </c>
    </row>
    <row r="96" spans="8:27">
      <c r="O96" s="73">
        <f>O95</f>
        <v>552138.16062143631</v>
      </c>
      <c r="P96" s="73">
        <f>O95+P95</f>
        <v>804276.32124287263</v>
      </c>
      <c r="Q96" s="73">
        <f>P96+Q95</f>
        <v>326414.48186430894</v>
      </c>
      <c r="R96" s="73">
        <f t="shared" ref="R96:T96" si="22">Q96+R95</f>
        <v>878552.64248574525</v>
      </c>
      <c r="S96" s="73">
        <f t="shared" si="22"/>
        <v>1224690.8031071816</v>
      </c>
      <c r="T96" s="70">
        <f t="shared" si="22"/>
        <v>1911828.9637286179</v>
      </c>
      <c r="U96" s="70">
        <f>T96+U95</f>
        <v>1943028.9637286179</v>
      </c>
      <c r="V96" s="4">
        <f>U96</f>
        <v>1943028.9637286179</v>
      </c>
      <c r="W96" s="4">
        <f>V96</f>
        <v>1943028.9637286179</v>
      </c>
      <c r="X96" s="4">
        <f t="shared" ref="X96:AA96" si="23">W96</f>
        <v>1943028.9637286179</v>
      </c>
      <c r="Y96" s="4">
        <f t="shared" si="23"/>
        <v>1943028.9637286179</v>
      </c>
      <c r="Z96" s="4">
        <f t="shared" si="23"/>
        <v>1943028.9637286179</v>
      </c>
      <c r="AA96" s="4">
        <f t="shared" si="23"/>
        <v>1943028.9637286179</v>
      </c>
    </row>
    <row r="99" spans="17:27">
      <c r="Q99" t="s">
        <v>87</v>
      </c>
      <c r="R99" s="67" t="s">
        <v>88</v>
      </c>
      <c r="S99" s="67" t="s">
        <v>89</v>
      </c>
      <c r="T99" s="67" t="s">
        <v>90</v>
      </c>
      <c r="U99" s="67" t="s">
        <v>91</v>
      </c>
      <c r="V99" s="67" t="s">
        <v>92</v>
      </c>
      <c r="W99" s="67" t="s">
        <v>93</v>
      </c>
    </row>
    <row r="100" spans="17:27">
      <c r="Q100" s="70">
        <f>$F$58/$F$54*15</f>
        <v>252138.16062143625</v>
      </c>
      <c r="R100" s="70">
        <f>Q100</f>
        <v>252138.16062143625</v>
      </c>
      <c r="S100" s="70">
        <f t="shared" ref="S100:V100" si="24">R100</f>
        <v>252138.16062143625</v>
      </c>
      <c r="T100" s="70">
        <f t="shared" si="24"/>
        <v>252138.16062143625</v>
      </c>
      <c r="U100" s="70">
        <f t="shared" si="24"/>
        <v>252138.16062143625</v>
      </c>
      <c r="V100" s="70">
        <f t="shared" si="24"/>
        <v>252138.16062143625</v>
      </c>
      <c r="W100" s="70">
        <v>31200</v>
      </c>
    </row>
    <row r="101" spans="17:27">
      <c r="Q101" s="70">
        <f>(500*$B$32)+(100*$B$33)</f>
        <v>300000</v>
      </c>
      <c r="R101" s="71"/>
      <c r="S101" s="70">
        <f>(500*$B$32)+(100*$B$33)</f>
        <v>300000</v>
      </c>
      <c r="T101" s="71"/>
      <c r="U101" s="71"/>
      <c r="V101" s="70">
        <f>(800*$B$32)+(100*$B$33)</f>
        <v>435000</v>
      </c>
      <c r="W101" s="71"/>
    </row>
    <row r="102" spans="17:27">
      <c r="Q102" s="71"/>
      <c r="R102" s="70">
        <f>$I$44+$I$45</f>
        <v>0</v>
      </c>
      <c r="S102" s="71"/>
      <c r="T102" s="70">
        <f>$I$46+$I$47</f>
        <v>300000</v>
      </c>
      <c r="U102" s="70">
        <f>$I$48+$I$49</f>
        <v>94000</v>
      </c>
      <c r="V102" s="71"/>
      <c r="W102" s="70">
        <f>$I$50</f>
        <v>0</v>
      </c>
    </row>
    <row r="103" spans="17:27">
      <c r="Q103" s="70"/>
      <c r="R103" s="71"/>
      <c r="S103" s="70">
        <f>-($F$4+$F$5)</f>
        <v>-1030000</v>
      </c>
      <c r="T103" s="71"/>
      <c r="U103" s="71"/>
      <c r="V103" s="70">
        <f>-$F$8</f>
        <v>0</v>
      </c>
      <c r="W103" s="71"/>
    </row>
    <row r="104" spans="17:27">
      <c r="Q104" s="70">
        <f>SUM(Q100:Q103)</f>
        <v>552138.16062143631</v>
      </c>
      <c r="R104" s="70">
        <f t="shared" ref="R104:W104" si="25">SUM(R100:R103)</f>
        <v>252138.16062143625</v>
      </c>
      <c r="S104" s="70">
        <f t="shared" si="25"/>
        <v>-477861.83937856369</v>
      </c>
      <c r="T104" s="70">
        <f t="shared" si="25"/>
        <v>552138.16062143631</v>
      </c>
      <c r="U104" s="70">
        <f t="shared" si="25"/>
        <v>346138.16062143625</v>
      </c>
      <c r="V104" s="70">
        <f t="shared" si="25"/>
        <v>687138.16062143631</v>
      </c>
      <c r="W104" s="70">
        <f t="shared" si="25"/>
        <v>31200</v>
      </c>
    </row>
    <row r="105" spans="17:27">
      <c r="Q105" s="73">
        <f>Q104</f>
        <v>552138.16062143631</v>
      </c>
      <c r="R105" s="73">
        <f>Q104+R104</f>
        <v>804276.32124287263</v>
      </c>
      <c r="S105" s="73">
        <f>R105+S104</f>
        <v>326414.48186430894</v>
      </c>
      <c r="T105" s="73">
        <f t="shared" ref="T105:V105" si="26">S105+T104</f>
        <v>878552.64248574525</v>
      </c>
      <c r="U105" s="73">
        <f t="shared" si="26"/>
        <v>1224690.8031071816</v>
      </c>
      <c r="V105" s="70">
        <f t="shared" si="26"/>
        <v>1911828.9637286179</v>
      </c>
      <c r="W105" s="70">
        <f>V105+W104</f>
        <v>1943028.9637286179</v>
      </c>
      <c r="X105" s="4">
        <f>W105</f>
        <v>1943028.9637286179</v>
      </c>
      <c r="Y105" s="4">
        <f t="shared" ref="Y105:AA105" si="27">X105</f>
        <v>1943028.9637286179</v>
      </c>
      <c r="Z105" s="4">
        <f t="shared" si="27"/>
        <v>1943028.9637286179</v>
      </c>
      <c r="AA105" s="4">
        <f t="shared" si="27"/>
        <v>1943028.9637286179</v>
      </c>
    </row>
    <row r="107" spans="17:27">
      <c r="S107" t="s">
        <v>87</v>
      </c>
      <c r="T107" s="67" t="s">
        <v>88</v>
      </c>
      <c r="U107" s="67" t="s">
        <v>89</v>
      </c>
      <c r="V107" s="67" t="s">
        <v>90</v>
      </c>
      <c r="W107" s="67" t="s">
        <v>91</v>
      </c>
      <c r="X107" s="67" t="s">
        <v>92</v>
      </c>
      <c r="Y107" s="67" t="s">
        <v>93</v>
      </c>
    </row>
    <row r="108" spans="17:27">
      <c r="S108" s="70">
        <f>$F$58/$F$54*15</f>
        <v>252138.16062143625</v>
      </c>
      <c r="T108" s="70">
        <f>S108</f>
        <v>252138.16062143625</v>
      </c>
      <c r="U108" s="70">
        <f t="shared" ref="U108:X108" si="28">T108</f>
        <v>252138.16062143625</v>
      </c>
      <c r="V108" s="70">
        <f t="shared" si="28"/>
        <v>252138.16062143625</v>
      </c>
      <c r="W108" s="70">
        <f t="shared" si="28"/>
        <v>252138.16062143625</v>
      </c>
      <c r="X108" s="70">
        <f t="shared" si="28"/>
        <v>252138.16062143625</v>
      </c>
      <c r="Y108" s="70">
        <v>31200</v>
      </c>
    </row>
    <row r="109" spans="17:27">
      <c r="S109" s="70">
        <f>(500*$B$32)+(100*$B$33)</f>
        <v>300000</v>
      </c>
      <c r="T109" s="71"/>
      <c r="U109" s="70">
        <f>(500*$B$32)+(100*$B$33)</f>
        <v>300000</v>
      </c>
      <c r="V109" s="71"/>
      <c r="W109" s="71"/>
      <c r="X109" s="70">
        <f>(800*$B$32)+(100*$B$33)</f>
        <v>435000</v>
      </c>
      <c r="Y109" s="71"/>
    </row>
    <row r="110" spans="17:27">
      <c r="S110" s="71"/>
      <c r="T110" s="70">
        <f>$I$44+$I$45</f>
        <v>0</v>
      </c>
      <c r="U110" s="71"/>
      <c r="V110" s="70">
        <f>$I$46+$I$47</f>
        <v>300000</v>
      </c>
      <c r="W110" s="70">
        <f>$I$48+$I$49</f>
        <v>94000</v>
      </c>
      <c r="X110" s="71"/>
      <c r="Y110" s="70">
        <f>$I$50</f>
        <v>0</v>
      </c>
    </row>
    <row r="111" spans="17:27">
      <c r="S111" s="70"/>
      <c r="T111" s="71"/>
      <c r="U111" s="70">
        <f>-($F$4+$F$5)</f>
        <v>-1030000</v>
      </c>
      <c r="V111" s="71"/>
      <c r="W111" s="71"/>
      <c r="X111" s="70">
        <f>-$F$8</f>
        <v>0</v>
      </c>
      <c r="Y111" s="71"/>
    </row>
    <row r="112" spans="17:27">
      <c r="S112" s="70">
        <f>SUM(S108:S111)</f>
        <v>552138.16062143631</v>
      </c>
      <c r="T112" s="70">
        <f t="shared" ref="T112:Y112" si="29">SUM(T108:T111)</f>
        <v>252138.16062143625</v>
      </c>
      <c r="U112" s="70">
        <f t="shared" si="29"/>
        <v>-477861.83937856369</v>
      </c>
      <c r="V112" s="70">
        <f t="shared" si="29"/>
        <v>552138.16062143631</v>
      </c>
      <c r="W112" s="70">
        <f t="shared" si="29"/>
        <v>346138.16062143625</v>
      </c>
      <c r="X112" s="70">
        <f t="shared" si="29"/>
        <v>687138.16062143631</v>
      </c>
      <c r="Y112" s="70">
        <f t="shared" si="29"/>
        <v>31200</v>
      </c>
    </row>
    <row r="113" spans="19:27">
      <c r="S113" s="73">
        <f>S112</f>
        <v>552138.16062143631</v>
      </c>
      <c r="T113" s="73">
        <f>S112+T112</f>
        <v>804276.32124287263</v>
      </c>
      <c r="U113" s="73">
        <f>T113+U112</f>
        <v>326414.48186430894</v>
      </c>
      <c r="V113" s="73">
        <f t="shared" ref="V113:X113" si="30">U113+V112</f>
        <v>878552.64248574525</v>
      </c>
      <c r="W113" s="73">
        <f t="shared" si="30"/>
        <v>1224690.8031071816</v>
      </c>
      <c r="X113" s="70">
        <f t="shared" si="30"/>
        <v>1911828.9637286179</v>
      </c>
      <c r="Y113" s="70">
        <f>X113+Y112</f>
        <v>1943028.9637286179</v>
      </c>
      <c r="Z113" s="4">
        <f>Y113</f>
        <v>1943028.9637286179</v>
      </c>
      <c r="AA113" s="4">
        <f>Z113</f>
        <v>1943028.9637286179</v>
      </c>
    </row>
    <row r="115" spans="19:27">
      <c r="U115" t="s">
        <v>87</v>
      </c>
      <c r="V115" s="67" t="s">
        <v>88</v>
      </c>
      <c r="W115" s="67" t="s">
        <v>89</v>
      </c>
      <c r="X115" s="67" t="s">
        <v>90</v>
      </c>
      <c r="Y115" s="67" t="s">
        <v>91</v>
      </c>
      <c r="Z115" s="67" t="s">
        <v>92</v>
      </c>
      <c r="AA115" s="67" t="s">
        <v>93</v>
      </c>
    </row>
    <row r="116" spans="19:27">
      <c r="U116" s="70">
        <f>$F$58/$F$54*15</f>
        <v>252138.16062143625</v>
      </c>
      <c r="V116" s="70">
        <f>U116</f>
        <v>252138.16062143625</v>
      </c>
      <c r="W116" s="70">
        <f t="shared" ref="W116:Z116" si="31">V116</f>
        <v>252138.16062143625</v>
      </c>
      <c r="X116" s="70">
        <f t="shared" si="31"/>
        <v>252138.16062143625</v>
      </c>
      <c r="Y116" s="70">
        <f t="shared" si="31"/>
        <v>252138.16062143625</v>
      </c>
      <c r="Z116" s="70">
        <f t="shared" si="31"/>
        <v>252138.16062143625</v>
      </c>
      <c r="AA116" s="70">
        <v>31200</v>
      </c>
    </row>
    <row r="117" spans="19:27">
      <c r="U117" s="70">
        <f>(500*$B$32)+(100*$B$33)</f>
        <v>300000</v>
      </c>
      <c r="V117" s="71"/>
      <c r="W117" s="70">
        <f>(500*$B$32)+(100*$B$33)</f>
        <v>300000</v>
      </c>
      <c r="X117" s="71"/>
      <c r="Y117" s="71"/>
      <c r="Z117" s="70">
        <f>(800*$B$32)+(100*$B$33)</f>
        <v>435000</v>
      </c>
      <c r="AA117" s="71"/>
    </row>
    <row r="118" spans="19:27">
      <c r="U118" s="71"/>
      <c r="V118" s="70">
        <f>$I$44+$I$45</f>
        <v>0</v>
      </c>
      <c r="W118" s="71"/>
      <c r="X118" s="70">
        <f>$I$46+$I$47</f>
        <v>300000</v>
      </c>
      <c r="Y118" s="70">
        <f>$I$48+$I$49</f>
        <v>94000</v>
      </c>
      <c r="Z118" s="71"/>
      <c r="AA118" s="70">
        <f>$I$50</f>
        <v>0</v>
      </c>
    </row>
    <row r="119" spans="19:27">
      <c r="U119" s="70"/>
      <c r="V119" s="71"/>
      <c r="W119" s="70">
        <f>-($F$4+$F$5)</f>
        <v>-1030000</v>
      </c>
      <c r="X119" s="71"/>
      <c r="Y119" s="71"/>
      <c r="Z119" s="70">
        <f>-$F$8</f>
        <v>0</v>
      </c>
      <c r="AA119" s="71"/>
    </row>
    <row r="120" spans="19:27">
      <c r="U120" s="70">
        <f>SUM(U116:U119)</f>
        <v>552138.16062143631</v>
      </c>
      <c r="V120" s="70">
        <f t="shared" ref="V120:AA120" si="32">SUM(V116:V119)</f>
        <v>252138.16062143625</v>
      </c>
      <c r="W120" s="70">
        <f t="shared" si="32"/>
        <v>-477861.83937856369</v>
      </c>
      <c r="X120" s="70">
        <f t="shared" si="32"/>
        <v>552138.16062143631</v>
      </c>
      <c r="Y120" s="70">
        <f t="shared" si="32"/>
        <v>346138.16062143625</v>
      </c>
      <c r="Z120" s="70">
        <f t="shared" si="32"/>
        <v>687138.16062143631</v>
      </c>
      <c r="AA120" s="70">
        <f t="shared" si="32"/>
        <v>31200</v>
      </c>
    </row>
    <row r="121" spans="19:27">
      <c r="U121" s="73">
        <f>U120</f>
        <v>552138.16062143631</v>
      </c>
      <c r="V121" s="73">
        <f>U120+V120</f>
        <v>804276.32124287263</v>
      </c>
      <c r="W121" s="73">
        <f>V121+W120</f>
        <v>326414.48186430894</v>
      </c>
      <c r="X121" s="73">
        <f t="shared" ref="X121:Z121" si="33">W121+X120</f>
        <v>878552.64248574525</v>
      </c>
      <c r="Y121" s="73">
        <f t="shared" si="33"/>
        <v>1224690.8031071816</v>
      </c>
      <c r="Z121" s="70">
        <f t="shared" si="33"/>
        <v>1911828.9637286179</v>
      </c>
      <c r="AA121" s="70">
        <f>Z121+AA120</f>
        <v>1943028.9637286179</v>
      </c>
    </row>
    <row r="129" spans="7:27">
      <c r="G129" s="4">
        <f>G63+G71+G79+G87+G96+G105+G113+G121</f>
        <v>552138.16062143631</v>
      </c>
      <c r="H129" s="4">
        <f t="shared" ref="H129:AA129" si="34">H63+H71+H79+H87+H96+H105+H113+H121</f>
        <v>804276.32124287263</v>
      </c>
      <c r="I129" s="4">
        <f t="shared" si="34"/>
        <v>878552.64248574525</v>
      </c>
      <c r="J129" s="4">
        <f t="shared" si="34"/>
        <v>1682828.9637286179</v>
      </c>
      <c r="K129" s="4">
        <f t="shared" si="34"/>
        <v>2103243.4455929268</v>
      </c>
      <c r="L129" s="4">
        <f t="shared" si="34"/>
        <v>3594657.9274572358</v>
      </c>
      <c r="M129" s="4">
        <f t="shared" si="34"/>
        <v>4046272.4093215447</v>
      </c>
      <c r="N129" s="4">
        <f t="shared" si="34"/>
        <v>5537686.8911858536</v>
      </c>
      <c r="O129" s="4">
        <f t="shared" si="34"/>
        <v>5989301.3730501626</v>
      </c>
      <c r="P129" s="4">
        <f t="shared" si="34"/>
        <v>7480715.8549144715</v>
      </c>
      <c r="Q129" s="4">
        <f t="shared" si="34"/>
        <v>7932330.3367787804</v>
      </c>
      <c r="R129" s="4">
        <f t="shared" si="34"/>
        <v>9423744.8186430894</v>
      </c>
      <c r="S129" s="4">
        <f t="shared" si="34"/>
        <v>9875359.3005073983</v>
      </c>
      <c r="T129" s="4">
        <f t="shared" si="34"/>
        <v>11366773.782371707</v>
      </c>
      <c r="U129" s="4">
        <f t="shared" si="34"/>
        <v>11818388.264236016</v>
      </c>
      <c r="V129" s="4">
        <f t="shared" si="34"/>
        <v>13309802.746100325</v>
      </c>
      <c r="W129" s="4">
        <f t="shared" si="34"/>
        <v>13209279.067343198</v>
      </c>
      <c r="X129" s="4">
        <f t="shared" si="34"/>
        <v>14448555.38858607</v>
      </c>
      <c r="Y129" s="4">
        <f t="shared" si="34"/>
        <v>14825893.549207507</v>
      </c>
      <c r="Z129" s="4">
        <f t="shared" si="34"/>
        <v>15513031.709828943</v>
      </c>
      <c r="AA129" s="4">
        <f t="shared" si="34"/>
        <v>15544231.709828943</v>
      </c>
    </row>
  </sheetData>
  <mergeCells count="28">
    <mergeCell ref="A53:C53"/>
    <mergeCell ref="F54:H54"/>
    <mergeCell ref="A57:C57"/>
    <mergeCell ref="A45:B45"/>
    <mergeCell ref="A46:B46"/>
    <mergeCell ref="A47:B47"/>
    <mergeCell ref="A49:B49"/>
    <mergeCell ref="A50:B50"/>
    <mergeCell ref="A51:B51"/>
    <mergeCell ref="A44:B44"/>
    <mergeCell ref="A12:C12"/>
    <mergeCell ref="A13:C13"/>
    <mergeCell ref="D13:E13"/>
    <mergeCell ref="A14:C14"/>
    <mergeCell ref="A15:C15"/>
    <mergeCell ref="D15:E15"/>
    <mergeCell ref="A21:C21"/>
    <mergeCell ref="A29:C29"/>
    <mergeCell ref="D30:F30"/>
    <mergeCell ref="A41:C41"/>
    <mergeCell ref="A43:B43"/>
    <mergeCell ref="A11:C11"/>
    <mergeCell ref="D11:E11"/>
    <mergeCell ref="A2:C2"/>
    <mergeCell ref="A4:B4"/>
    <mergeCell ref="A7:C7"/>
    <mergeCell ref="D7:E7"/>
    <mergeCell ref="A8:C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A130"/>
  <sheetViews>
    <sheetView topLeftCell="A35" workbookViewId="0">
      <selection activeCell="E45" sqref="E45"/>
    </sheetView>
  </sheetViews>
  <sheetFormatPr defaultColWidth="11.42578125" defaultRowHeight="14.45"/>
  <cols>
    <col min="4" max="4" width="11.5703125" customWidth="1"/>
    <col min="5" max="5" width="13.7109375" customWidth="1"/>
    <col min="6" max="6" width="13.7109375" bestFit="1" customWidth="1"/>
    <col min="8" max="8" width="13.7109375" customWidth="1"/>
    <col min="9" max="9" width="13" customWidth="1"/>
    <col min="10" max="11" width="12.7109375" customWidth="1"/>
    <col min="12" max="12" width="13.42578125" bestFit="1" customWidth="1"/>
    <col min="13" max="13" width="13.28515625" customWidth="1"/>
    <col min="14" max="14" width="14" customWidth="1"/>
    <col min="15" max="15" width="13.42578125" customWidth="1"/>
    <col min="16" max="16" width="13.42578125" bestFit="1" customWidth="1"/>
    <col min="17" max="17" width="12.7109375" bestFit="1" customWidth="1"/>
    <col min="18" max="18" width="13.42578125" bestFit="1" customWidth="1"/>
    <col min="19" max="19" width="13.28515625" customWidth="1"/>
    <col min="20" max="20" width="13.42578125" bestFit="1" customWidth="1"/>
    <col min="21" max="21" width="11.7109375" bestFit="1" customWidth="1"/>
    <col min="22" max="23" width="13.42578125" bestFit="1" customWidth="1"/>
    <col min="24" max="24" width="13.7109375" bestFit="1" customWidth="1"/>
    <col min="25" max="25" width="13.42578125" bestFit="1" customWidth="1"/>
    <col min="26" max="26" width="13.7109375" bestFit="1" customWidth="1"/>
    <col min="27" max="27" width="13.42578125" bestFit="1" customWidth="1"/>
  </cols>
  <sheetData>
    <row r="2" spans="1:6" ht="15" thickBot="1">
      <c r="A2" s="112" t="s">
        <v>0</v>
      </c>
      <c r="B2" s="112"/>
      <c r="C2" s="112"/>
    </row>
    <row r="3" spans="1:6">
      <c r="A3" s="31" t="s">
        <v>1</v>
      </c>
      <c r="B3" s="7"/>
      <c r="C3" s="7"/>
      <c r="D3" s="32" t="s">
        <v>2</v>
      </c>
      <c r="E3" s="32" t="s">
        <v>3</v>
      </c>
      <c r="F3" s="8" t="s">
        <v>4</v>
      </c>
    </row>
    <row r="4" spans="1:6">
      <c r="A4" s="106" t="s">
        <v>107</v>
      </c>
      <c r="B4" s="107"/>
      <c r="C4" s="45"/>
      <c r="D4" s="9">
        <v>41000</v>
      </c>
      <c r="E4" s="10">
        <v>29.5</v>
      </c>
      <c r="F4" s="11">
        <f>D4*E4</f>
        <v>1209500</v>
      </c>
    </row>
    <row r="5" spans="1:6">
      <c r="A5" s="98"/>
      <c r="B5" s="99"/>
      <c r="C5" s="99"/>
      <c r="D5" s="9"/>
      <c r="E5" s="10"/>
      <c r="F5" s="11">
        <f t="shared" ref="F5:F6" si="0">D5*E5</f>
        <v>0</v>
      </c>
    </row>
    <row r="6" spans="1:6">
      <c r="A6" s="98"/>
      <c r="B6" s="99"/>
      <c r="C6" s="99"/>
      <c r="D6" s="9"/>
      <c r="E6" s="10"/>
      <c r="F6" s="11">
        <f t="shared" si="0"/>
        <v>0</v>
      </c>
    </row>
    <row r="7" spans="1:6">
      <c r="A7" s="100" t="s">
        <v>7</v>
      </c>
      <c r="B7" s="101"/>
      <c r="C7" s="101"/>
      <c r="D7" s="102">
        <v>1.2500000000000001E-2</v>
      </c>
      <c r="E7" s="102"/>
      <c r="F7" s="11">
        <f>(SUM(F4:F6))*-D7</f>
        <v>-15118.75</v>
      </c>
    </row>
    <row r="8" spans="1:6">
      <c r="A8" s="106"/>
      <c r="B8" s="107"/>
      <c r="C8" s="107"/>
      <c r="D8" s="9"/>
      <c r="E8" s="10"/>
      <c r="F8" s="11">
        <f>D8*E8</f>
        <v>0</v>
      </c>
    </row>
    <row r="9" spans="1:6">
      <c r="A9" s="98"/>
      <c r="B9" s="99"/>
      <c r="C9" s="99"/>
      <c r="D9" s="9"/>
      <c r="E9" s="10"/>
      <c r="F9" s="11">
        <f t="shared" ref="F9:F10" si="1">D9*E9</f>
        <v>0</v>
      </c>
    </row>
    <row r="10" spans="1:6">
      <c r="A10" s="98"/>
      <c r="B10" s="99"/>
      <c r="C10" s="99"/>
      <c r="D10" s="9"/>
      <c r="E10" s="10"/>
      <c r="F10" s="11">
        <f t="shared" si="1"/>
        <v>0</v>
      </c>
    </row>
    <row r="11" spans="1:6">
      <c r="A11" s="100" t="s">
        <v>7</v>
      </c>
      <c r="B11" s="101"/>
      <c r="C11" s="101"/>
      <c r="D11" s="102">
        <v>1.2500000000000001E-2</v>
      </c>
      <c r="E11" s="102"/>
      <c r="F11" s="11">
        <f>(SUM(F8:F10))*-D11</f>
        <v>0</v>
      </c>
    </row>
    <row r="12" spans="1:6">
      <c r="A12" s="106"/>
      <c r="B12" s="107"/>
      <c r="C12" s="107"/>
      <c r="D12" s="9"/>
      <c r="E12" s="10"/>
      <c r="F12" s="11">
        <f>D12*E12</f>
        <v>0</v>
      </c>
    </row>
    <row r="13" spans="1:6">
      <c r="A13" s="100" t="s">
        <v>7</v>
      </c>
      <c r="B13" s="101"/>
      <c r="C13" s="101"/>
      <c r="D13" s="102">
        <v>1.2500000000000001E-2</v>
      </c>
      <c r="E13" s="102"/>
      <c r="F13" s="11">
        <f>F12*-D13</f>
        <v>0</v>
      </c>
    </row>
    <row r="14" spans="1:6">
      <c r="A14" s="106"/>
      <c r="B14" s="107"/>
      <c r="C14" s="107"/>
      <c r="D14" s="9"/>
      <c r="E14" s="10"/>
      <c r="F14" s="11">
        <f>D14*E14</f>
        <v>0</v>
      </c>
    </row>
    <row r="15" spans="1:6">
      <c r="A15" s="100" t="s">
        <v>7</v>
      </c>
      <c r="B15" s="101"/>
      <c r="C15" s="101"/>
      <c r="D15" s="102">
        <v>1.2500000000000001E-2</v>
      </c>
      <c r="E15" s="102"/>
      <c r="F15" s="11">
        <f>F14*-D15</f>
        <v>0</v>
      </c>
    </row>
    <row r="16" spans="1:6">
      <c r="A16" s="12" t="s">
        <v>8</v>
      </c>
      <c r="B16" s="5"/>
      <c r="C16" s="5"/>
      <c r="D16" s="5"/>
      <c r="E16" s="5"/>
      <c r="F16" s="13">
        <f>F4+F5+F6+F8+F9+F10+F12+F14</f>
        <v>1209500</v>
      </c>
    </row>
    <row r="17" spans="1:24">
      <c r="A17" s="12" t="s">
        <v>9</v>
      </c>
      <c r="B17" s="5"/>
      <c r="C17" s="5"/>
      <c r="D17" s="5"/>
      <c r="E17" s="5"/>
      <c r="F17" s="13">
        <f>F7+F11+F13+F15</f>
        <v>-15118.75</v>
      </c>
    </row>
    <row r="18" spans="1:24" ht="15" thickBot="1">
      <c r="A18" s="14" t="s">
        <v>10</v>
      </c>
      <c r="B18" s="15"/>
      <c r="C18" s="15"/>
      <c r="D18" s="15"/>
      <c r="E18" s="15"/>
      <c r="F18" s="16">
        <f>F16+F17</f>
        <v>1194381.25</v>
      </c>
    </row>
    <row r="19" spans="1:24">
      <c r="F19" s="4"/>
    </row>
    <row r="20" spans="1:24">
      <c r="F20" s="4"/>
    </row>
    <row r="21" spans="1:24" ht="15" thickBot="1">
      <c r="A21" s="112" t="s">
        <v>26</v>
      </c>
      <c r="B21" s="112"/>
      <c r="C21" s="112"/>
    </row>
    <row r="22" spans="1:24">
      <c r="A22" s="6"/>
      <c r="B22" s="7"/>
      <c r="C22" s="32" t="s">
        <v>27</v>
      </c>
      <c r="D22" s="7" t="s">
        <v>28</v>
      </c>
      <c r="E22" s="7" t="s">
        <v>29</v>
      </c>
      <c r="F22" s="8" t="s">
        <v>30</v>
      </c>
    </row>
    <row r="23" spans="1:24">
      <c r="A23" s="19" t="s">
        <v>31</v>
      </c>
      <c r="C23" s="10">
        <v>9000</v>
      </c>
      <c r="D23" s="18">
        <v>3.7499999999999999E-2</v>
      </c>
      <c r="E23" s="17">
        <f>C23*(1-D23)</f>
        <v>8662.5</v>
      </c>
      <c r="F23" s="20">
        <f>E23*F55</f>
        <v>474790.84008097165</v>
      </c>
    </row>
    <row r="24" spans="1:24">
      <c r="A24" s="33" t="s">
        <v>32</v>
      </c>
      <c r="F24" s="23">
        <v>5000</v>
      </c>
    </row>
    <row r="25" spans="1:24">
      <c r="A25" s="33" t="s">
        <v>33</v>
      </c>
      <c r="F25" s="23">
        <v>7000</v>
      </c>
    </row>
    <row r="26" spans="1:24" ht="15" thickBot="1">
      <c r="A26" s="21" t="s">
        <v>34</v>
      </c>
      <c r="B26" s="22"/>
      <c r="C26" s="22"/>
      <c r="D26" s="22"/>
      <c r="E26" s="22"/>
      <c r="F26" s="35">
        <f>SUM(F23:F25)</f>
        <v>486790.84008097165</v>
      </c>
    </row>
    <row r="27" spans="1:24">
      <c r="F27" s="42"/>
    </row>
    <row r="28" spans="1:24">
      <c r="F28" s="42"/>
    </row>
    <row r="29" spans="1:24" ht="15" thickBot="1">
      <c r="A29" s="112" t="s">
        <v>35</v>
      </c>
      <c r="B29" s="112"/>
      <c r="C29" s="112"/>
    </row>
    <row r="30" spans="1:24">
      <c r="A30" s="6"/>
      <c r="B30" s="7"/>
      <c r="C30" s="7"/>
      <c r="D30" s="113" t="s">
        <v>36</v>
      </c>
      <c r="E30" s="113"/>
      <c r="F30" s="113"/>
      <c r="G30" s="7"/>
      <c r="H30" s="8"/>
      <c r="N30" s="2"/>
      <c r="O30" s="2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 s="19" t="s">
        <v>37</v>
      </c>
      <c r="D31" s="34" t="s">
        <v>38</v>
      </c>
      <c r="E31" s="34" t="s">
        <v>39</v>
      </c>
      <c r="F31" s="34" t="s">
        <v>40</v>
      </c>
      <c r="H31" s="36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7" t="s">
        <v>41</v>
      </c>
      <c r="B32" s="26">
        <v>320</v>
      </c>
      <c r="C32" s="24" t="s">
        <v>42</v>
      </c>
      <c r="D32" s="27">
        <v>33</v>
      </c>
      <c r="E32" s="27">
        <v>1</v>
      </c>
      <c r="F32" s="27">
        <v>1</v>
      </c>
      <c r="H32" s="36"/>
      <c r="N32" s="2"/>
      <c r="O32" s="2"/>
      <c r="P32" s="3"/>
      <c r="Q32" s="3"/>
      <c r="R32" s="3"/>
      <c r="S32" s="3"/>
      <c r="T32" s="3"/>
      <c r="U32" s="3"/>
      <c r="V32" s="3"/>
      <c r="W32" s="3"/>
      <c r="X32" s="3"/>
    </row>
    <row r="33" spans="1:24">
      <c r="A33" s="37" t="s">
        <v>43</v>
      </c>
      <c r="B33" s="26">
        <v>518</v>
      </c>
      <c r="C33" s="24" t="s">
        <v>42</v>
      </c>
      <c r="D33" s="27">
        <v>0.5</v>
      </c>
      <c r="E33" s="27">
        <v>4</v>
      </c>
      <c r="F33" s="27">
        <v>0.5</v>
      </c>
      <c r="H33" s="36"/>
      <c r="N33" s="2"/>
      <c r="O33" s="2"/>
      <c r="P33" s="3"/>
      <c r="Q33" s="3"/>
      <c r="R33" s="3"/>
      <c r="S33" s="3"/>
      <c r="T33" s="3"/>
      <c r="U33" s="3"/>
      <c r="V33" s="3"/>
      <c r="W33" s="3"/>
      <c r="X33" s="3"/>
    </row>
    <row r="34" spans="1:24">
      <c r="A34" s="19"/>
      <c r="H34" s="36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7" t="s">
        <v>44</v>
      </c>
      <c r="B35" s="28">
        <v>13</v>
      </c>
      <c r="C35" s="24" t="s">
        <v>45</v>
      </c>
      <c r="D35" s="24" t="s">
        <v>46</v>
      </c>
      <c r="E35" s="24" t="s">
        <v>47</v>
      </c>
      <c r="F35" s="24" t="s">
        <v>48</v>
      </c>
      <c r="G35" s="24" t="s">
        <v>49</v>
      </c>
      <c r="H35" s="38" t="s">
        <v>50</v>
      </c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7" t="s">
        <v>51</v>
      </c>
      <c r="B36" s="29">
        <v>0.05</v>
      </c>
      <c r="C36" s="24"/>
      <c r="D36" s="30" t="s">
        <v>41</v>
      </c>
      <c r="E36" s="30">
        <f>B32*D32*F54</f>
        <v>360301.21457489883</v>
      </c>
      <c r="F36" s="30">
        <f>B32*E32*H54</f>
        <v>4060.9523809523807</v>
      </c>
      <c r="G36" s="30">
        <f>B32*F32*G54</f>
        <v>2560</v>
      </c>
      <c r="H36" s="39">
        <f>SUM(E36:G36)</f>
        <v>366922.16695585119</v>
      </c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40" t="s">
        <v>52</v>
      </c>
      <c r="B37" s="24">
        <f>B35*(1-B36)</f>
        <v>12.35</v>
      </c>
      <c r="C37" s="24" t="s">
        <v>45</v>
      </c>
      <c r="D37" s="24" t="s">
        <v>43</v>
      </c>
      <c r="E37" s="30">
        <f>B33*D33*F54</f>
        <v>8836.9331983805678</v>
      </c>
      <c r="F37" s="30">
        <f>B33*E33*H54</f>
        <v>26294.666666666664</v>
      </c>
      <c r="G37" s="30">
        <f>B33*F33*G54</f>
        <v>2072</v>
      </c>
      <c r="H37" s="39">
        <f>SUM(E37:G37)</f>
        <v>37203.599865047232</v>
      </c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</row>
    <row r="38" spans="1:24" ht="15" thickBot="1">
      <c r="A38" s="14" t="s">
        <v>53</v>
      </c>
      <c r="B38" s="15"/>
      <c r="C38" s="15"/>
      <c r="D38" s="15"/>
      <c r="E38" s="15"/>
      <c r="F38" s="15"/>
      <c r="G38" s="15"/>
      <c r="H38" s="41">
        <f>SUM(H36:H37)</f>
        <v>404125.7668208984</v>
      </c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</row>
    <row r="39" spans="1:24"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</row>
    <row r="41" spans="1:24" ht="15" thickBot="1">
      <c r="A41" s="114" t="s">
        <v>11</v>
      </c>
      <c r="B41" s="114"/>
      <c r="C41" s="114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6" t="s">
        <v>12</v>
      </c>
      <c r="B42" s="7"/>
      <c r="C42" s="7" t="s">
        <v>13</v>
      </c>
      <c r="D42" s="7" t="s">
        <v>14</v>
      </c>
      <c r="E42" s="50" t="s">
        <v>15</v>
      </c>
      <c r="F42" s="50" t="s">
        <v>16</v>
      </c>
      <c r="G42" s="7" t="s">
        <v>62</v>
      </c>
      <c r="H42" s="7" t="s">
        <v>18</v>
      </c>
      <c r="I42" s="8" t="s">
        <v>19</v>
      </c>
      <c r="N42" s="1"/>
      <c r="O42" s="2"/>
      <c r="P42" s="3"/>
      <c r="Q42" s="3"/>
      <c r="R42" s="3"/>
      <c r="S42" s="3"/>
      <c r="T42" s="3"/>
      <c r="U42" s="3"/>
      <c r="V42" s="3"/>
      <c r="W42" s="3"/>
      <c r="X42" s="3"/>
    </row>
    <row r="43" spans="1:24">
      <c r="A43" s="106" t="s">
        <v>79</v>
      </c>
      <c r="B43" s="107"/>
      <c r="C43" s="97"/>
      <c r="E43" s="97"/>
      <c r="F43" s="97"/>
      <c r="I43" s="36"/>
      <c r="N43" s="1"/>
      <c r="O43" s="1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106"/>
      <c r="B44" s="107"/>
      <c r="C44" s="44"/>
      <c r="D44" s="28"/>
      <c r="E44" s="47"/>
      <c r="F44" s="43"/>
      <c r="G44" s="28"/>
      <c r="H44" s="46"/>
      <c r="I44" s="51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106" t="s">
        <v>108</v>
      </c>
      <c r="B45" s="107"/>
      <c r="C45" s="44"/>
      <c r="D45" s="28"/>
      <c r="E45" s="47"/>
      <c r="F45" s="43"/>
      <c r="G45" s="28"/>
      <c r="H45" s="24"/>
      <c r="I45" s="51">
        <v>5000</v>
      </c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106" t="s">
        <v>109</v>
      </c>
      <c r="B46" s="107"/>
      <c r="C46" s="44">
        <v>6000</v>
      </c>
      <c r="D46" s="28" t="s">
        <v>24</v>
      </c>
      <c r="E46" s="47">
        <v>2202</v>
      </c>
      <c r="F46" s="43">
        <f t="shared" ref="F46:F50" si="2">E46/$B$37/24</f>
        <v>7.4291497975708509</v>
      </c>
      <c r="G46" s="28">
        <v>2</v>
      </c>
      <c r="H46" s="25">
        <f>$D$4/C46</f>
        <v>6.833333333333333</v>
      </c>
      <c r="I46" s="51">
        <v>35000</v>
      </c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106" t="s">
        <v>110</v>
      </c>
      <c r="B47" s="107"/>
      <c r="C47" s="44"/>
      <c r="D47" s="28"/>
      <c r="E47" s="47"/>
      <c r="F47" s="43">
        <f t="shared" si="2"/>
        <v>0</v>
      </c>
      <c r="G47" s="28"/>
      <c r="H47" s="25"/>
      <c r="I47" s="51">
        <v>25000</v>
      </c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98" t="s">
        <v>108</v>
      </c>
      <c r="B48" s="99"/>
      <c r="C48" s="44"/>
      <c r="D48" s="28"/>
      <c r="E48" s="47">
        <v>2202</v>
      </c>
      <c r="F48" s="43">
        <f t="shared" si="2"/>
        <v>7.4291497975708509</v>
      </c>
      <c r="G48" s="28"/>
      <c r="H48" s="25"/>
      <c r="I48" s="51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</row>
    <row r="49" spans="1:27">
      <c r="A49" s="98" t="s">
        <v>111</v>
      </c>
      <c r="B49" s="99"/>
      <c r="C49" s="44"/>
      <c r="D49" s="28"/>
      <c r="E49" s="9"/>
      <c r="F49" s="43">
        <f t="shared" si="2"/>
        <v>0</v>
      </c>
      <c r="G49" s="28">
        <v>5</v>
      </c>
      <c r="H49" s="24"/>
      <c r="I49" s="51">
        <v>90000</v>
      </c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</row>
    <row r="50" spans="1:27">
      <c r="A50" s="106" t="s">
        <v>23</v>
      </c>
      <c r="B50" s="107"/>
      <c r="C50" s="44">
        <v>7000</v>
      </c>
      <c r="D50" s="28" t="s">
        <v>24</v>
      </c>
      <c r="E50" s="9">
        <v>5709</v>
      </c>
      <c r="F50" s="43">
        <f t="shared" si="2"/>
        <v>19.261133603238868</v>
      </c>
      <c r="G50" s="28">
        <v>1</v>
      </c>
      <c r="H50" s="25">
        <f>$D$4/C50</f>
        <v>5.8571428571428568</v>
      </c>
      <c r="I50" s="51">
        <v>35000</v>
      </c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</row>
    <row r="51" spans="1:27">
      <c r="A51" s="106"/>
      <c r="B51" s="107"/>
      <c r="C51" s="44"/>
      <c r="D51" s="28"/>
      <c r="E51" s="9"/>
      <c r="F51" s="43"/>
      <c r="G51" s="28"/>
      <c r="H51" s="24"/>
      <c r="I51" s="51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</row>
    <row r="52" spans="1:27">
      <c r="A52" s="106"/>
      <c r="B52" s="107"/>
      <c r="C52" s="9"/>
      <c r="D52" s="45"/>
      <c r="E52" s="9"/>
      <c r="F52" s="43"/>
      <c r="G52" s="28"/>
      <c r="H52" s="24"/>
      <c r="I52" s="51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</row>
    <row r="53" spans="1:27">
      <c r="A53" s="52"/>
      <c r="B53" s="53"/>
      <c r="C53" s="53"/>
      <c r="D53" s="53"/>
      <c r="E53" s="53"/>
      <c r="F53" s="49"/>
      <c r="G53" s="49"/>
      <c r="H53" s="49"/>
      <c r="I53" s="54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</row>
    <row r="54" spans="1:27">
      <c r="A54" s="108" t="s">
        <v>25</v>
      </c>
      <c r="B54" s="109"/>
      <c r="C54" s="109"/>
      <c r="D54" s="5"/>
      <c r="E54" s="5"/>
      <c r="F54" s="48">
        <f>SUM(F44:F52)</f>
        <v>34.11943319838057</v>
      </c>
      <c r="G54" s="48">
        <f>SUM(G44:G52)</f>
        <v>8</v>
      </c>
      <c r="H54" s="48">
        <f>SUM(H44:H52)</f>
        <v>12.69047619047619</v>
      </c>
      <c r="I54" s="38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</row>
    <row r="55" spans="1:27" ht="15" thickBot="1">
      <c r="A55" s="14" t="s">
        <v>6</v>
      </c>
      <c r="B55" s="15"/>
      <c r="C55" s="15"/>
      <c r="D55" s="15"/>
      <c r="E55" s="15"/>
      <c r="F55" s="110">
        <f>F54+H54+G54</f>
        <v>54.809909388856759</v>
      </c>
      <c r="G55" s="110"/>
      <c r="H55" s="110"/>
      <c r="I55" s="55">
        <f>SUM(I44:I54)</f>
        <v>190000</v>
      </c>
      <c r="P55" s="3"/>
      <c r="Q55" s="3"/>
      <c r="R55" s="3"/>
      <c r="S55" s="3"/>
      <c r="T55" s="3"/>
      <c r="U55" s="3"/>
      <c r="V55" s="3"/>
      <c r="W55" s="3"/>
      <c r="X55" s="3"/>
    </row>
    <row r="56" spans="1:27">
      <c r="P56" s="3"/>
      <c r="Q56" s="3"/>
      <c r="R56" s="3"/>
      <c r="S56" s="3"/>
      <c r="T56" s="3"/>
      <c r="U56" s="3"/>
      <c r="V56" s="3"/>
      <c r="W56" s="3"/>
      <c r="X56" s="3"/>
    </row>
    <row r="57" spans="1:27">
      <c r="G57" t="s">
        <v>85</v>
      </c>
      <c r="P57" s="3"/>
      <c r="Q57" s="3"/>
      <c r="R57" s="3"/>
      <c r="S57" s="3"/>
      <c r="T57" s="3"/>
      <c r="U57" s="3"/>
      <c r="V57" s="3"/>
      <c r="W57" s="3"/>
      <c r="X57" s="3"/>
    </row>
    <row r="58" spans="1:27" ht="15" thickBot="1">
      <c r="A58" s="114" t="s">
        <v>86</v>
      </c>
      <c r="B58" s="114"/>
      <c r="C58" s="114"/>
      <c r="G58" t="s">
        <v>87</v>
      </c>
      <c r="H58" s="67" t="s">
        <v>88</v>
      </c>
      <c r="I58" s="67" t="s">
        <v>89</v>
      </c>
      <c r="J58" s="67" t="s">
        <v>90</v>
      </c>
      <c r="K58" s="67" t="s">
        <v>91</v>
      </c>
      <c r="L58" s="67" t="s">
        <v>92</v>
      </c>
      <c r="M58" s="67" t="s">
        <v>93</v>
      </c>
      <c r="P58" s="3"/>
      <c r="Q58" s="3"/>
      <c r="R58" s="3"/>
      <c r="S58" s="3"/>
      <c r="T58" s="3"/>
      <c r="U58" s="3"/>
      <c r="V58" s="3"/>
      <c r="W58" s="3"/>
      <c r="X58" s="3"/>
    </row>
    <row r="59" spans="1:27">
      <c r="A59" s="57" t="s">
        <v>94</v>
      </c>
      <c r="B59" s="58"/>
      <c r="C59" s="58"/>
      <c r="D59" s="58"/>
      <c r="E59" s="58"/>
      <c r="F59" s="68">
        <f>F26</f>
        <v>486790.84008097165</v>
      </c>
      <c r="G59" s="70">
        <f>$F$59/$F$55*15</f>
        <v>133221.57767878185</v>
      </c>
      <c r="H59" s="70">
        <f>G59</f>
        <v>133221.57767878185</v>
      </c>
      <c r="I59" s="70">
        <f t="shared" ref="I59:L59" si="3">H59</f>
        <v>133221.57767878185</v>
      </c>
      <c r="J59" s="70">
        <f t="shared" si="3"/>
        <v>133221.57767878185</v>
      </c>
      <c r="K59" s="70">
        <f t="shared" si="3"/>
        <v>133221.57767878185</v>
      </c>
      <c r="L59" s="70">
        <f t="shared" si="3"/>
        <v>133221.57767878185</v>
      </c>
      <c r="M59" s="70">
        <v>31200</v>
      </c>
      <c r="N59" s="70"/>
      <c r="P59" s="3"/>
      <c r="Q59" s="3"/>
      <c r="R59" s="3"/>
      <c r="S59" s="3"/>
      <c r="T59" s="3"/>
      <c r="U59" s="3"/>
      <c r="V59" s="3"/>
      <c r="W59" s="3"/>
      <c r="X59" s="3"/>
    </row>
    <row r="60" spans="1:27">
      <c r="A60" s="59" t="s">
        <v>95</v>
      </c>
      <c r="B60" s="56"/>
      <c r="C60" s="56"/>
      <c r="D60" s="56"/>
      <c r="E60" s="56"/>
      <c r="F60" s="69">
        <f>H38</f>
        <v>404125.7668208984</v>
      </c>
      <c r="G60" s="70">
        <f>(500*$B$32)+(100*$B$33)</f>
        <v>211800</v>
      </c>
      <c r="H60" s="71"/>
      <c r="I60" s="70">
        <f>(500*$B$32)+(100*$B$33)</f>
        <v>211800</v>
      </c>
      <c r="J60" s="71"/>
      <c r="K60" s="71"/>
      <c r="L60" s="70">
        <f>(800*$B$32)+(100*$B$33)</f>
        <v>307800</v>
      </c>
      <c r="M60" s="71"/>
      <c r="N60" s="70"/>
      <c r="P60" s="3"/>
      <c r="Q60" s="3"/>
      <c r="R60" s="3"/>
      <c r="S60" s="3"/>
      <c r="T60" s="3"/>
      <c r="U60" s="3"/>
      <c r="V60" s="3"/>
      <c r="W60" s="3"/>
      <c r="X60" s="3"/>
    </row>
    <row r="61" spans="1:27">
      <c r="A61" s="59" t="s">
        <v>96</v>
      </c>
      <c r="B61" s="56"/>
      <c r="C61" s="56"/>
      <c r="D61" s="56"/>
      <c r="E61" s="56"/>
      <c r="F61" s="69">
        <f>I55</f>
        <v>190000</v>
      </c>
      <c r="G61" s="71"/>
      <c r="H61" s="70">
        <f>$I$44+$I$45</f>
        <v>5000</v>
      </c>
      <c r="I61" s="71"/>
      <c r="J61" s="70">
        <f>$I$46+$I$47</f>
        <v>60000</v>
      </c>
      <c r="K61" s="70">
        <f>$I$49+$I$50</f>
        <v>125000</v>
      </c>
      <c r="L61" s="71"/>
      <c r="M61" s="70">
        <f>$I$51</f>
        <v>0</v>
      </c>
      <c r="N61" s="70"/>
    </row>
    <row r="62" spans="1:27">
      <c r="A62" s="60"/>
      <c r="G62" s="70"/>
      <c r="H62" s="71"/>
      <c r="I62" s="70">
        <f>-($F$4+$F$5)</f>
        <v>-1209500</v>
      </c>
      <c r="J62" s="71"/>
      <c r="K62" s="71"/>
      <c r="L62" s="70">
        <f>-$F$8</f>
        <v>0</v>
      </c>
      <c r="M62" s="71"/>
      <c r="N62" s="70"/>
    </row>
    <row r="63" spans="1:27">
      <c r="A63" s="64" t="s">
        <v>58</v>
      </c>
      <c r="B63" s="65"/>
      <c r="C63" s="65"/>
      <c r="D63" s="65"/>
      <c r="E63" s="65"/>
      <c r="F63" s="72">
        <f>SUM(F59:F62)</f>
        <v>1080916.6069018701</v>
      </c>
      <c r="G63" s="70">
        <f>SUM(G59:G62)</f>
        <v>345021.57767878182</v>
      </c>
      <c r="H63" s="70">
        <f t="shared" ref="H63:M63" si="4">SUM(H59:H62)</f>
        <v>138221.57767878185</v>
      </c>
      <c r="I63" s="70">
        <f t="shared" si="4"/>
        <v>-864478.42232121818</v>
      </c>
      <c r="J63" s="70">
        <f t="shared" si="4"/>
        <v>193221.57767878185</v>
      </c>
      <c r="K63" s="70">
        <f t="shared" si="4"/>
        <v>258221.57767878185</v>
      </c>
      <c r="L63" s="70">
        <f t="shared" si="4"/>
        <v>441021.57767878182</v>
      </c>
      <c r="M63" s="70">
        <f t="shared" si="4"/>
        <v>31200</v>
      </c>
      <c r="N63" s="70"/>
    </row>
    <row r="64" spans="1:27">
      <c r="A64" s="60"/>
      <c r="F64" s="4"/>
      <c r="G64" s="73">
        <f>G63</f>
        <v>345021.57767878182</v>
      </c>
      <c r="H64" s="73">
        <f>G63+H63</f>
        <v>483243.15535756364</v>
      </c>
      <c r="I64" s="73">
        <f>H64+I63</f>
        <v>-381235.26696365455</v>
      </c>
      <c r="J64" s="73">
        <f t="shared" ref="J64:L64" si="5">I64+J63</f>
        <v>-188013.6892848727</v>
      </c>
      <c r="K64" s="73">
        <f t="shared" si="5"/>
        <v>70207.888393909147</v>
      </c>
      <c r="L64" s="70">
        <f t="shared" si="5"/>
        <v>511229.46607269096</v>
      </c>
      <c r="M64" s="70">
        <f>L64+M63</f>
        <v>542429.46607269091</v>
      </c>
      <c r="N64" s="70">
        <f>M64</f>
        <v>542429.46607269091</v>
      </c>
      <c r="O64" s="70">
        <f t="shared" ref="O64:AA64" si="6">N64</f>
        <v>542429.46607269091</v>
      </c>
      <c r="P64" s="70">
        <f t="shared" si="6"/>
        <v>542429.46607269091</v>
      </c>
      <c r="Q64" s="70">
        <f t="shared" si="6"/>
        <v>542429.46607269091</v>
      </c>
      <c r="R64" s="70">
        <f t="shared" si="6"/>
        <v>542429.46607269091</v>
      </c>
      <c r="S64" s="70">
        <f t="shared" si="6"/>
        <v>542429.46607269091</v>
      </c>
      <c r="T64" s="70">
        <f t="shared" si="6"/>
        <v>542429.46607269091</v>
      </c>
      <c r="U64" s="70">
        <f t="shared" si="6"/>
        <v>542429.46607269091</v>
      </c>
      <c r="V64" s="70">
        <f t="shared" si="6"/>
        <v>542429.46607269091</v>
      </c>
      <c r="W64" s="70">
        <f t="shared" si="6"/>
        <v>542429.46607269091</v>
      </c>
      <c r="X64" s="70">
        <f t="shared" si="6"/>
        <v>542429.46607269091</v>
      </c>
      <c r="Y64" s="70">
        <f t="shared" si="6"/>
        <v>542429.46607269091</v>
      </c>
      <c r="Z64" s="70">
        <f t="shared" si="6"/>
        <v>542429.46607269091</v>
      </c>
      <c r="AA64" s="70">
        <f t="shared" si="6"/>
        <v>542429.46607269091</v>
      </c>
    </row>
    <row r="65" spans="1:27">
      <c r="A65" s="64" t="s">
        <v>59</v>
      </c>
      <c r="B65" s="65"/>
      <c r="C65" s="65"/>
      <c r="D65" s="65"/>
      <c r="E65" s="65"/>
      <c r="F65" s="66">
        <f>F18</f>
        <v>1194381.25</v>
      </c>
    </row>
    <row r="66" spans="1:27">
      <c r="A66" s="64" t="s">
        <v>74</v>
      </c>
      <c r="B66" s="65"/>
      <c r="C66" s="65"/>
      <c r="D66" s="65"/>
      <c r="E66" s="65"/>
      <c r="F66" s="66">
        <f>F65-F63</f>
        <v>113464.64309812989</v>
      </c>
      <c r="I66" t="s">
        <v>87</v>
      </c>
      <c r="J66" s="67" t="s">
        <v>88</v>
      </c>
      <c r="K66" s="67" t="s">
        <v>89</v>
      </c>
      <c r="L66" s="67" t="s">
        <v>90</v>
      </c>
      <c r="M66" s="67" t="s">
        <v>91</v>
      </c>
      <c r="N66" s="67" t="s">
        <v>92</v>
      </c>
      <c r="O66" s="67" t="s">
        <v>93</v>
      </c>
    </row>
    <row r="67" spans="1:27" ht="15" thickBot="1">
      <c r="A67" s="61" t="s">
        <v>76</v>
      </c>
      <c r="B67" s="62"/>
      <c r="C67" s="62"/>
      <c r="D67" s="62"/>
      <c r="E67" s="62"/>
      <c r="F67" s="63">
        <f>F66/F55</f>
        <v>2070.1483429417613</v>
      </c>
      <c r="I67" s="70">
        <f>$F$59/$F$55*15</f>
        <v>133221.57767878185</v>
      </c>
      <c r="J67" s="70">
        <f>I67</f>
        <v>133221.57767878185</v>
      </c>
      <c r="K67" s="70">
        <f t="shared" ref="K67:N67" si="7">J67</f>
        <v>133221.57767878185</v>
      </c>
      <c r="L67" s="70">
        <f t="shared" si="7"/>
        <v>133221.57767878185</v>
      </c>
      <c r="M67" s="70">
        <f t="shared" si="7"/>
        <v>133221.57767878185</v>
      </c>
      <c r="N67" s="70">
        <f t="shared" si="7"/>
        <v>133221.57767878185</v>
      </c>
      <c r="O67" s="70">
        <v>31200</v>
      </c>
      <c r="P67" s="70"/>
    </row>
    <row r="68" spans="1:27">
      <c r="I68" s="70">
        <f>(500*$B$32)+(100*$B$33)</f>
        <v>211800</v>
      </c>
      <c r="J68" s="71"/>
      <c r="K68" s="70">
        <f>(500*$B$32)+(100*$B$33)</f>
        <v>211800</v>
      </c>
      <c r="L68" s="71"/>
      <c r="M68" s="71"/>
      <c r="N68" s="70">
        <f>(800*$B$32)+(100*$B$33)</f>
        <v>307800</v>
      </c>
      <c r="O68" s="71"/>
      <c r="P68" s="70"/>
    </row>
    <row r="69" spans="1:27">
      <c r="I69" s="71"/>
      <c r="J69" s="70">
        <f>$I$44+$I$45</f>
        <v>5000</v>
      </c>
      <c r="K69" s="71"/>
      <c r="L69" s="70">
        <f>$I$46+$I$47</f>
        <v>60000</v>
      </c>
      <c r="M69" s="70">
        <f>$I$49+$I$50</f>
        <v>125000</v>
      </c>
      <c r="N69" s="71"/>
      <c r="O69" s="70">
        <f>$I$51</f>
        <v>0</v>
      </c>
      <c r="P69" s="70"/>
    </row>
    <row r="70" spans="1:27">
      <c r="I70" s="70"/>
      <c r="J70" s="71"/>
      <c r="K70" s="70">
        <f>-($F$4+$F$5)</f>
        <v>-1209500</v>
      </c>
      <c r="L70" s="71"/>
      <c r="M70" s="71"/>
      <c r="N70" s="70">
        <f>-$F$8</f>
        <v>0</v>
      </c>
      <c r="O70" s="71"/>
      <c r="P70" s="70"/>
    </row>
    <row r="71" spans="1:27">
      <c r="A71" t="s">
        <v>106</v>
      </c>
      <c r="F71" s="4">
        <f>F59+F60</f>
        <v>890916.60690187011</v>
      </c>
      <c r="I71" s="70">
        <f>SUM(I67:I70)</f>
        <v>345021.57767878182</v>
      </c>
      <c r="J71" s="70">
        <f t="shared" ref="J71:O71" si="8">SUM(J67:J70)</f>
        <v>138221.57767878185</v>
      </c>
      <c r="K71" s="70">
        <f t="shared" si="8"/>
        <v>-864478.42232121818</v>
      </c>
      <c r="L71" s="70">
        <f t="shared" si="8"/>
        <v>193221.57767878185</v>
      </c>
      <c r="M71" s="70">
        <f t="shared" si="8"/>
        <v>258221.57767878185</v>
      </c>
      <c r="N71" s="70">
        <f t="shared" si="8"/>
        <v>441021.57767878182</v>
      </c>
      <c r="O71" s="70">
        <f t="shared" si="8"/>
        <v>31200</v>
      </c>
      <c r="P71" s="70"/>
    </row>
    <row r="72" spans="1:27">
      <c r="F72" s="4">
        <f>F71-sbm!F70</f>
        <v>269830.86972238286</v>
      </c>
      <c r="I72" s="73">
        <f>I71</f>
        <v>345021.57767878182</v>
      </c>
      <c r="J72" s="73">
        <f>I71+J71</f>
        <v>483243.15535756364</v>
      </c>
      <c r="K72" s="73">
        <f>J72+K71</f>
        <v>-381235.26696365455</v>
      </c>
      <c r="L72" s="73">
        <f t="shared" ref="L72:N72" si="9">K72+L71</f>
        <v>-188013.6892848727</v>
      </c>
      <c r="M72" s="73">
        <f t="shared" si="9"/>
        <v>70207.888393909147</v>
      </c>
      <c r="N72" s="70">
        <f t="shared" si="9"/>
        <v>511229.46607269096</v>
      </c>
      <c r="O72" s="70">
        <f>N72+O71</f>
        <v>542429.46607269091</v>
      </c>
      <c r="P72" s="70">
        <f>O72</f>
        <v>542429.46607269091</v>
      </c>
      <c r="Q72" s="70">
        <f t="shared" ref="Q72:AA72" si="10">P72</f>
        <v>542429.46607269091</v>
      </c>
      <c r="R72" s="70">
        <f t="shared" si="10"/>
        <v>542429.46607269091</v>
      </c>
      <c r="S72" s="70">
        <f t="shared" si="10"/>
        <v>542429.46607269091</v>
      </c>
      <c r="T72" s="70">
        <f t="shared" si="10"/>
        <v>542429.46607269091</v>
      </c>
      <c r="U72" s="70">
        <f t="shared" si="10"/>
        <v>542429.46607269091</v>
      </c>
      <c r="V72" s="70">
        <f t="shared" si="10"/>
        <v>542429.46607269091</v>
      </c>
      <c r="W72" s="70">
        <f t="shared" si="10"/>
        <v>542429.46607269091</v>
      </c>
      <c r="X72" s="70">
        <f t="shared" si="10"/>
        <v>542429.46607269091</v>
      </c>
      <c r="Y72" s="70">
        <f t="shared" si="10"/>
        <v>542429.46607269091</v>
      </c>
      <c r="Z72" s="70">
        <f t="shared" si="10"/>
        <v>542429.46607269091</v>
      </c>
      <c r="AA72" s="70">
        <f t="shared" si="10"/>
        <v>542429.46607269091</v>
      </c>
    </row>
    <row r="73" spans="1:27">
      <c r="E73" s="89">
        <f>D4</f>
        <v>41000</v>
      </c>
      <c r="F73">
        <f>F72/E73</f>
        <v>6.5812407249361673</v>
      </c>
    </row>
    <row r="74" spans="1:27">
      <c r="F74" s="4">
        <f>E4-F73</f>
        <v>22.918759275063834</v>
      </c>
      <c r="K74" t="s">
        <v>87</v>
      </c>
      <c r="L74" s="67" t="s">
        <v>88</v>
      </c>
      <c r="M74" s="67" t="s">
        <v>89</v>
      </c>
      <c r="N74" s="67" t="s">
        <v>90</v>
      </c>
      <c r="O74" s="67" t="s">
        <v>91</v>
      </c>
      <c r="P74" s="67" t="s">
        <v>92</v>
      </c>
      <c r="Q74" s="67" t="s">
        <v>93</v>
      </c>
    </row>
    <row r="75" spans="1:27">
      <c r="K75" s="70">
        <f>$F$59/$F$55*15</f>
        <v>133221.57767878185</v>
      </c>
      <c r="L75" s="70">
        <f>K75</f>
        <v>133221.57767878185</v>
      </c>
      <c r="M75" s="70">
        <f t="shared" ref="M75:P75" si="11">L75</f>
        <v>133221.57767878185</v>
      </c>
      <c r="N75" s="70">
        <f t="shared" si="11"/>
        <v>133221.57767878185</v>
      </c>
      <c r="O75" s="70">
        <f t="shared" si="11"/>
        <v>133221.57767878185</v>
      </c>
      <c r="P75" s="70">
        <f t="shared" si="11"/>
        <v>133221.57767878185</v>
      </c>
      <c r="Q75" s="70">
        <v>31200</v>
      </c>
      <c r="R75" s="70"/>
    </row>
    <row r="76" spans="1:27">
      <c r="K76" s="70">
        <f>(500*$B$32)+(100*$B$33)</f>
        <v>211800</v>
      </c>
      <c r="L76" s="71"/>
      <c r="M76" s="70">
        <f>(500*$B$32)+(100*$B$33)</f>
        <v>211800</v>
      </c>
      <c r="N76" s="71"/>
      <c r="O76" s="71"/>
      <c r="P76" s="70">
        <f>(800*$B$32)+(100*$B$33)</f>
        <v>307800</v>
      </c>
      <c r="Q76" s="71"/>
      <c r="R76" s="70"/>
    </row>
    <row r="77" spans="1:27">
      <c r="K77" s="71"/>
      <c r="L77" s="70">
        <f>$I$44+$I$45</f>
        <v>5000</v>
      </c>
      <c r="M77" s="71"/>
      <c r="N77" s="70">
        <f>$I$46+$I$47</f>
        <v>60000</v>
      </c>
      <c r="O77" s="70">
        <f>$I$49+$I$50</f>
        <v>125000</v>
      </c>
      <c r="P77" s="71"/>
      <c r="Q77" s="70">
        <f>$I$51</f>
        <v>0</v>
      </c>
      <c r="R77" s="70"/>
    </row>
    <row r="78" spans="1:27">
      <c r="K78" s="70"/>
      <c r="L78" s="71"/>
      <c r="M78" s="70">
        <f>-($F$4+$F$5)</f>
        <v>-1209500</v>
      </c>
      <c r="N78" s="71"/>
      <c r="O78" s="71"/>
      <c r="P78" s="70">
        <f>-$F$8</f>
        <v>0</v>
      </c>
      <c r="Q78" s="71"/>
      <c r="R78" s="70"/>
    </row>
    <row r="79" spans="1:27">
      <c r="K79" s="70">
        <f>SUM(K75:K78)</f>
        <v>345021.57767878182</v>
      </c>
      <c r="L79" s="70">
        <f t="shared" ref="L79:Q79" si="12">SUM(L75:L78)</f>
        <v>138221.57767878185</v>
      </c>
      <c r="M79" s="70">
        <f t="shared" si="12"/>
        <v>-864478.42232121818</v>
      </c>
      <c r="N79" s="70">
        <f t="shared" si="12"/>
        <v>193221.57767878185</v>
      </c>
      <c r="O79" s="70">
        <f t="shared" si="12"/>
        <v>258221.57767878185</v>
      </c>
      <c r="P79" s="70">
        <f t="shared" si="12"/>
        <v>441021.57767878182</v>
      </c>
      <c r="Q79" s="70">
        <f t="shared" si="12"/>
        <v>31200</v>
      </c>
      <c r="R79" s="70"/>
    </row>
    <row r="80" spans="1:27">
      <c r="K80" s="73">
        <f>K79</f>
        <v>345021.57767878182</v>
      </c>
      <c r="L80" s="73">
        <f>K79+L79</f>
        <v>483243.15535756364</v>
      </c>
      <c r="M80" s="73">
        <f>L80+M79</f>
        <v>-381235.26696365455</v>
      </c>
      <c r="N80" s="73">
        <f t="shared" ref="N80:P80" si="13">M80+N79</f>
        <v>-188013.6892848727</v>
      </c>
      <c r="O80" s="73">
        <f t="shared" si="13"/>
        <v>70207.888393909147</v>
      </c>
      <c r="P80" s="70">
        <f t="shared" si="13"/>
        <v>511229.46607269096</v>
      </c>
      <c r="Q80" s="70">
        <f>P80+Q79</f>
        <v>542429.46607269091</v>
      </c>
      <c r="R80" s="70">
        <f>Q80</f>
        <v>542429.46607269091</v>
      </c>
      <c r="S80" s="70">
        <f t="shared" ref="S80:AA80" si="14">R80</f>
        <v>542429.46607269091</v>
      </c>
      <c r="T80" s="70">
        <f t="shared" si="14"/>
        <v>542429.46607269091</v>
      </c>
      <c r="U80" s="70">
        <f t="shared" si="14"/>
        <v>542429.46607269091</v>
      </c>
      <c r="V80" s="70">
        <f t="shared" si="14"/>
        <v>542429.46607269091</v>
      </c>
      <c r="W80" s="70">
        <f t="shared" si="14"/>
        <v>542429.46607269091</v>
      </c>
      <c r="X80" s="70">
        <f t="shared" si="14"/>
        <v>542429.46607269091</v>
      </c>
      <c r="Y80" s="70">
        <f t="shared" si="14"/>
        <v>542429.46607269091</v>
      </c>
      <c r="Z80" s="70">
        <f t="shared" si="14"/>
        <v>542429.46607269091</v>
      </c>
      <c r="AA80" s="70">
        <f t="shared" si="14"/>
        <v>542429.46607269091</v>
      </c>
    </row>
    <row r="82" spans="8:27">
      <c r="M82" t="s">
        <v>87</v>
      </c>
      <c r="N82" s="67" t="s">
        <v>88</v>
      </c>
      <c r="O82" s="67" t="s">
        <v>89</v>
      </c>
      <c r="P82" s="67" t="s">
        <v>90</v>
      </c>
      <c r="Q82" s="67" t="s">
        <v>91</v>
      </c>
      <c r="R82" s="67" t="s">
        <v>92</v>
      </c>
      <c r="S82" s="67" t="s">
        <v>93</v>
      </c>
    </row>
    <row r="83" spans="8:27">
      <c r="H83" s="4"/>
      <c r="I83" s="4"/>
      <c r="J83" s="4"/>
      <c r="K83" s="4"/>
      <c r="L83" s="4"/>
      <c r="M83" s="70">
        <f>$F$59/$F$55*15</f>
        <v>133221.57767878185</v>
      </c>
      <c r="N83" s="70">
        <f>M83</f>
        <v>133221.57767878185</v>
      </c>
      <c r="O83" s="70">
        <f t="shared" ref="O83:R83" si="15">N83</f>
        <v>133221.57767878185</v>
      </c>
      <c r="P83" s="70">
        <f t="shared" si="15"/>
        <v>133221.57767878185</v>
      </c>
      <c r="Q83" s="70">
        <f t="shared" si="15"/>
        <v>133221.57767878185</v>
      </c>
      <c r="R83" s="70">
        <f t="shared" si="15"/>
        <v>133221.57767878185</v>
      </c>
      <c r="S83" s="70">
        <v>31200</v>
      </c>
    </row>
    <row r="84" spans="8:27">
      <c r="M84" s="70">
        <f>(500*$B$32)+(100*$B$33)</f>
        <v>211800</v>
      </c>
      <c r="N84" s="71"/>
      <c r="O84" s="70">
        <f>(500*$B$32)+(100*$B$33)</f>
        <v>211800</v>
      </c>
      <c r="P84" s="71"/>
      <c r="Q84" s="71"/>
      <c r="R84" s="70">
        <f>(800*$B$32)+(100*$B$33)</f>
        <v>307800</v>
      </c>
      <c r="S84" s="71"/>
    </row>
    <row r="85" spans="8:27">
      <c r="M85" s="71"/>
      <c r="N85" s="70">
        <f>$I$44+$I$45</f>
        <v>5000</v>
      </c>
      <c r="O85" s="71"/>
      <c r="P85" s="70">
        <f>$I$46+$I$47</f>
        <v>60000</v>
      </c>
      <c r="Q85" s="70">
        <f>$I$49+$I$50</f>
        <v>125000</v>
      </c>
      <c r="R85" s="71"/>
      <c r="S85" s="70">
        <f>$I$51</f>
        <v>0</v>
      </c>
    </row>
    <row r="86" spans="8:27">
      <c r="M86" s="70"/>
      <c r="N86" s="71"/>
      <c r="O86" s="70">
        <f>-($F$4+$F$5)</f>
        <v>-1209500</v>
      </c>
      <c r="P86" s="71"/>
      <c r="Q86" s="71"/>
      <c r="R86" s="70">
        <f>-$F$8</f>
        <v>0</v>
      </c>
      <c r="S86" s="71"/>
    </row>
    <row r="87" spans="8:27">
      <c r="M87" s="70">
        <f>SUM(M83:M86)</f>
        <v>345021.57767878182</v>
      </c>
      <c r="N87" s="70">
        <f t="shared" ref="N87:S87" si="16">SUM(N83:N86)</f>
        <v>138221.57767878185</v>
      </c>
      <c r="O87" s="70">
        <f t="shared" si="16"/>
        <v>-864478.42232121818</v>
      </c>
      <c r="P87" s="70">
        <f t="shared" si="16"/>
        <v>193221.57767878185</v>
      </c>
      <c r="Q87" s="70">
        <f t="shared" si="16"/>
        <v>258221.57767878185</v>
      </c>
      <c r="R87" s="70">
        <f t="shared" si="16"/>
        <v>441021.57767878182</v>
      </c>
      <c r="S87" s="70">
        <f t="shared" si="16"/>
        <v>31200</v>
      </c>
    </row>
    <row r="88" spans="8:27">
      <c r="M88" s="73">
        <f>M87</f>
        <v>345021.57767878182</v>
      </c>
      <c r="N88" s="73">
        <f>M87+N87</f>
        <v>483243.15535756364</v>
      </c>
      <c r="O88" s="73">
        <f>N88+O87</f>
        <v>-381235.26696365455</v>
      </c>
      <c r="P88" s="73">
        <f t="shared" ref="P88:R88" si="17">O88+P87</f>
        <v>-188013.6892848727</v>
      </c>
      <c r="Q88" s="73">
        <f t="shared" si="17"/>
        <v>70207.888393909147</v>
      </c>
      <c r="R88" s="70">
        <f t="shared" si="17"/>
        <v>511229.46607269096</v>
      </c>
      <c r="S88" s="70">
        <f>R88+S87</f>
        <v>542429.46607269091</v>
      </c>
      <c r="T88" s="4">
        <f>S88</f>
        <v>542429.46607269091</v>
      </c>
      <c r="U88" s="4">
        <f t="shared" ref="U88:AA88" si="18">T88</f>
        <v>542429.46607269091</v>
      </c>
      <c r="V88" s="4">
        <f t="shared" si="18"/>
        <v>542429.46607269091</v>
      </c>
      <c r="W88" s="4">
        <f t="shared" si="18"/>
        <v>542429.46607269091</v>
      </c>
      <c r="X88" s="4">
        <f t="shared" si="18"/>
        <v>542429.46607269091</v>
      </c>
      <c r="Y88" s="4">
        <f t="shared" si="18"/>
        <v>542429.46607269091</v>
      </c>
      <c r="Z88" s="4">
        <f t="shared" si="18"/>
        <v>542429.46607269091</v>
      </c>
      <c r="AA88" s="4">
        <f t="shared" si="18"/>
        <v>542429.46607269091</v>
      </c>
    </row>
    <row r="91" spans="8:27">
      <c r="O91" t="s">
        <v>87</v>
      </c>
      <c r="P91" s="67" t="s">
        <v>88</v>
      </c>
      <c r="Q91" s="67" t="s">
        <v>89</v>
      </c>
      <c r="R91" s="67" t="s">
        <v>90</v>
      </c>
      <c r="S91" s="67" t="s">
        <v>91</v>
      </c>
      <c r="T91" s="67" t="s">
        <v>92</v>
      </c>
      <c r="U91" s="67" t="s">
        <v>93</v>
      </c>
    </row>
    <row r="92" spans="8:27">
      <c r="O92" s="70">
        <f>$F$59/$F$55*15</f>
        <v>133221.57767878185</v>
      </c>
      <c r="P92" s="70">
        <f>O92</f>
        <v>133221.57767878185</v>
      </c>
      <c r="Q92" s="70">
        <f t="shared" ref="Q92:T92" si="19">P92</f>
        <v>133221.57767878185</v>
      </c>
      <c r="R92" s="70">
        <f t="shared" si="19"/>
        <v>133221.57767878185</v>
      </c>
      <c r="S92" s="70">
        <f t="shared" si="19"/>
        <v>133221.57767878185</v>
      </c>
      <c r="T92" s="70">
        <f t="shared" si="19"/>
        <v>133221.57767878185</v>
      </c>
      <c r="U92" s="70">
        <v>31200</v>
      </c>
    </row>
    <row r="93" spans="8:27">
      <c r="O93" s="70">
        <f>(500*$B$32)+(100*$B$33)</f>
        <v>211800</v>
      </c>
      <c r="P93" s="71"/>
      <c r="Q93" s="70">
        <f>(500*$B$32)+(100*$B$33)</f>
        <v>211800</v>
      </c>
      <c r="R93" s="71"/>
      <c r="S93" s="71"/>
      <c r="T93" s="70">
        <f>(800*$B$32)+(100*$B$33)</f>
        <v>307800</v>
      </c>
      <c r="U93" s="71"/>
    </row>
    <row r="94" spans="8:27">
      <c r="O94" s="71"/>
      <c r="P94" s="70">
        <f>$I$44+$I$45</f>
        <v>5000</v>
      </c>
      <c r="Q94" s="71"/>
      <c r="R94" s="70">
        <f>$I$46+$I$47</f>
        <v>60000</v>
      </c>
      <c r="S94" s="70">
        <f>$I$49+$I$50</f>
        <v>125000</v>
      </c>
      <c r="T94" s="71"/>
      <c r="U94" s="70">
        <f>$I$51</f>
        <v>0</v>
      </c>
    </row>
    <row r="95" spans="8:27">
      <c r="O95" s="70"/>
      <c r="P95" s="71"/>
      <c r="Q95" s="70">
        <f>-($F$4+$F$5)</f>
        <v>-1209500</v>
      </c>
      <c r="R95" s="71"/>
      <c r="S95" s="71"/>
      <c r="T95" s="70">
        <f>-$F$8</f>
        <v>0</v>
      </c>
      <c r="U95" s="71"/>
    </row>
    <row r="96" spans="8:27">
      <c r="O96" s="70">
        <f>SUM(O92:O95)</f>
        <v>345021.57767878182</v>
      </c>
      <c r="P96" s="70">
        <f t="shared" ref="P96:U96" si="20">SUM(P92:P95)</f>
        <v>138221.57767878185</v>
      </c>
      <c r="Q96" s="70">
        <f t="shared" si="20"/>
        <v>-864478.42232121818</v>
      </c>
      <c r="R96" s="70">
        <f t="shared" si="20"/>
        <v>193221.57767878185</v>
      </c>
      <c r="S96" s="70">
        <f t="shared" si="20"/>
        <v>258221.57767878185</v>
      </c>
      <c r="T96" s="70">
        <f t="shared" si="20"/>
        <v>441021.57767878182</v>
      </c>
      <c r="U96" s="70">
        <f t="shared" si="20"/>
        <v>31200</v>
      </c>
    </row>
    <row r="97" spans="15:27">
      <c r="O97" s="73">
        <f>O96</f>
        <v>345021.57767878182</v>
      </c>
      <c r="P97" s="73">
        <f>O96+P96</f>
        <v>483243.15535756364</v>
      </c>
      <c r="Q97" s="73">
        <f>P97+Q96</f>
        <v>-381235.26696365455</v>
      </c>
      <c r="R97" s="73">
        <f t="shared" ref="R97:T97" si="21">Q97+R96</f>
        <v>-188013.6892848727</v>
      </c>
      <c r="S97" s="73">
        <f t="shared" si="21"/>
        <v>70207.888393909147</v>
      </c>
      <c r="T97" s="70">
        <f t="shared" si="21"/>
        <v>511229.46607269096</v>
      </c>
      <c r="U97" s="70">
        <f>T97+U96</f>
        <v>542429.46607269091</v>
      </c>
      <c r="V97" s="4">
        <f>U97</f>
        <v>542429.46607269091</v>
      </c>
      <c r="W97" s="4">
        <f>V97</f>
        <v>542429.46607269091</v>
      </c>
      <c r="X97" s="4">
        <f t="shared" ref="X97:AA97" si="22">W97</f>
        <v>542429.46607269091</v>
      </c>
      <c r="Y97" s="4">
        <f t="shared" si="22"/>
        <v>542429.46607269091</v>
      </c>
      <c r="Z97" s="4">
        <f t="shared" si="22"/>
        <v>542429.46607269091</v>
      </c>
      <c r="AA97" s="4">
        <f t="shared" si="22"/>
        <v>542429.46607269091</v>
      </c>
    </row>
    <row r="100" spans="15:27">
      <c r="Q100" t="s">
        <v>87</v>
      </c>
      <c r="R100" s="67" t="s">
        <v>88</v>
      </c>
      <c r="S100" s="67" t="s">
        <v>89</v>
      </c>
      <c r="T100" s="67" t="s">
        <v>90</v>
      </c>
      <c r="U100" s="67" t="s">
        <v>91</v>
      </c>
      <c r="V100" s="67" t="s">
        <v>92</v>
      </c>
      <c r="W100" s="67" t="s">
        <v>93</v>
      </c>
    </row>
    <row r="101" spans="15:27">
      <c r="Q101" s="70">
        <f>$F$59/$F$55*15</f>
        <v>133221.57767878185</v>
      </c>
      <c r="R101" s="70">
        <f>Q101</f>
        <v>133221.57767878185</v>
      </c>
      <c r="S101" s="70">
        <f t="shared" ref="S101:V101" si="23">R101</f>
        <v>133221.57767878185</v>
      </c>
      <c r="T101" s="70">
        <f t="shared" si="23"/>
        <v>133221.57767878185</v>
      </c>
      <c r="U101" s="70">
        <f t="shared" si="23"/>
        <v>133221.57767878185</v>
      </c>
      <c r="V101" s="70">
        <f t="shared" si="23"/>
        <v>133221.57767878185</v>
      </c>
      <c r="W101" s="70">
        <v>31200</v>
      </c>
    </row>
    <row r="102" spans="15:27">
      <c r="Q102" s="70">
        <f>(500*$B$32)+(100*$B$33)</f>
        <v>211800</v>
      </c>
      <c r="R102" s="71"/>
      <c r="S102" s="70">
        <f>(500*$B$32)+(100*$B$33)</f>
        <v>211800</v>
      </c>
      <c r="T102" s="71"/>
      <c r="U102" s="71"/>
      <c r="V102" s="70">
        <f>(800*$B$32)+(100*$B$33)</f>
        <v>307800</v>
      </c>
      <c r="W102" s="71"/>
    </row>
    <row r="103" spans="15:27">
      <c r="Q103" s="71"/>
      <c r="R103" s="70">
        <f>$I$44+$I$45</f>
        <v>5000</v>
      </c>
      <c r="S103" s="71"/>
      <c r="T103" s="70">
        <f>$I$46+$I$47</f>
        <v>60000</v>
      </c>
      <c r="U103" s="70">
        <f>$I$49+$I$50</f>
        <v>125000</v>
      </c>
      <c r="V103" s="71"/>
      <c r="W103" s="70">
        <f>$I$51</f>
        <v>0</v>
      </c>
    </row>
    <row r="104" spans="15:27">
      <c r="Q104" s="70"/>
      <c r="R104" s="71"/>
      <c r="S104" s="70">
        <f>-($F$4+$F$5)</f>
        <v>-1209500</v>
      </c>
      <c r="T104" s="71"/>
      <c r="U104" s="71"/>
      <c r="V104" s="70">
        <f>-$F$8</f>
        <v>0</v>
      </c>
      <c r="W104" s="71"/>
    </row>
    <row r="105" spans="15:27">
      <c r="Q105" s="70">
        <f>SUM(Q101:Q104)</f>
        <v>345021.57767878182</v>
      </c>
      <c r="R105" s="70">
        <f t="shared" ref="R105:W105" si="24">SUM(R101:R104)</f>
        <v>138221.57767878185</v>
      </c>
      <c r="S105" s="70">
        <f t="shared" si="24"/>
        <v>-864478.42232121818</v>
      </c>
      <c r="T105" s="70">
        <f t="shared" si="24"/>
        <v>193221.57767878185</v>
      </c>
      <c r="U105" s="70">
        <f t="shared" si="24"/>
        <v>258221.57767878185</v>
      </c>
      <c r="V105" s="70">
        <f t="shared" si="24"/>
        <v>441021.57767878182</v>
      </c>
      <c r="W105" s="70">
        <f t="shared" si="24"/>
        <v>31200</v>
      </c>
    </row>
    <row r="106" spans="15:27">
      <c r="Q106" s="73">
        <f>Q105</f>
        <v>345021.57767878182</v>
      </c>
      <c r="R106" s="73">
        <f>Q105+R105</f>
        <v>483243.15535756364</v>
      </c>
      <c r="S106" s="73">
        <f>R106+S105</f>
        <v>-381235.26696365455</v>
      </c>
      <c r="T106" s="73">
        <f t="shared" ref="T106:V106" si="25">S106+T105</f>
        <v>-188013.6892848727</v>
      </c>
      <c r="U106" s="73">
        <f t="shared" si="25"/>
        <v>70207.888393909147</v>
      </c>
      <c r="V106" s="70">
        <f t="shared" si="25"/>
        <v>511229.46607269096</v>
      </c>
      <c r="W106" s="70">
        <f>V106+W105</f>
        <v>542429.46607269091</v>
      </c>
      <c r="X106" s="4">
        <f>W106</f>
        <v>542429.46607269091</v>
      </c>
      <c r="Y106" s="4">
        <f t="shared" ref="Y106:AA106" si="26">X106</f>
        <v>542429.46607269091</v>
      </c>
      <c r="Z106" s="4">
        <f t="shared" si="26"/>
        <v>542429.46607269091</v>
      </c>
      <c r="AA106" s="4">
        <f t="shared" si="26"/>
        <v>542429.46607269091</v>
      </c>
    </row>
    <row r="108" spans="15:27">
      <c r="S108" t="s">
        <v>87</v>
      </c>
      <c r="T108" s="67" t="s">
        <v>88</v>
      </c>
      <c r="U108" s="67" t="s">
        <v>89</v>
      </c>
      <c r="V108" s="67" t="s">
        <v>90</v>
      </c>
      <c r="W108" s="67" t="s">
        <v>91</v>
      </c>
      <c r="X108" s="67" t="s">
        <v>92</v>
      </c>
      <c r="Y108" s="67" t="s">
        <v>93</v>
      </c>
    </row>
    <row r="109" spans="15:27">
      <c r="S109" s="70">
        <f>$F$59/$F$55*15</f>
        <v>133221.57767878185</v>
      </c>
      <c r="T109" s="70">
        <f>S109</f>
        <v>133221.57767878185</v>
      </c>
      <c r="U109" s="70">
        <f t="shared" ref="U109:X109" si="27">T109</f>
        <v>133221.57767878185</v>
      </c>
      <c r="V109" s="70">
        <f t="shared" si="27"/>
        <v>133221.57767878185</v>
      </c>
      <c r="W109" s="70">
        <f t="shared" si="27"/>
        <v>133221.57767878185</v>
      </c>
      <c r="X109" s="70">
        <f t="shared" si="27"/>
        <v>133221.57767878185</v>
      </c>
      <c r="Y109" s="70">
        <v>31200</v>
      </c>
    </row>
    <row r="110" spans="15:27">
      <c r="S110" s="70">
        <f>(500*$B$32)+(100*$B$33)</f>
        <v>211800</v>
      </c>
      <c r="T110" s="71"/>
      <c r="U110" s="70">
        <f>(500*$B$32)+(100*$B$33)</f>
        <v>211800</v>
      </c>
      <c r="V110" s="71"/>
      <c r="W110" s="71"/>
      <c r="X110" s="70">
        <f>(800*$B$32)+(100*$B$33)</f>
        <v>307800</v>
      </c>
      <c r="Y110" s="71"/>
    </row>
    <row r="111" spans="15:27">
      <c r="S111" s="71"/>
      <c r="T111" s="70">
        <f>$I$44+$I$45</f>
        <v>5000</v>
      </c>
      <c r="U111" s="71"/>
      <c r="V111" s="70">
        <f>$I$46+$I$47</f>
        <v>60000</v>
      </c>
      <c r="W111" s="70">
        <f>$I$49+$I$50</f>
        <v>125000</v>
      </c>
      <c r="X111" s="71"/>
      <c r="Y111" s="70">
        <f>$I$51</f>
        <v>0</v>
      </c>
    </row>
    <row r="112" spans="15:27">
      <c r="S112" s="70"/>
      <c r="T112" s="71"/>
      <c r="U112" s="70">
        <f>-($F$4+$F$5)</f>
        <v>-1209500</v>
      </c>
      <c r="V112" s="71"/>
      <c r="W112" s="71"/>
      <c r="X112" s="70">
        <f>-$F$8</f>
        <v>0</v>
      </c>
      <c r="Y112" s="71"/>
    </row>
    <row r="113" spans="19:27">
      <c r="S113" s="70">
        <f>SUM(S109:S112)</f>
        <v>345021.57767878182</v>
      </c>
      <c r="T113" s="70">
        <f t="shared" ref="T113:Y113" si="28">SUM(T109:T112)</f>
        <v>138221.57767878185</v>
      </c>
      <c r="U113" s="70">
        <f t="shared" si="28"/>
        <v>-864478.42232121818</v>
      </c>
      <c r="V113" s="70">
        <f t="shared" si="28"/>
        <v>193221.57767878185</v>
      </c>
      <c r="W113" s="70">
        <f t="shared" si="28"/>
        <v>258221.57767878185</v>
      </c>
      <c r="X113" s="70">
        <f t="shared" si="28"/>
        <v>441021.57767878182</v>
      </c>
      <c r="Y113" s="70">
        <f t="shared" si="28"/>
        <v>31200</v>
      </c>
    </row>
    <row r="114" spans="19:27">
      <c r="S114" s="73">
        <f>S113</f>
        <v>345021.57767878182</v>
      </c>
      <c r="T114" s="73">
        <f>S113+T113</f>
        <v>483243.15535756364</v>
      </c>
      <c r="U114" s="73">
        <f>T114+U113</f>
        <v>-381235.26696365455</v>
      </c>
      <c r="V114" s="73">
        <f t="shared" ref="V114:X114" si="29">U114+V113</f>
        <v>-188013.6892848727</v>
      </c>
      <c r="W114" s="73">
        <f t="shared" si="29"/>
        <v>70207.888393909147</v>
      </c>
      <c r="X114" s="70">
        <f t="shared" si="29"/>
        <v>511229.46607269096</v>
      </c>
      <c r="Y114" s="70">
        <f>X114+Y113</f>
        <v>542429.46607269091</v>
      </c>
      <c r="Z114" s="4">
        <f>Y114</f>
        <v>542429.46607269091</v>
      </c>
      <c r="AA114" s="4">
        <f>Z114</f>
        <v>542429.46607269091</v>
      </c>
    </row>
    <row r="116" spans="19:27">
      <c r="U116" t="s">
        <v>87</v>
      </c>
      <c r="V116" s="67" t="s">
        <v>88</v>
      </c>
      <c r="W116" s="67" t="s">
        <v>89</v>
      </c>
      <c r="X116" s="67" t="s">
        <v>90</v>
      </c>
      <c r="Y116" s="67" t="s">
        <v>91</v>
      </c>
      <c r="Z116" s="67" t="s">
        <v>92</v>
      </c>
      <c r="AA116" s="67" t="s">
        <v>93</v>
      </c>
    </row>
    <row r="117" spans="19:27">
      <c r="U117" s="70">
        <f>$F$59/$F$55*15</f>
        <v>133221.57767878185</v>
      </c>
      <c r="V117" s="70">
        <f>U117</f>
        <v>133221.57767878185</v>
      </c>
      <c r="W117" s="70">
        <f t="shared" ref="W117:Z117" si="30">V117</f>
        <v>133221.57767878185</v>
      </c>
      <c r="X117" s="70">
        <f t="shared" si="30"/>
        <v>133221.57767878185</v>
      </c>
      <c r="Y117" s="70">
        <f t="shared" si="30"/>
        <v>133221.57767878185</v>
      </c>
      <c r="Z117" s="70">
        <f t="shared" si="30"/>
        <v>133221.57767878185</v>
      </c>
      <c r="AA117" s="70">
        <v>31200</v>
      </c>
    </row>
    <row r="118" spans="19:27">
      <c r="U118" s="70">
        <f>(500*$B$32)+(100*$B$33)</f>
        <v>211800</v>
      </c>
      <c r="V118" s="71"/>
      <c r="W118" s="70">
        <f>(500*$B$32)+(100*$B$33)</f>
        <v>211800</v>
      </c>
      <c r="X118" s="71"/>
      <c r="Y118" s="71"/>
      <c r="Z118" s="70">
        <f>(800*$B$32)+(100*$B$33)</f>
        <v>307800</v>
      </c>
      <c r="AA118" s="71"/>
    </row>
    <row r="119" spans="19:27">
      <c r="U119" s="71"/>
      <c r="V119" s="70">
        <f>$I$44+$I$45</f>
        <v>5000</v>
      </c>
      <c r="W119" s="71"/>
      <c r="X119" s="70">
        <f>$I$46+$I$47</f>
        <v>60000</v>
      </c>
      <c r="Y119" s="70">
        <f>$I$49+$I$50</f>
        <v>125000</v>
      </c>
      <c r="Z119" s="71"/>
      <c r="AA119" s="70">
        <f>$I$51</f>
        <v>0</v>
      </c>
    </row>
    <row r="120" spans="19:27">
      <c r="U120" s="70"/>
      <c r="V120" s="71"/>
      <c r="W120" s="70">
        <f>-($F$4+$F$5)</f>
        <v>-1209500</v>
      </c>
      <c r="X120" s="71"/>
      <c r="Y120" s="71"/>
      <c r="Z120" s="70">
        <f>-$F$8</f>
        <v>0</v>
      </c>
      <c r="AA120" s="71"/>
    </row>
    <row r="121" spans="19:27">
      <c r="U121" s="70">
        <f>SUM(U117:U120)</f>
        <v>345021.57767878182</v>
      </c>
      <c r="V121" s="70">
        <f t="shared" ref="V121:AA121" si="31">SUM(V117:V120)</f>
        <v>138221.57767878185</v>
      </c>
      <c r="W121" s="70">
        <f t="shared" si="31"/>
        <v>-864478.42232121818</v>
      </c>
      <c r="X121" s="70">
        <f t="shared" si="31"/>
        <v>193221.57767878185</v>
      </c>
      <c r="Y121" s="70">
        <f t="shared" si="31"/>
        <v>258221.57767878185</v>
      </c>
      <c r="Z121" s="70">
        <f t="shared" si="31"/>
        <v>441021.57767878182</v>
      </c>
      <c r="AA121" s="70">
        <f t="shared" si="31"/>
        <v>31200</v>
      </c>
    </row>
    <row r="122" spans="19:27">
      <c r="U122" s="73">
        <f>U121</f>
        <v>345021.57767878182</v>
      </c>
      <c r="V122" s="73">
        <f>U121+V121</f>
        <v>483243.15535756364</v>
      </c>
      <c r="W122" s="73">
        <f>V122+W121</f>
        <v>-381235.26696365455</v>
      </c>
      <c r="X122" s="73">
        <f t="shared" ref="X122:Z122" si="32">W122+X121</f>
        <v>-188013.6892848727</v>
      </c>
      <c r="Y122" s="73">
        <f t="shared" si="32"/>
        <v>70207.888393909147</v>
      </c>
      <c r="Z122" s="70">
        <f t="shared" si="32"/>
        <v>511229.46607269096</v>
      </c>
      <c r="AA122" s="70">
        <f>Z122+AA121</f>
        <v>542429.46607269091</v>
      </c>
    </row>
    <row r="130" spans="7:27">
      <c r="G130" s="4">
        <f>G64+G72+G80+G88+G97+G106+G114+G122</f>
        <v>345021.57767878182</v>
      </c>
      <c r="H130" s="4">
        <f t="shared" ref="H130:AA130" si="33">H64+H72+H80+H88+H97+H106+H114+H122</f>
        <v>483243.15535756364</v>
      </c>
      <c r="I130" s="4">
        <f t="shared" si="33"/>
        <v>-36213.689284872729</v>
      </c>
      <c r="J130" s="4">
        <f t="shared" si="33"/>
        <v>295229.46607269091</v>
      </c>
      <c r="K130" s="4">
        <f t="shared" si="33"/>
        <v>33994.199109036417</v>
      </c>
      <c r="L130" s="4">
        <f t="shared" si="33"/>
        <v>806458.93214538193</v>
      </c>
      <c r="M130" s="4">
        <f t="shared" si="33"/>
        <v>576423.66518172738</v>
      </c>
      <c r="N130" s="4">
        <f t="shared" si="33"/>
        <v>1348888.3982180727</v>
      </c>
      <c r="O130" s="4">
        <f t="shared" si="33"/>
        <v>1118853.1312544183</v>
      </c>
      <c r="P130" s="4">
        <f t="shared" si="33"/>
        <v>1891317.8642907636</v>
      </c>
      <c r="Q130" s="4">
        <f t="shared" si="33"/>
        <v>1661282.5973271094</v>
      </c>
      <c r="R130" s="4">
        <f t="shared" si="33"/>
        <v>2433747.3303634543</v>
      </c>
      <c r="S130" s="4">
        <f t="shared" si="33"/>
        <v>2203712.0633998001</v>
      </c>
      <c r="T130" s="4">
        <f t="shared" si="33"/>
        <v>2976176.7964361459</v>
      </c>
      <c r="U130" s="4">
        <f t="shared" si="33"/>
        <v>2746141.5294724908</v>
      </c>
      <c r="V130" s="4">
        <f t="shared" si="33"/>
        <v>3518606.2625088366</v>
      </c>
      <c r="W130" s="4">
        <f t="shared" si="33"/>
        <v>2943549.4178663995</v>
      </c>
      <c r="X130" s="4">
        <f t="shared" si="33"/>
        <v>3577792.5732239634</v>
      </c>
      <c r="Y130" s="4">
        <f t="shared" si="33"/>
        <v>3867214.1509027448</v>
      </c>
      <c r="Z130" s="4">
        <f t="shared" si="33"/>
        <v>4308235.7285815263</v>
      </c>
      <c r="AA130" s="4">
        <f t="shared" si="33"/>
        <v>4339435.7285815263</v>
      </c>
    </row>
  </sheetData>
  <mergeCells count="28">
    <mergeCell ref="A54:C54"/>
    <mergeCell ref="F55:H55"/>
    <mergeCell ref="A58:C58"/>
    <mergeCell ref="A45:B45"/>
    <mergeCell ref="A46:B46"/>
    <mergeCell ref="A47:B47"/>
    <mergeCell ref="A50:B50"/>
    <mergeCell ref="A51:B51"/>
    <mergeCell ref="A52:B52"/>
    <mergeCell ref="A44:B44"/>
    <mergeCell ref="A12:C12"/>
    <mergeCell ref="A13:C13"/>
    <mergeCell ref="D13:E13"/>
    <mergeCell ref="A14:C14"/>
    <mergeCell ref="A15:C15"/>
    <mergeCell ref="D15:E15"/>
    <mergeCell ref="A21:C21"/>
    <mergeCell ref="A29:C29"/>
    <mergeCell ref="D30:F30"/>
    <mergeCell ref="A41:C41"/>
    <mergeCell ref="A43:B43"/>
    <mergeCell ref="A11:C11"/>
    <mergeCell ref="D11:E11"/>
    <mergeCell ref="A2:C2"/>
    <mergeCell ref="A4:B4"/>
    <mergeCell ref="A7:C7"/>
    <mergeCell ref="D7:E7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installer</dc:creator>
  <cp:keywords/>
  <dc:description/>
  <cp:lastModifiedBy/>
  <cp:revision/>
  <dcterms:created xsi:type="dcterms:W3CDTF">2014-05-06T14:34:44Z</dcterms:created>
  <dcterms:modified xsi:type="dcterms:W3CDTF">2026-07-02T14:57:35Z</dcterms:modified>
  <cp:category/>
  <cp:contentStatus/>
</cp:coreProperties>
</file>